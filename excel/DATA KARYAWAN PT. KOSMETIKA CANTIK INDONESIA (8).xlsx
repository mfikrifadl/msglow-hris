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 FILE HR\2. DATA KARYAWAN\1. DATA KARYAWAN UPDATE\"/>
    </mc:Choice>
  </mc:AlternateContent>
  <bookViews>
    <workbookView xWindow="0" yWindow="0" windowWidth="20490" windowHeight="7650" activeTab="2"/>
  </bookViews>
  <sheets>
    <sheet name="2018" sheetId="1" r:id="rId1"/>
    <sheet name="2019" sheetId="3" r:id="rId2"/>
    <sheet name="2020" sheetId="8" r:id="rId3"/>
    <sheet name="2021" sheetId="17" r:id="rId4"/>
    <sheet name="NIK" sheetId="2" r:id="rId5"/>
    <sheet name="ABSENSI" sheetId="12" r:id="rId6"/>
    <sheet name="absen PHL oret oret" sheetId="16" r:id="rId7"/>
    <sheet name="Sheet2" sheetId="13" state="hidden" r:id="rId8"/>
    <sheet name="sharing" sheetId="14" state="hidden" r:id="rId9"/>
    <sheet name="Sheet1" sheetId="4" state="hidden" r:id="rId10"/>
    <sheet name="Sheet4" sheetId="11" state="hidden" r:id="rId11"/>
  </sheets>
  <externalReferences>
    <externalReference r:id="rId12"/>
    <externalReference r:id="rId13"/>
  </externalReferences>
  <definedNames>
    <definedName name="_xlnm._FilterDatabase" localSheetId="0" hidden="1">'2018'!$A$5:$AQ$48</definedName>
    <definedName name="_xlnm._FilterDatabase" localSheetId="1" hidden="1">'2019'!$A$5:$AT$142</definedName>
    <definedName name="_xlnm._FilterDatabase" localSheetId="2" hidden="1">'2020'!$B$190:$I$190</definedName>
    <definedName name="_xlnm._FilterDatabase" localSheetId="4" hidden="1">NIK!$A$5:$H$36</definedName>
    <definedName name="AGAMA">[1]Master!$M$4:$M$10</definedName>
    <definedName name="DEPARTMENT">[1]Master!$E$4:$E$20</definedName>
    <definedName name="Division">[1]Master!$F$4:$F$8</definedName>
    <definedName name="GOLONGAN">[1]Master!$G$4:$G$51</definedName>
    <definedName name="GOLONGAN_DARAH">[2]Master!$L$4:$L$8</definedName>
    <definedName name="JABATAN_STRUKTURAL" localSheetId="1">#REF!</definedName>
    <definedName name="JABATAN_STRUKTURAL" localSheetId="4">#REF!</definedName>
    <definedName name="JABATAN_STRUKTURAL">#REF!</definedName>
    <definedName name="JENIS_KELAMIN">[1]Master!$K$4:$K$6</definedName>
    <definedName name="JOB_NAME">[2]Master!$B$4:$B$271</definedName>
    <definedName name="Pangkat" localSheetId="0">[2]Master!$D$4:$D$17</definedName>
    <definedName name="Pangkat" localSheetId="1">[2]Master!$D$4:$D$17</definedName>
    <definedName name="Pangkat" localSheetId="4">[2]Master!$D$4:$D$17</definedName>
    <definedName name="PENDIDIKAN">[2]Master!$J$4:$J$21</definedName>
    <definedName name="POH">[1]Master!$I$4:$I$10</definedName>
    <definedName name="_xlnm.Print_Area" localSheetId="0">'2018'!$A$1:$AP$48</definedName>
    <definedName name="_xlnm.Print_Area" localSheetId="1">'2019'!$A$11:$C$83</definedName>
    <definedName name="_xlnm.Print_Area" localSheetId="2">'2020'!$B$3:$G$188</definedName>
    <definedName name="_xlnm.Print_Area" localSheetId="5">ABSENSI!$A$1:$D$85</definedName>
    <definedName name="_xlnm.Print_Area" localSheetId="4">NIK!$A$1:$H$36</definedName>
    <definedName name="_xlnm.Print_Area" localSheetId="7">Sheet2!$G$3:$J$57</definedName>
    <definedName name="STATUS">[1]Master!$H$4:$H$7</definedName>
    <definedName name="STATUS_TANGGUNGAN">[2]Master!$N$4:$N$12</definedName>
  </definedNames>
  <calcPr calcId="162913"/>
</workbook>
</file>

<file path=xl/calcChain.xml><?xml version="1.0" encoding="utf-8"?>
<calcChain xmlns="http://schemas.openxmlformats.org/spreadsheetml/2006/main">
  <c r="B214" i="2" l="1"/>
  <c r="B215" i="2"/>
  <c r="B216" i="2"/>
  <c r="B217" i="2"/>
  <c r="B218" i="2"/>
  <c r="B219" i="2"/>
  <c r="B213" i="2"/>
  <c r="B212" i="2"/>
  <c r="B211" i="2" l="1"/>
  <c r="B208" i="2"/>
  <c r="B1" i="8" l="1"/>
  <c r="AI174" i="8" s="1"/>
  <c r="AC174" i="8" l="1"/>
  <c r="AF174" i="8"/>
  <c r="S171" i="8"/>
  <c r="S172" i="8"/>
  <c r="S173" i="8"/>
  <c r="S174" i="8"/>
  <c r="T171" i="8"/>
  <c r="T172" i="8"/>
  <c r="T173" i="8"/>
  <c r="T174" i="8"/>
  <c r="S182" i="8"/>
  <c r="T170" i="8"/>
  <c r="S170" i="8"/>
  <c r="K172" i="8"/>
  <c r="K173" i="8"/>
  <c r="K174" i="8"/>
  <c r="L172" i="8"/>
  <c r="L173" i="8"/>
  <c r="L174" i="8"/>
  <c r="S29" i="8"/>
  <c r="T29" i="8"/>
  <c r="K29" i="8"/>
  <c r="L29" i="8"/>
  <c r="B203" i="2"/>
  <c r="B202" i="2"/>
  <c r="B204" i="2"/>
  <c r="B205" i="2"/>
  <c r="B206" i="2"/>
  <c r="B207" i="2"/>
  <c r="B209" i="2"/>
  <c r="B210" i="2"/>
  <c r="B200" i="2"/>
  <c r="B201" i="2"/>
  <c r="B199" i="2" l="1"/>
  <c r="B198" i="2" l="1"/>
  <c r="B196" i="2" l="1"/>
  <c r="B197" i="2"/>
  <c r="B194" i="2" l="1"/>
  <c r="B195" i="2"/>
  <c r="B188" i="2" l="1"/>
  <c r="B189" i="2"/>
  <c r="B190" i="2"/>
  <c r="B191" i="2"/>
  <c r="B192" i="2"/>
  <c r="B193" i="2"/>
  <c r="B186" i="2" l="1"/>
  <c r="B187" i="2"/>
  <c r="B185" i="2"/>
  <c r="B178" i="2" l="1"/>
  <c r="B179" i="2"/>
  <c r="B180" i="2"/>
  <c r="B181" i="2"/>
  <c r="B182" i="2"/>
  <c r="B183" i="2"/>
  <c r="B184" i="2"/>
  <c r="B177" i="2" l="1"/>
  <c r="T356" i="8" l="1"/>
  <c r="S356" i="8"/>
  <c r="T355" i="8"/>
  <c r="S355" i="8"/>
  <c r="T354" i="8"/>
  <c r="S354" i="8"/>
  <c r="T353" i="8"/>
  <c r="S353" i="8"/>
  <c r="AC352" i="8"/>
  <c r="T352" i="8"/>
  <c r="S352" i="8"/>
  <c r="T351" i="8"/>
  <c r="S351" i="8"/>
  <c r="AC350" i="8"/>
  <c r="T350" i="8"/>
  <c r="S350" i="8"/>
  <c r="T349" i="8"/>
  <c r="S349" i="8"/>
  <c r="T348" i="8"/>
  <c r="S348" i="8"/>
  <c r="T347" i="8"/>
  <c r="S347" i="8"/>
  <c r="T346" i="8"/>
  <c r="S346" i="8"/>
  <c r="T345" i="8"/>
  <c r="S345" i="8"/>
  <c r="T344" i="8"/>
  <c r="S344" i="8"/>
  <c r="AC343" i="8"/>
  <c r="T343" i="8"/>
  <c r="S343" i="8"/>
  <c r="T342" i="8"/>
  <c r="S342" i="8"/>
  <c r="AC341" i="8"/>
  <c r="T341" i="8"/>
  <c r="S341" i="8"/>
  <c r="T340" i="8"/>
  <c r="S340" i="8"/>
  <c r="T339" i="8"/>
  <c r="S339" i="8"/>
  <c r="T338" i="8"/>
  <c r="S338" i="8"/>
  <c r="T337" i="8"/>
  <c r="S337" i="8"/>
  <c r="T336" i="8"/>
  <c r="S336" i="8"/>
  <c r="T335" i="8"/>
  <c r="S335" i="8"/>
  <c r="T334" i="8"/>
  <c r="S334" i="8"/>
  <c r="AC333" i="8"/>
  <c r="T333" i="8"/>
  <c r="S333" i="8"/>
  <c r="T332" i="8"/>
  <c r="S332" i="8"/>
  <c r="T331" i="8"/>
  <c r="S331" i="8"/>
  <c r="AC357" i="8"/>
  <c r="AC368" i="8"/>
  <c r="B174" i="2" l="1"/>
  <c r="B175" i="2"/>
  <c r="B176" i="2"/>
  <c r="B170" i="2" l="1"/>
  <c r="B171" i="2"/>
  <c r="B172" i="2"/>
  <c r="B173" i="2"/>
  <c r="B169" i="2" l="1"/>
  <c r="B168" i="2" l="1"/>
  <c r="B167" i="2" l="1"/>
  <c r="B166" i="2"/>
  <c r="B165" i="2" l="1"/>
  <c r="B164" i="2" l="1"/>
  <c r="B163" i="2" l="1"/>
  <c r="B162" i="2"/>
  <c r="F5" i="11" l="1"/>
  <c r="B161" i="2" l="1"/>
  <c r="B158" i="2"/>
  <c r="B159" i="2"/>
  <c r="B160" i="2"/>
  <c r="B157" i="2"/>
  <c r="B156" i="2"/>
  <c r="B155" i="2" l="1"/>
  <c r="B153" i="2" l="1"/>
  <c r="B154" i="2"/>
  <c r="B152" i="2" l="1"/>
  <c r="B151" i="2"/>
  <c r="B150" i="2"/>
  <c r="B148" i="2" l="1"/>
  <c r="B149" i="2" l="1"/>
  <c r="B147" i="2" l="1"/>
  <c r="B146" i="2" l="1"/>
  <c r="B145" i="2" l="1"/>
  <c r="B134" i="2"/>
  <c r="B142" i="2"/>
  <c r="B143" i="2"/>
  <c r="B144" i="2"/>
  <c r="B139" i="2"/>
  <c r="C359" i="8" s="1"/>
  <c r="B140" i="2"/>
  <c r="B141" i="2"/>
  <c r="B125" i="2"/>
  <c r="B126" i="2"/>
  <c r="B127" i="2"/>
  <c r="C383" i="8" l="1"/>
  <c r="B133" i="2" l="1"/>
  <c r="C382" i="8"/>
  <c r="B135" i="2"/>
  <c r="B136" i="2"/>
  <c r="B137" i="2"/>
  <c r="C358" i="8" s="1"/>
  <c r="B138" i="2"/>
  <c r="B131" i="2" l="1"/>
  <c r="B132" i="2"/>
  <c r="AC379" i="8" l="1"/>
  <c r="R5" i="8"/>
  <c r="K4" i="8"/>
  <c r="K78" i="8" l="1"/>
  <c r="L79" i="8"/>
  <c r="S126" i="8"/>
  <c r="T126" i="8"/>
  <c r="K126" i="8"/>
  <c r="L126" i="8"/>
  <c r="S100" i="8"/>
  <c r="T100" i="8"/>
  <c r="K100" i="8"/>
  <c r="L100" i="8"/>
  <c r="S99" i="8"/>
  <c r="T99" i="8"/>
  <c r="AC22" i="8"/>
  <c r="K99" i="8"/>
  <c r="L99" i="8"/>
  <c r="AF16" i="8"/>
  <c r="AI16" i="8"/>
  <c r="AC16" i="8"/>
  <c r="T47" i="8"/>
  <c r="L47" i="8"/>
  <c r="S47" i="8"/>
  <c r="K47" i="8"/>
  <c r="AC129" i="8"/>
  <c r="K129" i="8"/>
  <c r="S129" i="8"/>
  <c r="T129" i="8"/>
  <c r="K331" i="8"/>
  <c r="L15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355" i="8"/>
  <c r="L356" i="8"/>
  <c r="L358" i="8"/>
  <c r="L364" i="8"/>
  <c r="L366" i="8"/>
  <c r="L368" i="8"/>
  <c r="L370" i="8"/>
  <c r="L372" i="8"/>
  <c r="L374" i="8"/>
  <c r="L376" i="8"/>
  <c r="L378" i="8"/>
  <c r="L380" i="8"/>
  <c r="L382" i="8"/>
  <c r="L384" i="8"/>
  <c r="L386" i="8"/>
  <c r="L388" i="8"/>
  <c r="L390" i="8"/>
  <c r="L392" i="8"/>
  <c r="L357" i="8"/>
  <c r="L359" i="8"/>
  <c r="L363" i="8"/>
  <c r="L365" i="8"/>
  <c r="L367" i="8"/>
  <c r="L369" i="8"/>
  <c r="L371" i="8"/>
  <c r="L373" i="8"/>
  <c r="L375" i="8"/>
  <c r="L377" i="8"/>
  <c r="L379" i="8"/>
  <c r="L381" i="8"/>
  <c r="L383" i="8"/>
  <c r="L385" i="8"/>
  <c r="L387" i="8"/>
  <c r="L389" i="8"/>
  <c r="L391" i="8"/>
  <c r="L331" i="8"/>
  <c r="AC394" i="8"/>
  <c r="AC98" i="8"/>
  <c r="S394" i="8"/>
  <c r="T394" i="8"/>
  <c r="AC156" i="8"/>
  <c r="K394" i="8"/>
  <c r="L394" i="8"/>
  <c r="AC8" i="8"/>
  <c r="AC7" i="8"/>
  <c r="AC13" i="8"/>
  <c r="AC11" i="8"/>
  <c r="AC12" i="8"/>
  <c r="AC63" i="8"/>
  <c r="AC32" i="8"/>
  <c r="AC72" i="8"/>
  <c r="AC393" i="8"/>
  <c r="AC395" i="8"/>
  <c r="AC71" i="8"/>
  <c r="AC113" i="8"/>
  <c r="AC84" i="8"/>
  <c r="AC88" i="8"/>
  <c r="AC92" i="8"/>
  <c r="AC86" i="8"/>
  <c r="AC104" i="8"/>
  <c r="AC105" i="8"/>
  <c r="AC136" i="8"/>
  <c r="AC130" i="8"/>
  <c r="S40" i="8"/>
  <c r="S41" i="8"/>
  <c r="S28" i="8"/>
  <c r="S58" i="8"/>
  <c r="S59" i="8"/>
  <c r="S26" i="8"/>
  <c r="S27" i="8"/>
  <c r="T40" i="8"/>
  <c r="T41" i="8"/>
  <c r="T28" i="8"/>
  <c r="T58" i="8"/>
  <c r="T59" i="8"/>
  <c r="T26" i="8"/>
  <c r="T27" i="8"/>
  <c r="K27" i="8"/>
  <c r="L27" i="8"/>
  <c r="K26" i="8"/>
  <c r="L26" i="8"/>
  <c r="L98" i="8"/>
  <c r="S98" i="8"/>
  <c r="T98" i="8"/>
  <c r="L171" i="8"/>
  <c r="K98" i="8"/>
  <c r="K182" i="8"/>
  <c r="S392" i="8"/>
  <c r="T392" i="8"/>
  <c r="S125" i="8"/>
  <c r="T125" i="8"/>
  <c r="K125" i="8"/>
  <c r="L125" i="8"/>
  <c r="K59" i="8"/>
  <c r="L59" i="8"/>
  <c r="T188" i="8"/>
  <c r="S188" i="8"/>
  <c r="K58" i="8"/>
  <c r="L58" i="8"/>
  <c r="L28" i="8"/>
  <c r="K28" i="8"/>
  <c r="S97" i="8"/>
  <c r="T97" i="8"/>
  <c r="K97" i="8"/>
  <c r="L97" i="8"/>
  <c r="K41" i="8"/>
  <c r="L41" i="8"/>
  <c r="S38" i="8"/>
  <c r="S39" i="8"/>
  <c r="T38" i="8"/>
  <c r="T39" i="8"/>
  <c r="L40" i="8"/>
  <c r="K40" i="8"/>
  <c r="S62" i="8"/>
  <c r="T62" i="8"/>
  <c r="K62" i="8"/>
  <c r="L62" i="8"/>
  <c r="S16" i="8"/>
  <c r="T16" i="8"/>
  <c r="K16" i="8"/>
  <c r="L16" i="8"/>
  <c r="S118" i="8"/>
  <c r="T118" i="8"/>
  <c r="K118" i="8"/>
  <c r="L118" i="8"/>
  <c r="L39" i="8"/>
  <c r="K39" i="8"/>
  <c r="K38" i="8"/>
  <c r="L38" i="8"/>
  <c r="K167" i="8"/>
  <c r="S167" i="8"/>
  <c r="T167" i="8"/>
  <c r="L167" i="8"/>
  <c r="S57" i="8"/>
  <c r="T57" i="8"/>
  <c r="K57" i="8"/>
  <c r="L57" i="8"/>
  <c r="S124" i="8"/>
  <c r="T124" i="8"/>
  <c r="K124" i="8"/>
  <c r="L124" i="8"/>
  <c r="S37" i="8"/>
  <c r="T37" i="8"/>
  <c r="K37" i="8"/>
  <c r="L37" i="8"/>
  <c r="S10" i="8"/>
  <c r="T10" i="8"/>
  <c r="K10" i="8"/>
  <c r="L10" i="8"/>
  <c r="S15" i="8"/>
  <c r="T15" i="8"/>
  <c r="K36" i="8"/>
  <c r="K15" i="8"/>
  <c r="S36" i="8"/>
  <c r="T36" i="8"/>
  <c r="L36" i="8"/>
  <c r="S386" i="8"/>
  <c r="T386" i="8"/>
  <c r="K156" i="8"/>
  <c r="L156" i="8"/>
  <c r="K56" i="8"/>
  <c r="S56" i="8"/>
  <c r="L56" i="8"/>
  <c r="T56" i="8"/>
  <c r="S55" i="8"/>
  <c r="T55" i="8"/>
  <c r="K55" i="8"/>
  <c r="L55" i="8"/>
  <c r="S388" i="8"/>
  <c r="T388" i="8"/>
  <c r="K171" i="8"/>
  <c r="S116" i="8"/>
  <c r="T116" i="8"/>
  <c r="K116" i="8"/>
  <c r="L116" i="8"/>
  <c r="T381" i="8"/>
  <c r="S381" i="8"/>
  <c r="K96" i="8"/>
  <c r="S96" i="8"/>
  <c r="L96" i="8"/>
  <c r="T96" i="8"/>
  <c r="S159" i="8"/>
  <c r="T159" i="8"/>
  <c r="K159" i="8"/>
  <c r="L159" i="8"/>
  <c r="T357" i="8"/>
  <c r="T358" i="8"/>
  <c r="S359" i="8"/>
  <c r="T363" i="8"/>
  <c r="S364" i="8"/>
  <c r="S366" i="8"/>
  <c r="T368" i="8"/>
  <c r="T369" i="8"/>
  <c r="K183" i="8"/>
  <c r="S183" i="8"/>
  <c r="T370" i="8"/>
  <c r="T371" i="8"/>
  <c r="T372" i="8"/>
  <c r="S373" i="8"/>
  <c r="T374" i="8"/>
  <c r="S375" i="8"/>
  <c r="S376" i="8"/>
  <c r="S377" i="8"/>
  <c r="S378" i="8"/>
  <c r="S357" i="8"/>
  <c r="S358" i="8"/>
  <c r="T359" i="8"/>
  <c r="S363" i="8"/>
  <c r="T364" i="8"/>
  <c r="T366" i="8"/>
  <c r="S368" i="8"/>
  <c r="S369" i="8"/>
  <c r="L183" i="8"/>
  <c r="T183" i="8"/>
  <c r="S370" i="8"/>
  <c r="S371" i="8"/>
  <c r="S372" i="8"/>
  <c r="T373" i="8"/>
  <c r="S374" i="8"/>
  <c r="T375" i="8"/>
  <c r="T376" i="8"/>
  <c r="T377" i="8"/>
  <c r="T378" i="8"/>
  <c r="S166" i="8"/>
  <c r="T166" i="8"/>
  <c r="S165" i="8"/>
  <c r="T165" i="8"/>
  <c r="S164" i="8"/>
  <c r="T164" i="8"/>
  <c r="T163" i="8"/>
  <c r="K164" i="8"/>
  <c r="K165" i="8"/>
  <c r="K166" i="8"/>
  <c r="L164" i="8"/>
  <c r="L165" i="8"/>
  <c r="L166" i="8"/>
  <c r="S163" i="8"/>
  <c r="T162" i="8"/>
  <c r="S162" i="8"/>
  <c r="S161" i="8"/>
  <c r="T161" i="8"/>
  <c r="K163" i="8"/>
  <c r="S160" i="8"/>
  <c r="T160" i="8"/>
  <c r="L163" i="8"/>
  <c r="K160" i="8"/>
  <c r="K161" i="8"/>
  <c r="K162" i="8"/>
  <c r="L160" i="8"/>
  <c r="L161" i="8"/>
  <c r="L162" i="8"/>
  <c r="S390" i="8"/>
  <c r="T390" i="8"/>
  <c r="S157" i="8"/>
  <c r="T158" i="8"/>
  <c r="S158" i="8"/>
  <c r="T157" i="8"/>
  <c r="K158" i="8"/>
  <c r="L158" i="8"/>
  <c r="K157" i="8"/>
  <c r="L157" i="8"/>
  <c r="S54" i="8"/>
  <c r="T54" i="8"/>
  <c r="K54" i="8"/>
  <c r="L54" i="8"/>
  <c r="S385" i="8"/>
  <c r="T385" i="8"/>
  <c r="S25" i="8"/>
  <c r="T25" i="8"/>
  <c r="K25" i="8"/>
  <c r="L25" i="8"/>
  <c r="K66" i="8"/>
  <c r="S66" i="8"/>
  <c r="L66" i="8"/>
  <c r="T66" i="8"/>
  <c r="S115" i="8"/>
  <c r="T115" i="8"/>
  <c r="K115" i="8"/>
  <c r="K113" i="8"/>
  <c r="L115" i="8"/>
  <c r="T121" i="8"/>
  <c r="S121" i="8"/>
  <c r="K121" i="8"/>
  <c r="L121" i="8"/>
  <c r="S122" i="8"/>
  <c r="T122" i="8"/>
  <c r="S46" i="8"/>
  <c r="T46" i="8"/>
  <c r="S48" i="8"/>
  <c r="T48" i="8"/>
  <c r="L48" i="8"/>
  <c r="L122" i="8"/>
  <c r="L46" i="8"/>
  <c r="K48" i="8"/>
  <c r="K122" i="8"/>
  <c r="K46" i="8"/>
  <c r="S19" i="8"/>
  <c r="T19" i="8"/>
  <c r="K19" i="8"/>
  <c r="L19" i="8"/>
  <c r="S49" i="8"/>
  <c r="T49" i="8"/>
  <c r="K49" i="8"/>
  <c r="L49" i="8"/>
  <c r="S21" i="8"/>
  <c r="T21" i="8"/>
  <c r="K21" i="8"/>
  <c r="L21" i="8"/>
  <c r="T182" i="8"/>
  <c r="L182" i="8"/>
  <c r="K140" i="8"/>
  <c r="S140" i="8"/>
  <c r="L140" i="8"/>
  <c r="T140" i="8"/>
  <c r="S114" i="8"/>
  <c r="S94" i="8"/>
  <c r="T114" i="8"/>
  <c r="T94" i="8"/>
  <c r="K114" i="8"/>
  <c r="K94" i="8"/>
  <c r="L114" i="8"/>
  <c r="L94" i="8"/>
  <c r="S93" i="8"/>
  <c r="T93" i="8"/>
  <c r="K93" i="8"/>
  <c r="L93" i="8"/>
  <c r="S383" i="8"/>
  <c r="T383" i="8"/>
  <c r="S155" i="8"/>
  <c r="T155" i="8"/>
  <c r="K155" i="8"/>
  <c r="L155" i="8"/>
  <c r="S154" i="8"/>
  <c r="T154" i="8"/>
  <c r="K154" i="8"/>
  <c r="L154" i="8"/>
  <c r="S148" i="8"/>
  <c r="S149" i="8"/>
  <c r="S147" i="8"/>
  <c r="S146" i="8"/>
  <c r="T146" i="8"/>
  <c r="T147" i="8"/>
  <c r="T148" i="8"/>
  <c r="T149" i="8"/>
  <c r="S145" i="8"/>
  <c r="T145" i="8"/>
  <c r="S144" i="8"/>
  <c r="T144" i="8"/>
  <c r="S153" i="8"/>
  <c r="T153" i="8"/>
  <c r="L153" i="8"/>
  <c r="K153" i="8"/>
  <c r="S152" i="8"/>
  <c r="T152" i="8"/>
  <c r="T382" i="8"/>
  <c r="K152" i="8"/>
  <c r="L152" i="8"/>
  <c r="S151" i="8"/>
  <c r="T151" i="8"/>
  <c r="K151" i="8"/>
  <c r="L151" i="8"/>
  <c r="S382" i="8"/>
  <c r="T150" i="8"/>
  <c r="S150" i="8"/>
  <c r="K149" i="8"/>
  <c r="K150" i="8"/>
  <c r="L150" i="8"/>
  <c r="L149" i="8"/>
  <c r="K12" i="8"/>
  <c r="K148" i="8"/>
  <c r="L148" i="8"/>
  <c r="T143" i="8"/>
  <c r="T24" i="8"/>
  <c r="T95" i="8"/>
  <c r="T23" i="8"/>
  <c r="T136" i="8"/>
  <c r="T33" i="8"/>
  <c r="T139" i="8"/>
  <c r="T111" i="8"/>
  <c r="T72" i="8"/>
  <c r="T20" i="8"/>
  <c r="T22" i="8"/>
  <c r="T141" i="8"/>
  <c r="T137" i="8"/>
  <c r="S111" i="8"/>
  <c r="S95" i="8"/>
  <c r="S72" i="8"/>
  <c r="S33" i="8"/>
  <c r="S20" i="8"/>
  <c r="S24" i="8"/>
  <c r="S22" i="8"/>
  <c r="S23" i="8"/>
  <c r="T142" i="8"/>
  <c r="T138" i="8"/>
  <c r="T133" i="8"/>
  <c r="T105" i="8"/>
  <c r="S143" i="8"/>
  <c r="S142" i="8"/>
  <c r="S141" i="8"/>
  <c r="S139" i="8"/>
  <c r="S138" i="8"/>
  <c r="S137" i="8"/>
  <c r="S133" i="8"/>
  <c r="S136" i="8"/>
  <c r="S105" i="8"/>
  <c r="S135" i="8"/>
  <c r="T135" i="8"/>
  <c r="T134" i="8"/>
  <c r="S117" i="8"/>
  <c r="S134" i="8"/>
  <c r="T117" i="8"/>
  <c r="T76" i="8"/>
  <c r="T109" i="8"/>
  <c r="T108" i="8"/>
  <c r="S113" i="8"/>
  <c r="T90" i="8"/>
  <c r="T110" i="8"/>
  <c r="T130" i="8"/>
  <c r="T113" i="8"/>
  <c r="T65" i="8"/>
  <c r="T74" i="8"/>
  <c r="S104" i="8"/>
  <c r="S109" i="8"/>
  <c r="S110" i="8"/>
  <c r="S108" i="8"/>
  <c r="S130" i="8"/>
  <c r="T379" i="8"/>
  <c r="T77" i="8"/>
  <c r="T67" i="8"/>
  <c r="T92" i="8"/>
  <c r="T91" i="8"/>
  <c r="T104" i="8"/>
  <c r="T88" i="8"/>
  <c r="T85" i="8"/>
  <c r="T83" i="8"/>
  <c r="T81" i="8"/>
  <c r="T75" i="8"/>
  <c r="T395" i="8"/>
  <c r="T64" i="8"/>
  <c r="S92" i="8"/>
  <c r="S91" i="8"/>
  <c r="T89" i="8"/>
  <c r="T87" i="8"/>
  <c r="T86" i="8"/>
  <c r="T69" i="8"/>
  <c r="T84" i="8"/>
  <c r="T79" i="8"/>
  <c r="T78" i="8"/>
  <c r="T82" i="8"/>
  <c r="T73" i="8"/>
  <c r="T68" i="8"/>
  <c r="T393" i="8"/>
  <c r="T71" i="8"/>
  <c r="T80" i="8"/>
  <c r="T70" i="8"/>
  <c r="T63" i="8"/>
  <c r="T384" i="8"/>
  <c r="T35" i="8"/>
  <c r="T389" i="8"/>
  <c r="T34" i="8"/>
  <c r="T51" i="8"/>
  <c r="T107" i="8"/>
  <c r="T112" i="8"/>
  <c r="T391" i="8"/>
  <c r="T45" i="8"/>
  <c r="T13" i="8"/>
  <c r="T106" i="8"/>
  <c r="T53" i="8"/>
  <c r="T52" i="8"/>
  <c r="T14" i="8"/>
  <c r="T123" i="8"/>
  <c r="T50" i="8"/>
  <c r="T103" i="8"/>
  <c r="T32" i="8"/>
  <c r="T380" i="8"/>
  <c r="T44" i="8"/>
  <c r="T11" i="8"/>
  <c r="T12" i="8"/>
  <c r="T8" i="8"/>
  <c r="T7" i="8"/>
  <c r="S90" i="8"/>
  <c r="S88" i="8"/>
  <c r="S379" i="8"/>
  <c r="S85" i="8"/>
  <c r="S65" i="8"/>
  <c r="S83" i="8"/>
  <c r="S77" i="8"/>
  <c r="S81" i="8"/>
  <c r="S76" i="8"/>
  <c r="S75" i="8"/>
  <c r="S67" i="8"/>
  <c r="S395" i="8"/>
  <c r="S74" i="8"/>
  <c r="S64" i="8"/>
  <c r="S89" i="8"/>
  <c r="S87" i="8"/>
  <c r="S86" i="8"/>
  <c r="S69" i="8"/>
  <c r="S84" i="8"/>
  <c r="S79" i="8"/>
  <c r="S78" i="8"/>
  <c r="S82" i="8"/>
  <c r="S73" i="8"/>
  <c r="S68" i="8"/>
  <c r="S393" i="8"/>
  <c r="S71" i="8"/>
  <c r="S80" i="8"/>
  <c r="S70" i="8"/>
  <c r="S63" i="8"/>
  <c r="S35" i="8"/>
  <c r="S389" i="8"/>
  <c r="S34" i="8"/>
  <c r="S51" i="8"/>
  <c r="S107" i="8"/>
  <c r="S112" i="8"/>
  <c r="S391" i="8"/>
  <c r="S380" i="8"/>
  <c r="S44" i="8"/>
  <c r="S11" i="8"/>
  <c r="S12" i="8"/>
  <c r="S106" i="8"/>
  <c r="S53" i="8"/>
  <c r="S52" i="8"/>
  <c r="S14" i="8"/>
  <c r="S123" i="8"/>
  <c r="S50" i="8"/>
  <c r="S103" i="8"/>
  <c r="S32" i="8"/>
  <c r="S45" i="8"/>
  <c r="S384" i="8"/>
  <c r="S13" i="8"/>
  <c r="S8" i="8"/>
  <c r="S7" i="8"/>
  <c r="L111" i="8"/>
  <c r="L95" i="8"/>
  <c r="L72" i="8"/>
  <c r="L33" i="8"/>
  <c r="L20" i="8"/>
  <c r="L24" i="8"/>
  <c r="L22" i="8"/>
  <c r="L23" i="8"/>
  <c r="K111" i="8"/>
  <c r="K95" i="8"/>
  <c r="K72" i="8"/>
  <c r="K33" i="8"/>
  <c r="K20" i="8"/>
  <c r="K24" i="8"/>
  <c r="K22" i="8"/>
  <c r="K23" i="8"/>
  <c r="L147" i="8"/>
  <c r="L145" i="8"/>
  <c r="L143" i="8"/>
  <c r="L141" i="8"/>
  <c r="L139" i="8"/>
  <c r="L137" i="8"/>
  <c r="L136" i="8"/>
  <c r="L135" i="8"/>
  <c r="L131" i="8"/>
  <c r="L146" i="8"/>
  <c r="L144" i="8"/>
  <c r="L142" i="8"/>
  <c r="L138" i="8"/>
  <c r="L133" i="8"/>
  <c r="L105" i="8"/>
  <c r="L129" i="8"/>
  <c r="L132" i="8"/>
  <c r="L134" i="8"/>
  <c r="K147" i="8"/>
  <c r="K146" i="8"/>
  <c r="K145" i="8"/>
  <c r="K144" i="8"/>
  <c r="K143" i="8"/>
  <c r="K142" i="8"/>
  <c r="K141" i="8"/>
  <c r="K139" i="8"/>
  <c r="K138" i="8"/>
  <c r="K137" i="8"/>
  <c r="K133" i="8"/>
  <c r="K136" i="8"/>
  <c r="K105" i="8"/>
  <c r="K135" i="8"/>
  <c r="K134" i="8"/>
  <c r="K117" i="8"/>
  <c r="L117" i="8"/>
  <c r="L113" i="8"/>
  <c r="L109" i="8"/>
  <c r="L110" i="8"/>
  <c r="L108" i="8"/>
  <c r="L130" i="8"/>
  <c r="K104" i="8"/>
  <c r="K109" i="8"/>
  <c r="K110" i="8"/>
  <c r="K108" i="8"/>
  <c r="K130" i="8"/>
  <c r="L104" i="8"/>
  <c r="L92" i="8"/>
  <c r="L91" i="8"/>
  <c r="L90" i="8"/>
  <c r="L89" i="8"/>
  <c r="L88" i="8"/>
  <c r="L87" i="8"/>
  <c r="L86" i="8"/>
  <c r="L85" i="8"/>
  <c r="L69" i="8"/>
  <c r="L65" i="8"/>
  <c r="L84" i="8"/>
  <c r="L83" i="8"/>
  <c r="L77" i="8"/>
  <c r="L78" i="8"/>
  <c r="L81" i="8"/>
  <c r="L82" i="8"/>
  <c r="L76" i="8"/>
  <c r="L73" i="8"/>
  <c r="L75" i="8"/>
  <c r="L68" i="8"/>
  <c r="L67" i="8"/>
  <c r="L393" i="8"/>
  <c r="L395" i="8"/>
  <c r="L71" i="8"/>
  <c r="L74" i="8"/>
  <c r="L80" i="8"/>
  <c r="L64" i="8"/>
  <c r="L70" i="8"/>
  <c r="K63" i="8"/>
  <c r="K92" i="8"/>
  <c r="K91" i="8"/>
  <c r="K90" i="8"/>
  <c r="K89" i="8"/>
  <c r="K88" i="8"/>
  <c r="K87" i="8"/>
  <c r="K86" i="8"/>
  <c r="K85" i="8"/>
  <c r="K69" i="8"/>
  <c r="K65" i="8"/>
  <c r="K84" i="8"/>
  <c r="K83" i="8"/>
  <c r="K79" i="8"/>
  <c r="K77" i="8"/>
  <c r="K81" i="8"/>
  <c r="K82" i="8"/>
  <c r="K76" i="8"/>
  <c r="K73" i="8"/>
  <c r="K75" i="8"/>
  <c r="K68" i="8"/>
  <c r="K67" i="8"/>
  <c r="K393" i="8"/>
  <c r="K395" i="8"/>
  <c r="K71" i="8"/>
  <c r="K74" i="8"/>
  <c r="K80" i="8"/>
  <c r="K64" i="8"/>
  <c r="K70" i="8"/>
  <c r="L63" i="8"/>
  <c r="L106" i="8"/>
  <c r="L53" i="8"/>
  <c r="L52" i="8"/>
  <c r="L14" i="8"/>
  <c r="L123" i="8"/>
  <c r="L50" i="8"/>
  <c r="L103" i="8"/>
  <c r="L32" i="8"/>
  <c r="L45" i="8"/>
  <c r="L13" i="8"/>
  <c r="L35" i="8"/>
  <c r="L34" i="8"/>
  <c r="L51" i="8"/>
  <c r="L107" i="8"/>
  <c r="L112" i="8"/>
  <c r="L44" i="8"/>
  <c r="L11" i="8"/>
  <c r="K106" i="8"/>
  <c r="K53" i="8"/>
  <c r="K35" i="8"/>
  <c r="K52" i="8"/>
  <c r="K14" i="8"/>
  <c r="K34" i="8"/>
  <c r="K123" i="8"/>
  <c r="K51" i="8"/>
  <c r="K50" i="8"/>
  <c r="K107" i="8"/>
  <c r="K112" i="8"/>
  <c r="K103" i="8"/>
  <c r="K32" i="8"/>
  <c r="K44" i="8"/>
  <c r="K45" i="8"/>
  <c r="K11" i="8"/>
  <c r="K13" i="8"/>
  <c r="L12" i="8"/>
  <c r="B128" i="2"/>
  <c r="B105" i="3" s="1"/>
  <c r="B129" i="2"/>
  <c r="B106" i="3" s="1"/>
  <c r="B130" i="2"/>
  <c r="C370" i="8" s="1"/>
  <c r="B120" i="3" l="1"/>
  <c r="B104" i="3"/>
  <c r="B103" i="3"/>
  <c r="B102" i="3"/>
  <c r="B124" i="2"/>
  <c r="B121" i="2"/>
  <c r="C374" i="8" s="1"/>
  <c r="B122" i="2"/>
  <c r="B123" i="2"/>
  <c r="B39" i="3" l="1"/>
  <c r="B40" i="3"/>
  <c r="B41" i="3"/>
  <c r="B42" i="3"/>
  <c r="B113" i="2"/>
  <c r="B119" i="2" l="1"/>
  <c r="B120" i="2"/>
  <c r="B117" i="2"/>
  <c r="B118" i="2"/>
  <c r="C373" i="8" l="1"/>
  <c r="C375" i="8"/>
  <c r="B36" i="3"/>
  <c r="B35" i="3"/>
  <c r="B38" i="3"/>
  <c r="B37" i="3"/>
  <c r="B116" i="2"/>
  <c r="B101" i="3" l="1"/>
  <c r="B111" i="2"/>
  <c r="B99" i="3" s="1"/>
  <c r="B112" i="2"/>
  <c r="B114" i="2"/>
  <c r="B100" i="3" s="1"/>
  <c r="B115" i="2"/>
  <c r="B119" i="3" l="1"/>
  <c r="B110" i="2"/>
  <c r="B34" i="3" l="1"/>
  <c r="C389" i="8"/>
  <c r="B109" i="2"/>
  <c r="B108" i="2"/>
  <c r="B118" i="3" l="1"/>
  <c r="B111" i="3"/>
  <c r="B107" i="2"/>
  <c r="B75" i="3" l="1"/>
  <c r="B106" i="2"/>
  <c r="C368" i="8" s="1"/>
  <c r="B109" i="3" l="1"/>
  <c r="B103" i="2"/>
  <c r="B104" i="2"/>
  <c r="B105" i="2"/>
  <c r="C369" i="8" s="1"/>
  <c r="B115" i="3" l="1"/>
  <c r="B114" i="3"/>
  <c r="B113" i="3"/>
  <c r="B101" i="2"/>
  <c r="B95" i="2" l="1"/>
  <c r="B96" i="2"/>
  <c r="B97" i="2"/>
  <c r="B98" i="2"/>
  <c r="B99" i="2"/>
  <c r="B100" i="2"/>
  <c r="B93" i="2" l="1"/>
  <c r="C183" i="8" s="1"/>
  <c r="B94" i="2"/>
  <c r="C364" i="8" s="1"/>
  <c r="B102" i="2"/>
  <c r="C363" i="8" s="1"/>
  <c r="B110" i="3" l="1"/>
  <c r="B112" i="3"/>
  <c r="B108" i="3"/>
  <c r="B92" i="2"/>
  <c r="B91" i="2" l="1"/>
  <c r="B90" i="2" l="1"/>
  <c r="B89" i="2" l="1"/>
  <c r="C357" i="8" s="1"/>
  <c r="B88" i="2" l="1"/>
  <c r="B87" i="2" l="1"/>
  <c r="B86" i="2" l="1"/>
  <c r="B85" i="2" l="1"/>
  <c r="B84" i="2" l="1"/>
  <c r="B83" i="2"/>
  <c r="B78" i="2" l="1"/>
  <c r="B79" i="2"/>
  <c r="B80" i="2"/>
  <c r="B81" i="2"/>
  <c r="B82" i="2"/>
  <c r="B77" i="2" l="1"/>
  <c r="B76" i="2" l="1"/>
  <c r="B72" i="2" l="1"/>
  <c r="B75" i="2"/>
  <c r="B74" i="2"/>
  <c r="B117" i="3" l="1"/>
  <c r="B71" i="2"/>
  <c r="B73" i="2"/>
  <c r="B70" i="2" l="1"/>
  <c r="B69" i="2" l="1"/>
  <c r="B68" i="2" l="1"/>
  <c r="E54" i="4" l="1"/>
  <c r="B65" i="2" l="1"/>
  <c r="B66" i="2"/>
  <c r="B67" i="2"/>
  <c r="B59" i="2" l="1"/>
  <c r="B60" i="2"/>
  <c r="B61" i="2"/>
  <c r="B62" i="2"/>
  <c r="B63" i="2"/>
  <c r="B64" i="2"/>
  <c r="Q7" i="3" l="1"/>
  <c r="J6" i="3"/>
  <c r="A3" i="3"/>
  <c r="J12" i="3" s="1"/>
  <c r="B49" i="2"/>
  <c r="B50" i="2"/>
  <c r="B51" i="2"/>
  <c r="B52" i="2"/>
  <c r="B53" i="2"/>
  <c r="B54" i="2"/>
  <c r="B55" i="2"/>
  <c r="B56" i="2"/>
  <c r="B57" i="2"/>
  <c r="B58" i="2"/>
  <c r="A57" i="1"/>
  <c r="J13" i="3" l="1"/>
  <c r="J120" i="3"/>
  <c r="K120" i="3"/>
  <c r="K103" i="3"/>
  <c r="J103" i="3"/>
  <c r="R42" i="3"/>
  <c r="S42" i="3"/>
  <c r="J42" i="3"/>
  <c r="K42" i="3"/>
  <c r="R41" i="3"/>
  <c r="S41" i="3"/>
  <c r="J41" i="3"/>
  <c r="K41" i="3"/>
  <c r="R40" i="3"/>
  <c r="S40" i="3"/>
  <c r="J40" i="3"/>
  <c r="K40" i="3"/>
  <c r="R39" i="3"/>
  <c r="S39" i="3"/>
  <c r="J39" i="3"/>
  <c r="K39" i="3"/>
  <c r="R38" i="3"/>
  <c r="S38" i="3"/>
  <c r="K38" i="3"/>
  <c r="J38" i="3"/>
  <c r="R37" i="3"/>
  <c r="S37" i="3"/>
  <c r="S35" i="3"/>
  <c r="J37" i="3"/>
  <c r="K37" i="3"/>
  <c r="R36" i="3"/>
  <c r="S32" i="3"/>
  <c r="S34" i="3"/>
  <c r="S36" i="3"/>
  <c r="S33" i="3"/>
  <c r="R35" i="3"/>
  <c r="J36" i="3"/>
  <c r="K36" i="3"/>
  <c r="R101" i="3"/>
  <c r="J35" i="3"/>
  <c r="K35" i="3"/>
  <c r="S101" i="3"/>
  <c r="J101" i="3"/>
  <c r="K101" i="3"/>
  <c r="R119" i="3"/>
  <c r="S119" i="3"/>
  <c r="R34" i="3"/>
  <c r="J119" i="3"/>
  <c r="K119" i="3"/>
  <c r="J34" i="3"/>
  <c r="K34" i="3"/>
  <c r="R100" i="3"/>
  <c r="S100" i="3"/>
  <c r="J100" i="3"/>
  <c r="K100" i="3"/>
  <c r="R99" i="3"/>
  <c r="S99" i="3"/>
  <c r="J99" i="3"/>
  <c r="K99" i="3"/>
  <c r="R118" i="3"/>
  <c r="S118" i="3"/>
  <c r="J118" i="3"/>
  <c r="K118" i="3"/>
  <c r="R111" i="3"/>
  <c r="S111" i="3"/>
  <c r="AB75" i="3"/>
  <c r="J111" i="3"/>
  <c r="K111" i="3"/>
  <c r="R75" i="3"/>
  <c r="S75" i="3"/>
  <c r="AB109" i="3"/>
  <c r="J75" i="3"/>
  <c r="K75" i="3"/>
  <c r="R109" i="3"/>
  <c r="S109" i="3"/>
  <c r="R113" i="3"/>
  <c r="S113" i="3"/>
  <c r="J113" i="3"/>
  <c r="J109" i="3"/>
  <c r="K113" i="3"/>
  <c r="K109" i="3"/>
  <c r="R115" i="3"/>
  <c r="S115" i="3"/>
  <c r="J115" i="3"/>
  <c r="K115" i="3"/>
  <c r="R114" i="3"/>
  <c r="S114" i="3"/>
  <c r="J114" i="3"/>
  <c r="K114" i="3"/>
  <c r="S110" i="3"/>
  <c r="R110" i="3"/>
  <c r="R112" i="3"/>
  <c r="R33" i="3"/>
  <c r="J110" i="3"/>
  <c r="K110" i="3"/>
  <c r="J33" i="3"/>
  <c r="K33" i="3"/>
  <c r="R32" i="3"/>
  <c r="J32" i="3"/>
  <c r="K32" i="3"/>
  <c r="R81" i="3"/>
  <c r="S81" i="3"/>
  <c r="J81" i="3"/>
  <c r="K81" i="3"/>
  <c r="S31" i="3"/>
  <c r="R31" i="3"/>
  <c r="J31" i="3"/>
  <c r="K31" i="3"/>
  <c r="R97" i="3"/>
  <c r="S97" i="3"/>
  <c r="J97" i="3"/>
  <c r="K97" i="3"/>
  <c r="R30" i="3"/>
  <c r="S30" i="3"/>
  <c r="J30" i="3"/>
  <c r="K30" i="3"/>
  <c r="R29" i="3"/>
  <c r="S29" i="3"/>
  <c r="J29" i="3"/>
  <c r="K29" i="3"/>
  <c r="AB83" i="3"/>
  <c r="K80" i="3"/>
  <c r="R83" i="3"/>
  <c r="S83" i="3"/>
  <c r="J83" i="3"/>
  <c r="K83" i="3"/>
  <c r="S108" i="3"/>
  <c r="S112" i="3"/>
  <c r="R108" i="3"/>
  <c r="K108" i="3"/>
  <c r="K112" i="3"/>
  <c r="J108" i="3"/>
  <c r="J112" i="3"/>
  <c r="R147" i="3"/>
  <c r="S147" i="3"/>
  <c r="J147" i="3"/>
  <c r="K147" i="3"/>
  <c r="R45" i="3"/>
  <c r="S45" i="3"/>
  <c r="J45" i="3"/>
  <c r="K45" i="3"/>
  <c r="R96" i="3"/>
  <c r="S96" i="3"/>
  <c r="J96" i="3"/>
  <c r="K96" i="3"/>
  <c r="R146" i="3"/>
  <c r="S146" i="3"/>
  <c r="J146" i="3"/>
  <c r="K146" i="3"/>
  <c r="AB74" i="3"/>
  <c r="R74" i="3"/>
  <c r="S74" i="3"/>
  <c r="J74" i="3"/>
  <c r="K74" i="3"/>
  <c r="R73" i="3"/>
  <c r="S73" i="3"/>
  <c r="J73" i="3"/>
  <c r="K73" i="3"/>
  <c r="R98" i="3"/>
  <c r="S98" i="3"/>
  <c r="J98" i="3"/>
  <c r="K98" i="3"/>
  <c r="AB145" i="3"/>
  <c r="R145" i="3"/>
  <c r="S145" i="3"/>
  <c r="J145" i="3"/>
  <c r="K145" i="3"/>
  <c r="R149" i="3"/>
  <c r="S149" i="3"/>
  <c r="J149" i="3"/>
  <c r="K149" i="3"/>
  <c r="R95" i="3"/>
  <c r="S95" i="3"/>
  <c r="R94" i="3"/>
  <c r="S94" i="3"/>
  <c r="K94" i="3"/>
  <c r="K95" i="3"/>
  <c r="AB93" i="3"/>
  <c r="J94" i="3"/>
  <c r="J95" i="3"/>
  <c r="R93" i="3"/>
  <c r="S93" i="3"/>
  <c r="J93" i="3"/>
  <c r="K93" i="3"/>
  <c r="R80" i="3"/>
  <c r="S80" i="3"/>
  <c r="J80" i="3"/>
  <c r="R72" i="3"/>
  <c r="S72" i="3"/>
  <c r="J72" i="3"/>
  <c r="K72" i="3"/>
  <c r="AB68" i="3"/>
  <c r="AB70" i="3"/>
  <c r="AB117" i="3"/>
  <c r="AB63" i="3"/>
  <c r="AB67" i="3"/>
  <c r="AB143" i="3"/>
  <c r="S67" i="3"/>
  <c r="S69" i="3"/>
  <c r="S71" i="3"/>
  <c r="S68" i="3"/>
  <c r="S70" i="3"/>
  <c r="R67" i="3"/>
  <c r="R69" i="3"/>
  <c r="R71" i="3"/>
  <c r="R68" i="3"/>
  <c r="R70" i="3"/>
  <c r="K67" i="3"/>
  <c r="K69" i="3"/>
  <c r="K71" i="3"/>
  <c r="K68" i="3"/>
  <c r="K70" i="3"/>
  <c r="J67" i="3"/>
  <c r="J69" i="3"/>
  <c r="J71" i="3"/>
  <c r="J68" i="3"/>
  <c r="J70" i="3"/>
  <c r="R66" i="3"/>
  <c r="S66" i="3"/>
  <c r="J66" i="3"/>
  <c r="K66" i="3"/>
  <c r="R148" i="3"/>
  <c r="S148" i="3"/>
  <c r="J148" i="3"/>
  <c r="K148" i="3"/>
  <c r="S63" i="3"/>
  <c r="S65" i="3"/>
  <c r="S64" i="3"/>
  <c r="R63" i="3"/>
  <c r="R65" i="3"/>
  <c r="R64" i="3"/>
  <c r="K63" i="3"/>
  <c r="K65" i="3"/>
  <c r="K64" i="3"/>
  <c r="J63" i="3"/>
  <c r="J65" i="3"/>
  <c r="J64" i="3"/>
  <c r="S62" i="3"/>
  <c r="S117" i="3"/>
  <c r="K117" i="3"/>
  <c r="R117" i="3"/>
  <c r="J117" i="3"/>
  <c r="R62" i="3"/>
  <c r="J62" i="3"/>
  <c r="K62" i="3"/>
  <c r="R143" i="3"/>
  <c r="S143" i="3"/>
  <c r="R138" i="3"/>
  <c r="S138" i="3"/>
  <c r="K138" i="3"/>
  <c r="K143" i="3"/>
  <c r="S139" i="3"/>
  <c r="J138" i="3"/>
  <c r="J143" i="3"/>
  <c r="R139" i="3"/>
  <c r="S91" i="3"/>
  <c r="K139" i="3"/>
  <c r="R91" i="3"/>
  <c r="J91" i="3"/>
  <c r="K91" i="3"/>
  <c r="J139" i="3"/>
  <c r="R79" i="3"/>
  <c r="S79" i="3"/>
  <c r="J79" i="3"/>
  <c r="K79" i="3"/>
  <c r="R28" i="3"/>
  <c r="S28" i="3"/>
  <c r="J28" i="3"/>
  <c r="K28" i="3"/>
  <c r="R129" i="3"/>
  <c r="S129" i="3"/>
  <c r="J129" i="3"/>
  <c r="K129" i="3"/>
  <c r="R47" i="3"/>
  <c r="S47" i="3"/>
  <c r="J47" i="3"/>
  <c r="K47" i="3"/>
  <c r="R140" i="3"/>
  <c r="S140" i="3"/>
  <c r="J140" i="3"/>
  <c r="K140" i="3"/>
  <c r="S24" i="3"/>
  <c r="K24" i="3"/>
  <c r="R24" i="3"/>
  <c r="S128" i="3"/>
  <c r="J24" i="3"/>
  <c r="R128" i="3"/>
  <c r="J128" i="3"/>
  <c r="K128" i="3"/>
  <c r="S137" i="3"/>
  <c r="K137" i="3"/>
  <c r="R137" i="3"/>
  <c r="J137" i="3"/>
  <c r="S86" i="3"/>
  <c r="K86" i="3"/>
  <c r="R86" i="3"/>
  <c r="J86" i="3"/>
  <c r="S85" i="3"/>
  <c r="K85" i="3"/>
  <c r="R85" i="3"/>
  <c r="J85" i="3"/>
  <c r="S19" i="3"/>
  <c r="K19" i="3"/>
  <c r="R19" i="3"/>
  <c r="S127" i="3"/>
  <c r="J19" i="3"/>
  <c r="S15" i="3"/>
  <c r="R127" i="3"/>
  <c r="R15" i="3"/>
  <c r="AB14" i="3"/>
  <c r="R14" i="3"/>
  <c r="S14" i="3"/>
  <c r="S25" i="3"/>
  <c r="R25" i="3"/>
  <c r="R26" i="3"/>
  <c r="S26" i="3"/>
  <c r="J25" i="3"/>
  <c r="K25" i="3"/>
  <c r="K14" i="3"/>
  <c r="K16" i="3"/>
  <c r="J14" i="3"/>
  <c r="J15" i="3"/>
  <c r="K15" i="3"/>
  <c r="J16" i="3"/>
  <c r="S60" i="3"/>
  <c r="K60" i="3"/>
  <c r="J60" i="3"/>
  <c r="R60" i="3"/>
  <c r="J61" i="3"/>
  <c r="K61" i="3"/>
  <c r="S61" i="3"/>
  <c r="S87" i="3"/>
  <c r="R87" i="3"/>
  <c r="R59" i="3"/>
  <c r="R61" i="3"/>
  <c r="S59" i="3"/>
  <c r="K59" i="3"/>
  <c r="J59" i="3"/>
  <c r="K87" i="3"/>
  <c r="J87" i="3"/>
  <c r="R18" i="3"/>
  <c r="S18" i="3"/>
  <c r="S46" i="3"/>
  <c r="S136" i="3"/>
  <c r="R136" i="3"/>
  <c r="S13" i="3"/>
  <c r="R13" i="3"/>
  <c r="J18" i="3"/>
  <c r="K18" i="3"/>
  <c r="K13" i="3"/>
  <c r="K136" i="3"/>
  <c r="J136" i="3"/>
  <c r="R130" i="3"/>
  <c r="AB9" i="3"/>
  <c r="K135" i="3"/>
  <c r="J17" i="3"/>
  <c r="J133" i="3"/>
  <c r="R12" i="3"/>
  <c r="S21" i="3"/>
  <c r="J44" i="3"/>
  <c r="AB17" i="3"/>
  <c r="R22" i="3"/>
  <c r="J131" i="3"/>
  <c r="S134" i="3"/>
  <c r="AB44" i="3"/>
  <c r="R27" i="3"/>
  <c r="K23" i="3"/>
  <c r="J26" i="3"/>
  <c r="S48" i="3"/>
  <c r="K50" i="3"/>
  <c r="J20" i="3"/>
  <c r="S116" i="3"/>
  <c r="S132" i="3"/>
  <c r="R49" i="3"/>
  <c r="R10" i="3"/>
  <c r="K44" i="3"/>
  <c r="S12" i="3"/>
  <c r="R16" i="3"/>
  <c r="K17" i="3"/>
  <c r="S27" i="3"/>
  <c r="K20" i="3"/>
  <c r="J21" i="3"/>
  <c r="S22" i="3"/>
  <c r="R23" i="3"/>
  <c r="J116" i="3"/>
  <c r="S130" i="3"/>
  <c r="K26" i="3"/>
  <c r="J132" i="3"/>
  <c r="AB132" i="3"/>
  <c r="R135" i="3"/>
  <c r="K131" i="3"/>
  <c r="J48" i="3"/>
  <c r="S49" i="3"/>
  <c r="K133" i="3"/>
  <c r="J134" i="3"/>
  <c r="AB134" i="3"/>
  <c r="R50" i="3"/>
  <c r="J51" i="3"/>
  <c r="AB51" i="3"/>
  <c r="R52" i="3"/>
  <c r="K53" i="3"/>
  <c r="J54" i="3"/>
  <c r="R55" i="3"/>
  <c r="K56" i="3"/>
  <c r="J57" i="3"/>
  <c r="S58" i="3"/>
  <c r="J77" i="3"/>
  <c r="AB77" i="3"/>
  <c r="R92" i="3"/>
  <c r="S78" i="3"/>
  <c r="K141" i="3"/>
  <c r="S142" i="3"/>
  <c r="S122" i="3"/>
  <c r="S123" i="3"/>
  <c r="S124" i="3"/>
  <c r="R125" i="3"/>
  <c r="R126" i="3"/>
  <c r="K46" i="3"/>
  <c r="S51" i="3"/>
  <c r="K52" i="3"/>
  <c r="J53" i="3"/>
  <c r="S54" i="3"/>
  <c r="K55" i="3"/>
  <c r="J56" i="3"/>
  <c r="S57" i="3"/>
  <c r="R58" i="3"/>
  <c r="S77" i="3"/>
  <c r="K92" i="3"/>
  <c r="AE92" i="3"/>
  <c r="R78" i="3"/>
  <c r="J141" i="3"/>
  <c r="AB141" i="3"/>
  <c r="R142" i="3"/>
  <c r="R122" i="3"/>
  <c r="R123" i="3"/>
  <c r="R124" i="3"/>
  <c r="K125" i="3"/>
  <c r="K126" i="3"/>
  <c r="J46" i="3"/>
  <c r="R9" i="3"/>
  <c r="S10" i="3"/>
  <c r="R44" i="3"/>
  <c r="AB12" i="3"/>
  <c r="S16" i="3"/>
  <c r="R17" i="3"/>
  <c r="J27" i="3"/>
  <c r="R20" i="3"/>
  <c r="K21" i="3"/>
  <c r="J22" i="3"/>
  <c r="S23" i="3"/>
  <c r="K116" i="3"/>
  <c r="J130" i="3"/>
  <c r="K132" i="3"/>
  <c r="S135" i="3"/>
  <c r="R131" i="3"/>
  <c r="K48" i="3"/>
  <c r="J49" i="3"/>
  <c r="AB49" i="3"/>
  <c r="R133" i="3"/>
  <c r="K134" i="3"/>
  <c r="S50" i="3"/>
  <c r="K51" i="3"/>
  <c r="S52" i="3"/>
  <c r="R53" i="3"/>
  <c r="K54" i="3"/>
  <c r="S55" i="3"/>
  <c r="R56" i="3"/>
  <c r="K57" i="3"/>
  <c r="J58" i="3"/>
  <c r="K77" i="3"/>
  <c r="S92" i="3"/>
  <c r="J78" i="3"/>
  <c r="AB78" i="3"/>
  <c r="R141" i="3"/>
  <c r="J142" i="3"/>
  <c r="J122" i="3"/>
  <c r="J123" i="3"/>
  <c r="J124" i="3"/>
  <c r="AB124" i="3"/>
  <c r="S125" i="3"/>
  <c r="S126" i="3"/>
  <c r="R46" i="3"/>
  <c r="S9" i="3"/>
  <c r="AB10" i="3"/>
  <c r="S44" i="3"/>
  <c r="K12" i="3"/>
  <c r="S17" i="3"/>
  <c r="K27" i="3"/>
  <c r="S20" i="3"/>
  <c r="R21" i="3"/>
  <c r="K22" i="3"/>
  <c r="J23" i="3"/>
  <c r="AB23" i="3"/>
  <c r="R116" i="3"/>
  <c r="K130" i="3"/>
  <c r="R132" i="3"/>
  <c r="J135" i="3"/>
  <c r="S131" i="3"/>
  <c r="R48" i="3"/>
  <c r="K49" i="3"/>
  <c r="S133" i="3"/>
  <c r="R134" i="3"/>
  <c r="J50" i="3"/>
  <c r="AB50" i="3"/>
  <c r="R51" i="3"/>
  <c r="J52" i="3"/>
  <c r="S53" i="3"/>
  <c r="R54" i="3"/>
  <c r="J55" i="3"/>
  <c r="S56" i="3"/>
  <c r="R57" i="3"/>
  <c r="K58" i="3"/>
  <c r="R77" i="3"/>
  <c r="J92" i="3"/>
  <c r="AB92" i="3"/>
  <c r="K78" i="3"/>
  <c r="S141" i="3"/>
  <c r="K142" i="3"/>
  <c r="K122" i="3"/>
  <c r="K123" i="3"/>
  <c r="K124" i="3"/>
  <c r="J125" i="3"/>
  <c r="J126" i="3"/>
  <c r="A3" i="1"/>
  <c r="P41" i="1" l="1"/>
  <c r="G41" i="1"/>
  <c r="O41" i="1"/>
  <c r="H41" i="1"/>
  <c r="P57" i="1"/>
  <c r="O57" i="1"/>
  <c r="H57" i="1"/>
  <c r="G57" i="1"/>
  <c r="P45" i="1"/>
  <c r="P46" i="1"/>
  <c r="P19" i="1"/>
  <c r="P20" i="1"/>
  <c r="Y15" i="1"/>
  <c r="H40" i="1"/>
  <c r="G40" i="1"/>
  <c r="H15" i="1"/>
  <c r="G15" i="1"/>
  <c r="O39" i="1"/>
  <c r="P39" i="1"/>
  <c r="O40" i="1"/>
  <c r="P40" i="1"/>
  <c r="H39" i="1"/>
  <c r="G39" i="1"/>
  <c r="P15" i="1"/>
  <c r="O15" i="1"/>
  <c r="P56" i="1"/>
  <c r="O56" i="1"/>
  <c r="H56" i="1"/>
  <c r="G56" i="1"/>
  <c r="P38" i="1"/>
  <c r="G37" i="1"/>
  <c r="P37" i="1"/>
  <c r="O37" i="1"/>
  <c r="G38" i="1"/>
  <c r="H37" i="1"/>
  <c r="O38" i="1"/>
  <c r="H38" i="1"/>
  <c r="P55" i="1"/>
  <c r="O55" i="1"/>
  <c r="G55" i="1"/>
  <c r="H55" i="1"/>
  <c r="O23" i="1"/>
  <c r="P23" i="1"/>
  <c r="G23" i="1"/>
  <c r="H23" i="1"/>
  <c r="P48" i="1"/>
  <c r="P32" i="1"/>
  <c r="P34" i="1"/>
  <c r="P33" i="1"/>
  <c r="G16" i="1"/>
  <c r="P31" i="1"/>
  <c r="P35" i="1"/>
  <c r="P16" i="1"/>
  <c r="P14" i="1"/>
  <c r="O16" i="1"/>
  <c r="H16" i="1"/>
  <c r="B44" i="2"/>
  <c r="B45" i="2"/>
  <c r="B47" i="2"/>
  <c r="B46" i="2"/>
  <c r="B48" i="2"/>
  <c r="B37" i="2"/>
  <c r="B38" i="2"/>
  <c r="B39" i="2"/>
  <c r="B40" i="2"/>
  <c r="B41" i="2"/>
  <c r="B42" i="2"/>
  <c r="B43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9" i="2"/>
  <c r="B10" i="2"/>
  <c r="B11" i="2"/>
  <c r="B12" i="2"/>
  <c r="B13" i="2"/>
  <c r="B14" i="2"/>
  <c r="B15" i="2"/>
  <c r="B16" i="2"/>
  <c r="B17" i="2"/>
  <c r="B8" i="2"/>
  <c r="A9" i="2" l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" i="2"/>
  <c r="A13" i="1" l="1"/>
  <c r="A14" i="1" l="1"/>
  <c r="A15" i="1" s="1"/>
  <c r="A16" i="1" s="1"/>
  <c r="A17" i="1" s="1"/>
  <c r="A18" i="1" s="1"/>
  <c r="A19" i="1" s="1"/>
  <c r="A20" i="1" s="1"/>
  <c r="A21" i="1" s="1"/>
  <c r="A22" i="1" s="1"/>
  <c r="A23" i="1" s="1"/>
  <c r="N7" i="1"/>
  <c r="G6" i="1"/>
  <c r="Y19" i="1" l="1"/>
  <c r="Y46" i="1"/>
  <c r="H19" i="1"/>
  <c r="O19" i="1"/>
  <c r="G19" i="1"/>
  <c r="G46" i="1"/>
  <c r="O46" i="1"/>
  <c r="H46" i="1"/>
  <c r="P21" i="1"/>
  <c r="H21" i="1"/>
  <c r="O21" i="1"/>
  <c r="G21" i="1"/>
  <c r="Y54" i="1"/>
  <c r="H54" i="1"/>
  <c r="P54" i="1"/>
  <c r="G54" i="1"/>
  <c r="O54" i="1"/>
  <c r="H48" i="1"/>
  <c r="G48" i="1"/>
  <c r="H45" i="1"/>
  <c r="H44" i="1"/>
  <c r="H43" i="1"/>
  <c r="G45" i="1"/>
  <c r="G44" i="1"/>
  <c r="G43" i="1"/>
  <c r="H36" i="1"/>
  <c r="H35" i="1"/>
  <c r="H34" i="1"/>
  <c r="H33" i="1"/>
  <c r="H32" i="1"/>
  <c r="H31" i="1"/>
  <c r="H30" i="1"/>
  <c r="H29" i="1"/>
  <c r="H28" i="1"/>
  <c r="H27" i="1"/>
  <c r="H26" i="1"/>
  <c r="H25" i="1"/>
  <c r="G36" i="1"/>
  <c r="G35" i="1"/>
  <c r="G34" i="1"/>
  <c r="G33" i="1"/>
  <c r="G32" i="1"/>
  <c r="G31" i="1"/>
  <c r="G30" i="1"/>
  <c r="G29" i="1"/>
  <c r="G28" i="1"/>
  <c r="G27" i="1"/>
  <c r="G26" i="1"/>
  <c r="G25" i="1"/>
  <c r="H12" i="1"/>
  <c r="G13" i="1"/>
  <c r="G14" i="1"/>
  <c r="G17" i="1"/>
  <c r="G18" i="1"/>
  <c r="G52" i="1"/>
  <c r="G20" i="1"/>
  <c r="G53" i="1"/>
  <c r="G22" i="1"/>
  <c r="H13" i="1"/>
  <c r="H14" i="1"/>
  <c r="H17" i="1"/>
  <c r="H18" i="1"/>
  <c r="H52" i="1"/>
  <c r="H20" i="1"/>
  <c r="H53" i="1"/>
  <c r="H22" i="1"/>
  <c r="G12" i="1"/>
  <c r="Y43" i="1"/>
  <c r="O48" i="1"/>
  <c r="Y44" i="1"/>
  <c r="AB44" i="1"/>
  <c r="P44" i="1"/>
  <c r="O44" i="1"/>
  <c r="O35" i="1"/>
  <c r="O36" i="1"/>
  <c r="P36" i="1"/>
  <c r="O22" i="1"/>
  <c r="P22" i="1"/>
  <c r="O20" i="1"/>
  <c r="Y45" i="1"/>
  <c r="Y33" i="1"/>
  <c r="Y31" i="1"/>
  <c r="Y32" i="1"/>
  <c r="Y29" i="1"/>
  <c r="P53" i="1"/>
  <c r="O53" i="1"/>
  <c r="Y25" i="1"/>
  <c r="Y10" i="1"/>
  <c r="Y9" i="1"/>
  <c r="P43" i="1"/>
  <c r="P30" i="1"/>
  <c r="P29" i="1"/>
  <c r="P28" i="1"/>
  <c r="P27" i="1"/>
  <c r="P26" i="1"/>
  <c r="P25" i="1"/>
  <c r="O43" i="1"/>
  <c r="O34" i="1"/>
  <c r="O33" i="1"/>
  <c r="O32" i="1"/>
  <c r="O31" i="1"/>
  <c r="O30" i="1"/>
  <c r="O29" i="1"/>
  <c r="O28" i="1"/>
  <c r="O27" i="1"/>
  <c r="O26" i="1"/>
  <c r="O25" i="1"/>
  <c r="Y12" i="1"/>
  <c r="O18" i="1"/>
  <c r="P18" i="1"/>
  <c r="O10" i="1"/>
  <c r="O17" i="1"/>
  <c r="O52" i="1"/>
  <c r="O45" i="1"/>
  <c r="P17" i="1"/>
  <c r="P52" i="1"/>
  <c r="P12" i="1"/>
  <c r="O12" i="1"/>
  <c r="Y13" i="1"/>
  <c r="O14" i="1"/>
  <c r="P13" i="1"/>
  <c r="O13" i="1"/>
  <c r="P9" i="1"/>
  <c r="P10" i="1"/>
  <c r="O9" i="1"/>
  <c r="A25" i="1" l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l="1"/>
  <c r="A38" i="1" s="1"/>
  <c r="A39" i="1" l="1"/>
  <c r="A40" i="1" s="1"/>
  <c r="A41" i="1" s="1"/>
  <c r="A43" i="1" l="1"/>
  <c r="A44" i="1" s="1"/>
  <c r="A45" i="1" s="1"/>
  <c r="A46" i="1" s="1"/>
  <c r="A48" i="1" s="1"/>
</calcChain>
</file>

<file path=xl/comments1.xml><?xml version="1.0" encoding="utf-8"?>
<comments xmlns="http://schemas.openxmlformats.org/spreadsheetml/2006/main">
  <authors>
    <author>MS RANGGA</author>
  </authors>
  <commentList>
    <comment ref="F357" authorId="0" shapeId="0">
      <text>
        <r>
          <rPr>
            <b/>
            <sz val="9"/>
            <color indexed="81"/>
            <rFont val="Tahoma"/>
            <family val="2"/>
          </rPr>
          <t>TERLIBAT PENCURIAN</t>
        </r>
      </text>
    </comment>
    <comment ref="F368" authorId="0" shapeId="0">
      <text>
        <r>
          <rPr>
            <b/>
            <sz val="9"/>
            <color indexed="81"/>
            <rFont val="Tahoma"/>
            <family val="2"/>
          </rPr>
          <t xml:space="preserve">MOVE KOSME
</t>
        </r>
      </text>
    </comment>
    <comment ref="F369" authorId="0" shapeId="0">
      <text>
        <r>
          <rPr>
            <b/>
            <sz val="9"/>
            <color rgb="FF000000"/>
            <rFont val="Tahoma"/>
            <family val="2"/>
          </rPr>
          <t>MOVE KOSME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F372" authorId="0" shapeId="0">
      <text>
        <r>
          <rPr>
            <b/>
            <sz val="9"/>
            <color indexed="81"/>
            <rFont val="Tahoma"/>
            <family val="2"/>
          </rPr>
          <t>TERLIBAT MAKE UP HARGA</t>
        </r>
      </text>
    </comment>
    <comment ref="F373" authorId="0" shapeId="0">
      <text>
        <r>
          <rPr>
            <b/>
            <sz val="9"/>
            <color indexed="81"/>
            <rFont val="Tahoma"/>
            <family val="2"/>
          </rPr>
          <t>TERLIBAT MAKE UP HARGA</t>
        </r>
      </text>
    </comment>
    <comment ref="F374" authorId="0" shapeId="0">
      <text>
        <r>
          <rPr>
            <b/>
            <sz val="9"/>
            <color indexed="81"/>
            <rFont val="Tahoma"/>
            <family val="2"/>
          </rPr>
          <t>TERLIBAT MAKE UP HARGA</t>
        </r>
      </text>
    </comment>
    <comment ref="F393" authorId="0" shapeId="0">
      <text>
        <r>
          <rPr>
            <b/>
            <sz val="9"/>
            <color indexed="81"/>
            <rFont val="Tahoma"/>
            <family val="2"/>
          </rPr>
          <t>MS RANGGAresign tgl 25 Desember 2020</t>
        </r>
      </text>
    </comment>
    <comment ref="F394" authorId="0" shapeId="0">
      <text>
        <r>
          <rPr>
            <b/>
            <sz val="9"/>
            <color indexed="81"/>
            <rFont val="Tahoma"/>
            <family val="2"/>
          </rPr>
          <t>MS RANGGA:</t>
        </r>
        <r>
          <rPr>
            <sz val="9"/>
            <color indexed="81"/>
            <rFont val="Tahoma"/>
            <family val="2"/>
          </rPr>
          <t xml:space="preserve">
RESIGN TGL 28 DESEMBER 2020
</t>
        </r>
      </text>
    </comment>
    <comment ref="F395" authorId="0" shapeId="0">
      <text>
        <r>
          <rPr>
            <b/>
            <sz val="9"/>
            <color indexed="81"/>
            <rFont val="Tahoma"/>
            <family val="2"/>
          </rPr>
          <t>MS RANGGATANGGAL 4 JANUARI 2021</t>
        </r>
      </text>
    </comment>
  </commentList>
</comments>
</file>

<file path=xl/sharedStrings.xml><?xml version="1.0" encoding="utf-8"?>
<sst xmlns="http://schemas.openxmlformats.org/spreadsheetml/2006/main" count="11442" uniqueCount="2387">
  <si>
    <t>DAFTAR NAMA TENAGA KERJA</t>
  </si>
  <si>
    <t>No.</t>
  </si>
  <si>
    <t>N I K *</t>
  </si>
  <si>
    <t>JABATAN *</t>
  </si>
  <si>
    <t>MASA KERJA</t>
  </si>
  <si>
    <t>Tanggal Lahir</t>
  </si>
  <si>
    <t>Umur</t>
  </si>
  <si>
    <t>ISTERI/SUAMI</t>
  </si>
  <si>
    <t>ANAK I</t>
  </si>
  <si>
    <t>ANAK II</t>
  </si>
  <si>
    <t>ANAK III</t>
  </si>
  <si>
    <t>KTP *</t>
  </si>
  <si>
    <t>ALAMAT TINGGAL</t>
  </si>
  <si>
    <t xml:space="preserve">ACCOUNT BANK * </t>
  </si>
  <si>
    <t>EMAIL</t>
  </si>
  <si>
    <t>MULAI</t>
  </si>
  <si>
    <t>AKHIR</t>
  </si>
  <si>
    <t>Pendidikan</t>
  </si>
  <si>
    <t>Jurusan</t>
  </si>
  <si>
    <t>Nama</t>
  </si>
  <si>
    <t>Tgl Lahir</t>
  </si>
  <si>
    <t>NOMOR KTP</t>
  </si>
  <si>
    <t>ALAMAT KTP</t>
  </si>
  <si>
    <t>Atas Nama (sesuai dibuku rekening)</t>
  </si>
  <si>
    <t>NOMOR REKENING</t>
  </si>
  <si>
    <t>BANK</t>
  </si>
  <si>
    <t>CABANG</t>
  </si>
  <si>
    <t>Tahun</t>
  </si>
  <si>
    <t>Bulan</t>
  </si>
  <si>
    <t>MANAGEMENT</t>
  </si>
  <si>
    <t>NO. BPJS KETENAGAKERJAAN</t>
  </si>
  <si>
    <t>NO. BPJS KESEHATAN</t>
  </si>
  <si>
    <t>NO. HP</t>
  </si>
  <si>
    <t>GILANG WIDYA PRAMANA</t>
  </si>
  <si>
    <t>DIREKTUR</t>
  </si>
  <si>
    <t>L</t>
  </si>
  <si>
    <t>ISLAM</t>
  </si>
  <si>
    <t>PROBOLINGGO</t>
  </si>
  <si>
    <t>STATUS PERKAWINAN</t>
  </si>
  <si>
    <t>CHANDRA MAHARDHIKA</t>
  </si>
  <si>
    <t>HRD</t>
  </si>
  <si>
    <t>MALANG</t>
  </si>
  <si>
    <t>D-IV</t>
  </si>
  <si>
    <t>AKUNTANSI MANAJEMEN</t>
  </si>
  <si>
    <t>O</t>
  </si>
  <si>
    <t>K/1</t>
  </si>
  <si>
    <t>FEBRIANA PUTRI ASIH VALENTINE</t>
  </si>
  <si>
    <t>ALARIC GHIBRAN MAHARDHIKA</t>
  </si>
  <si>
    <t>-</t>
  </si>
  <si>
    <t>3573040708880003</t>
  </si>
  <si>
    <t>JL. RANAKAH Q-9 TIDAR - MALANG</t>
  </si>
  <si>
    <t>JL. SIMPANG LOWOKDORO NO. 2 KAV. 1 - MALANG</t>
  </si>
  <si>
    <t>081233993341</t>
  </si>
  <si>
    <t>mahardhika.chandra7888@gmail.com</t>
  </si>
  <si>
    <t>BACK OFFICE</t>
  </si>
  <si>
    <t>KOMISARIS</t>
  </si>
  <si>
    <t>MANAGER BACK OFFICE</t>
  </si>
  <si>
    <t>S-1</t>
  </si>
  <si>
    <t>TI - DG</t>
  </si>
  <si>
    <t>TK/0</t>
  </si>
  <si>
    <t>JL. S. SUPRIADI A IX RT.07 RW.04 NO.26 - MALANG</t>
  </si>
  <si>
    <t>089680813467</t>
  </si>
  <si>
    <t>KUMARA FOREST H.</t>
  </si>
  <si>
    <t>1440017286805</t>
  </si>
  <si>
    <t>MANDIRI</t>
  </si>
  <si>
    <t>kumarabunk@gmail.com</t>
  </si>
  <si>
    <t>RIZHALDI ADHITYA</t>
  </si>
  <si>
    <t>ADMIN OFFICE</t>
  </si>
  <si>
    <t>SMK</t>
  </si>
  <si>
    <t>MULTIMEDIA</t>
  </si>
  <si>
    <t>JL. IR RAIS I/42 RT.04 RW.02 MALANG</t>
  </si>
  <si>
    <t>082245659840</t>
  </si>
  <si>
    <t>1440016589548</t>
  </si>
  <si>
    <t>rizhaladit@gmail.com</t>
  </si>
  <si>
    <t>CITRA DWI MURDIYANTI</t>
  </si>
  <si>
    <t>PURI CEMPAKA PUTIH 3 BG 11 RT.05 RW.06 - MALANG</t>
  </si>
  <si>
    <t>P</t>
  </si>
  <si>
    <t>NPWP</t>
  </si>
  <si>
    <t>75.555.660.2.623.000</t>
  </si>
  <si>
    <t>3573040810920007</t>
  </si>
  <si>
    <t>FITRIYAH</t>
  </si>
  <si>
    <t>OFFICE GIRL / PANTRY</t>
  </si>
  <si>
    <t>MI / SD</t>
  </si>
  <si>
    <t>3573034505900009</t>
  </si>
  <si>
    <t>JL. KH MALIK DALAM RT.03/RW.04 - MALANG</t>
  </si>
  <si>
    <t>1440016489459</t>
  </si>
  <si>
    <t>97.290.407.2.623.000</t>
  </si>
  <si>
    <t>3573041910950004</t>
  </si>
  <si>
    <t>OKY ARI AFANDI</t>
  </si>
  <si>
    <t>ADMIN</t>
  </si>
  <si>
    <t>MANAJEMEN</t>
  </si>
  <si>
    <t>3573040810910003</t>
  </si>
  <si>
    <t>JL. CANDI 5B/569 KEL. KARANGBESUKI- MALANG</t>
  </si>
  <si>
    <t>082236179998</t>
  </si>
  <si>
    <t>1440016471978</t>
  </si>
  <si>
    <t>MALANG - KCP SUPRAPTO</t>
  </si>
  <si>
    <t>ocky08traffict@gmail.com</t>
  </si>
  <si>
    <t>KUMARA FOREST HIMAWAN</t>
  </si>
  <si>
    <t>VIOLA DWI PERMATASARI</t>
  </si>
  <si>
    <t>ADMIN / MARKETING</t>
  </si>
  <si>
    <t>JL. LESTI UTARA NO. 91B RT.07/RW.03 - BATU</t>
  </si>
  <si>
    <t>082257886906</t>
  </si>
  <si>
    <t>violapermatasari09@gmail.com</t>
  </si>
  <si>
    <t>GREVICTA VETA SANDIKA</t>
  </si>
  <si>
    <t>KECANTIKAN KULIT</t>
  </si>
  <si>
    <t>B</t>
  </si>
  <si>
    <t>3573054712980003</t>
  </si>
  <si>
    <t>JL. IKAN GURAMI NO.24 RT.03/RW.06 - MALANG</t>
  </si>
  <si>
    <t>082261192267</t>
  </si>
  <si>
    <t>A G A M A</t>
  </si>
  <si>
    <t>NAMA LENGKAP</t>
  </si>
  <si>
    <t>PENDIDIKAN TERAKHIR</t>
  </si>
  <si>
    <t>SANTARI</t>
  </si>
  <si>
    <t>DRIVER</t>
  </si>
  <si>
    <t>3507220507640001</t>
  </si>
  <si>
    <t>DUSUN SUMBEREJO RT.04/RW.02 KALISONGO - DAU</t>
  </si>
  <si>
    <t>SHANDY PURNAMASARI</t>
  </si>
  <si>
    <t>3574040405890001</t>
  </si>
  <si>
    <t>JL. KH AHMAD DAHLAN 123 RT.01/RW.01 PROBOLINGGO</t>
  </si>
  <si>
    <t>35.447.918.0.625.000</t>
  </si>
  <si>
    <t>081233732340</t>
  </si>
  <si>
    <t>APK</t>
  </si>
  <si>
    <t>JL. MASJID NO. 22 KLAGEN TAJINAN - MALANG</t>
  </si>
  <si>
    <t>081334178380</t>
  </si>
  <si>
    <t>1440016469386</t>
  </si>
  <si>
    <t>citradwimurdiyanti19@gmail.com</t>
  </si>
  <si>
    <t>RIFA'I SUNETH</t>
  </si>
  <si>
    <t>MUHAMMAD AL-AFZAN SUNETH</t>
  </si>
  <si>
    <t>3573015901920008</t>
  </si>
  <si>
    <t>SURABAYA</t>
  </si>
  <si>
    <t>S1</t>
  </si>
  <si>
    <t>FELICIA LASHA ZAFEERA</t>
  </si>
  <si>
    <t>1440017006906</t>
  </si>
  <si>
    <t>PACKING</t>
  </si>
  <si>
    <t>INDRI WULANDARI</t>
  </si>
  <si>
    <t>PACKING HEAD</t>
  </si>
  <si>
    <t>SMP</t>
  </si>
  <si>
    <t>SUHARTANTO</t>
  </si>
  <si>
    <t>FRISKA HARTANTI APRILIA</t>
  </si>
  <si>
    <t>3573034908960004</t>
  </si>
  <si>
    <t>JL. KI AGENG GRIBIG RT.02/RW.03 MALANG</t>
  </si>
  <si>
    <t>082140547865</t>
  </si>
  <si>
    <t>1440016867597</t>
  </si>
  <si>
    <t>AULIA PRATAMA</t>
  </si>
  <si>
    <t>STAFF PACKING</t>
  </si>
  <si>
    <t>MOJOKERTO</t>
  </si>
  <si>
    <t>TATA BOGA</t>
  </si>
  <si>
    <t>3507234108960001</t>
  </si>
  <si>
    <t>PERUM GRIYA PERMATA ALAM BLOK LC-10 NGIJO - KAB. MALANG</t>
  </si>
  <si>
    <t>JL. KUNTA BASWARA 8 NO. 5</t>
  </si>
  <si>
    <t>081944946485</t>
  </si>
  <si>
    <t>DWI RAHMA TIWI</t>
  </si>
  <si>
    <t>SMA</t>
  </si>
  <si>
    <t>IPA</t>
  </si>
  <si>
    <t>3507154802950001</t>
  </si>
  <si>
    <t>DSN KLAGEN RT.05/RW.03 TAJINAN</t>
  </si>
  <si>
    <t>JL. MASJID RT.05 RW.03 KLAGEN, TAJINAN - MALANG</t>
  </si>
  <si>
    <t>085248706986</t>
  </si>
  <si>
    <t>dwirahma.dr95.dr@gmail.com</t>
  </si>
  <si>
    <t>IMELDA SUNETH</t>
  </si>
  <si>
    <t>WAKAL</t>
  </si>
  <si>
    <t>AKUNTANSI</t>
  </si>
  <si>
    <t>8101156806860002</t>
  </si>
  <si>
    <t>WIK GANEMO - WAKAL KEC. LEIHITU</t>
  </si>
  <si>
    <t>081391122559</t>
  </si>
  <si>
    <t>IRANING RAHAYU</t>
  </si>
  <si>
    <t>MOCH. FAUJI</t>
  </si>
  <si>
    <t>NAILA FAUZIATUROHMA</t>
  </si>
  <si>
    <t>3507156503870001</t>
  </si>
  <si>
    <t>JL. RADEN SALEH DSN PABRIAN RT.15/RW.03 BULULAWANG</t>
  </si>
  <si>
    <t>085646326911</t>
  </si>
  <si>
    <t>KHOLID MASRUROH</t>
  </si>
  <si>
    <t>ADMINISTRASI</t>
  </si>
  <si>
    <t>3507155210960001</t>
  </si>
  <si>
    <t>DS. TAJINAN RT.05/RW.03 TAJINAN</t>
  </si>
  <si>
    <t>082249062212</t>
  </si>
  <si>
    <t>KIKI ANIKA PUTRI</t>
  </si>
  <si>
    <t>TEKNIK KOMP. &amp; JARINGAN</t>
  </si>
  <si>
    <t>RILO PAMBUDI LAKSONO</t>
  </si>
  <si>
    <t>NAJWA AVRILLIA PUTRI</t>
  </si>
  <si>
    <t>3507156201920003</t>
  </si>
  <si>
    <t>JL. MASJID NO 29 RT.05/RW.03 TAJINAN</t>
  </si>
  <si>
    <t>085288777220</t>
  </si>
  <si>
    <t>NUR HALIMAH</t>
  </si>
  <si>
    <t>SD</t>
  </si>
  <si>
    <t>AHMAD JAENURI</t>
  </si>
  <si>
    <t>MOCH. NIZAM ZULFIKAR</t>
  </si>
  <si>
    <t>3573035605930008</t>
  </si>
  <si>
    <t>JL. KALIANYAR RT.04/RW.01 WONOKOYO</t>
  </si>
  <si>
    <t>JL. KH. MALIK DALAM RT.03/RW.04, BURING</t>
  </si>
  <si>
    <t>085853508699</t>
  </si>
  <si>
    <t>RISA WULANDARI</t>
  </si>
  <si>
    <t>TK/1</t>
  </si>
  <si>
    <t>NABILA WIDYA SAFIRA</t>
  </si>
  <si>
    <t>3507155509850001</t>
  </si>
  <si>
    <t>081334767844</t>
  </si>
  <si>
    <t>SUEB</t>
  </si>
  <si>
    <t>BOJONEGORO</t>
  </si>
  <si>
    <t>DARLINA PUSPITA</t>
  </si>
  <si>
    <t>AMELIA PUSPITA SARI</t>
  </si>
  <si>
    <t>3522092111760001</t>
  </si>
  <si>
    <t>DS. NGLUMBER RT.05/RW.03 BOJONEGORO</t>
  </si>
  <si>
    <t>081330464949</t>
  </si>
  <si>
    <t>iwanm85@gmail.com</t>
  </si>
  <si>
    <t>KRISTANTI ODI LESTARI</t>
  </si>
  <si>
    <t>3573045511980006</t>
  </si>
  <si>
    <t>JL. BANDULAN II / 865 RT.05/RW.03 - MALANG</t>
  </si>
  <si>
    <t>0822304057551</t>
  </si>
  <si>
    <t>SLAMET HADI</t>
  </si>
  <si>
    <t>SECURITY</t>
  </si>
  <si>
    <t>K/2</t>
  </si>
  <si>
    <t>MAULIANA</t>
  </si>
  <si>
    <t>MUHAMMAD FAJAR</t>
  </si>
  <si>
    <t>3573031606780004</t>
  </si>
  <si>
    <t>082233385522</t>
  </si>
  <si>
    <t>hh987319@gmail.com</t>
  </si>
  <si>
    <t>SUWANDI</t>
  </si>
  <si>
    <t>AHMAD MIFTACHUL ULUM</t>
  </si>
  <si>
    <t>NOFITASARI</t>
  </si>
  <si>
    <t>AHMAD RIZAL</t>
  </si>
  <si>
    <t>FATCHUL AMIN</t>
  </si>
  <si>
    <t>RIA SULISTIANING</t>
  </si>
  <si>
    <t>JENIS KELAMIN</t>
  </si>
  <si>
    <t>STM</t>
  </si>
  <si>
    <t>AB</t>
  </si>
  <si>
    <t>GOLONGAN DARAH</t>
  </si>
  <si>
    <t>UMAYANTI</t>
  </si>
  <si>
    <t>NENI YUNIAR</t>
  </si>
  <si>
    <t>BAGUS KURNIAWAN</t>
  </si>
  <si>
    <t>3507180503700001</t>
  </si>
  <si>
    <t>KEDUNGREJO DUSUN KEDUNGBOTO RT.01/RW.03 KEC. PAKIS</t>
  </si>
  <si>
    <t>082257094822</t>
  </si>
  <si>
    <t>1440016660430</t>
  </si>
  <si>
    <t>DIAH SAFITRI</t>
  </si>
  <si>
    <t>3579016709950002</t>
  </si>
  <si>
    <t>KIMIA INDUSTRI</t>
  </si>
  <si>
    <t>3507171406970001</t>
  </si>
  <si>
    <t>JL. BRAWIJAYA KEPUH RT.44/RW.11 SUKOPURO - JABUNG</t>
  </si>
  <si>
    <t>085881092663</t>
  </si>
  <si>
    <t>AHMAD MIFTAHUL ULUM</t>
  </si>
  <si>
    <t>ahmadulum207@gmail.com</t>
  </si>
  <si>
    <t>3507101909980007</t>
  </si>
  <si>
    <t>JL. TRUNOJOYO RT.34/RW.04 GONDANGLEGI KULON</t>
  </si>
  <si>
    <t>085606382479</t>
  </si>
  <si>
    <t>MA</t>
  </si>
  <si>
    <t>3507150202970001</t>
  </si>
  <si>
    <t>TAJINAN RT.05/RW.03 TAJINAN</t>
  </si>
  <si>
    <t>085843710881</t>
  </si>
  <si>
    <t>JL. KH. MALIK DALAM BURING</t>
  </si>
  <si>
    <t>089649999391</t>
  </si>
  <si>
    <t>3507184401960005</t>
  </si>
  <si>
    <t>DSN COKRO RT.04/RW.02 SUKOANYAR PAKIS</t>
  </si>
  <si>
    <t>085755763644</t>
  </si>
  <si>
    <t>NOFITA SARI</t>
  </si>
  <si>
    <t>PENJAGA PARKIR</t>
  </si>
  <si>
    <t>MOCHAMAD FAUZI</t>
  </si>
  <si>
    <t>3573031305690008</t>
  </si>
  <si>
    <t>JL. SAWOJAJAR GANG XI NO.56</t>
  </si>
  <si>
    <t>YAYUK</t>
  </si>
  <si>
    <t>M. ALDIN RIFANDI</t>
  </si>
  <si>
    <t>STATUS KARYAWAN</t>
  </si>
  <si>
    <t>TANGGAL MULAI KERJA</t>
  </si>
  <si>
    <t>04</t>
  </si>
  <si>
    <t>18</t>
  </si>
  <si>
    <t>TAHUN MASUK KERJA</t>
  </si>
  <si>
    <t>BULAN MASUK KERJA</t>
  </si>
  <si>
    <t>001</t>
  </si>
  <si>
    <t>NO URUT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</si>
  <si>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</si>
  <si>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</si>
  <si>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</si>
  <si>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</si>
  <si>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</si>
  <si>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</si>
  <si>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</si>
  <si>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</si>
  <si>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</si>
  <si>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</si>
  <si>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</si>
  <si>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</si>
  <si>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</si>
  <si>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</si>
  <si>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</si>
  <si>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</si>
  <si>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</si>
  <si>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</si>
  <si>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</si>
  <si>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</si>
  <si>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</si>
  <si>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</si>
  <si>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</si>
  <si>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</si>
  <si>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</si>
  <si>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</si>
  <si>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</si>
  <si>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</si>
  <si>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JABATAN</t>
  </si>
  <si>
    <t>N I K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</si>
  <si>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</si>
  <si>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</si>
  <si>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</si>
  <si>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</si>
  <si>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</si>
  <si>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</si>
  <si>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</si>
  <si>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</si>
  <si>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</si>
  <si>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</si>
  <si>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</si>
  <si>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</si>
  <si>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9918040001</t>
  </si>
  <si>
    <t>9918040002</t>
  </si>
  <si>
    <t>9918040003</t>
  </si>
  <si>
    <t>9918040004</t>
  </si>
  <si>
    <t>9918040005</t>
  </si>
  <si>
    <t>9918040006</t>
  </si>
  <si>
    <t>9918040007</t>
  </si>
  <si>
    <t>9918040009</t>
  </si>
  <si>
    <t>9918040010</t>
  </si>
  <si>
    <t>9918040011</t>
  </si>
  <si>
    <t>9918040012</t>
  </si>
  <si>
    <t>9918040013</t>
  </si>
  <si>
    <t>9918040014</t>
  </si>
  <si>
    <t>9918040015</t>
  </si>
  <si>
    <t>9918040016</t>
  </si>
  <si>
    <t>9918040017</t>
  </si>
  <si>
    <t>9918040018</t>
  </si>
  <si>
    <t>9918040019</t>
  </si>
  <si>
    <t>9918040020</t>
  </si>
  <si>
    <t>9918040021</t>
  </si>
  <si>
    <t>9918040022</t>
  </si>
  <si>
    <t>9918040023</t>
  </si>
  <si>
    <t>9918040024</t>
  </si>
  <si>
    <t>9918040025</t>
  </si>
  <si>
    <t>9918040026</t>
  </si>
  <si>
    <t>9918040027</t>
  </si>
  <si>
    <t>9918040028</t>
  </si>
  <si>
    <t>9918040029</t>
  </si>
  <si>
    <t>MOH. THOYIB</t>
  </si>
  <si>
    <t>REZA SURATIN VAHLEVI</t>
  </si>
  <si>
    <t>ZALVA REZA NURLAILA</t>
  </si>
  <si>
    <t>3522091905860001</t>
  </si>
  <si>
    <t>DS. NGLUMBER RT.04/RW.02 BOJONEGORO</t>
  </si>
  <si>
    <t>085233738992</t>
  </si>
  <si>
    <t>KONTRAK</t>
  </si>
  <si>
    <t>SHEILA OLGATA WIDYASARI</t>
  </si>
  <si>
    <t>3507185010940001</t>
  </si>
  <si>
    <t>JL. GAJAHMADA RT.05/RW.02 BANJAREJO - PAKIS</t>
  </si>
  <si>
    <t>085785233266 / 081336569356</t>
  </si>
  <si>
    <t>ADMIN ACCOUNTING</t>
  </si>
  <si>
    <t>K/0</t>
  </si>
  <si>
    <t>AHMAD ARDIANTO</t>
  </si>
  <si>
    <t>3507185503930001</t>
  </si>
  <si>
    <t>DUSUN KARANGNONGKO RT.01/RW.01 DESA PUCANG SONGO - PAKIS</t>
  </si>
  <si>
    <t>083848371870</t>
  </si>
  <si>
    <t>RIASULIS TIANING</t>
  </si>
  <si>
    <t>1440017286797</t>
  </si>
  <si>
    <t>1440017394161</t>
  </si>
  <si>
    <t>1440017394179</t>
  </si>
  <si>
    <t>1440017394153</t>
  </si>
  <si>
    <t>UMAR MA'RUF</t>
  </si>
  <si>
    <t>05</t>
  </si>
  <si>
    <t>SARIFA AINI</t>
  </si>
  <si>
    <t>MARKETING</t>
  </si>
  <si>
    <t>OTOMOTIF</t>
  </si>
  <si>
    <t>EVITA VENNY</t>
  </si>
  <si>
    <t>M. MATA MAULANA MA'RUF</t>
  </si>
  <si>
    <t>3573010310880001</t>
  </si>
  <si>
    <t>JL. MAYJED SOETOYO NO. 77 BALIKPAPAN</t>
  </si>
  <si>
    <t>JL. KRESNO NO.22 RT.02/RW.01 POLEHAN MALANG</t>
  </si>
  <si>
    <t>082251702929</t>
  </si>
  <si>
    <t>ADMINISTRASI BISNIS</t>
  </si>
  <si>
    <t>WICAKSONO HARYO</t>
  </si>
  <si>
    <t>KAUTSARYO GHIFARYAN AL ABIDZAR</t>
  </si>
  <si>
    <t>3573015111910002</t>
  </si>
  <si>
    <t>JL. DANAU JONGE H7 D-30 RT.04/RW.15 - MALANG</t>
  </si>
  <si>
    <t>081233625018</t>
  </si>
  <si>
    <t>RIEZA BHAHTIAR</t>
  </si>
  <si>
    <t>DESAIN GRAPHIC</t>
  </si>
  <si>
    <t>MUTASI KLINIK</t>
  </si>
  <si>
    <t>BAGIAN UMUM</t>
  </si>
  <si>
    <t>TURN OVER EMPLOYEE</t>
  </si>
  <si>
    <t>YULAIKA</t>
  </si>
  <si>
    <t>07</t>
  </si>
  <si>
    <t>9918070035</t>
  </si>
  <si>
    <t>3507165708690002</t>
  </si>
  <si>
    <t>JL. NAKULA 29 RT.03/RW.014 - TUMPANG</t>
  </si>
  <si>
    <t>082143604353</t>
  </si>
  <si>
    <t>RESIGN 10/7/18</t>
  </si>
  <si>
    <t>RESIGN 31/7/18</t>
  </si>
  <si>
    <t>MUTASI GUDANG</t>
  </si>
  <si>
    <t>RESIGN</t>
  </si>
  <si>
    <t>GREENWOOD GOLF INDAH NO. 5 - MALANG</t>
  </si>
  <si>
    <t>TEMPAT LAHIR</t>
  </si>
  <si>
    <t>S-2</t>
  </si>
  <si>
    <t>MANAJ. SUMBER DAYA MANUSIA</t>
  </si>
  <si>
    <t>ANNISYA FERONICA</t>
  </si>
  <si>
    <t>DESAIN PRODUCT</t>
  </si>
  <si>
    <t>RIDA' MILLATI</t>
  </si>
  <si>
    <t>BANYUWANGI</t>
  </si>
  <si>
    <t>SLAMET ARISUSANTO</t>
  </si>
  <si>
    <t>USMAN AINUR RIZKY</t>
  </si>
  <si>
    <t>11</t>
  </si>
  <si>
    <t>08</t>
  </si>
  <si>
    <t>9918080036</t>
  </si>
  <si>
    <t>MIKAYLA ALESHA VALERIE</t>
  </si>
  <si>
    <t>3573044708940000</t>
  </si>
  <si>
    <t>JL. SIMPANG LOWOKDORO I no. 5 RT.10/RW.04 KEC. SUKUN - MALANG</t>
  </si>
  <si>
    <t>085257396000</t>
  </si>
  <si>
    <t>144001771808</t>
  </si>
  <si>
    <t>rida.millati29@gmail.com</t>
  </si>
  <si>
    <t>9918080037</t>
  </si>
  <si>
    <t>ANIKE WULANDARI</t>
  </si>
  <si>
    <t>KESEHATAN MASYARAKAT</t>
  </si>
  <si>
    <t>3507185408950003</t>
  </si>
  <si>
    <t>SINDUREJO RT.4/RW.3 BANJAREJO PAKIS - KAB. MALANG</t>
  </si>
  <si>
    <t>085646660730</t>
  </si>
  <si>
    <t>anikewulandarii@gmail.com</t>
  </si>
  <si>
    <t>09</t>
  </si>
  <si>
    <t>9918090038</t>
  </si>
  <si>
    <t>3510166404950004</t>
  </si>
  <si>
    <t>PERUM MENDUT REGENCY J/30, MOJOAGUNG - GIRI</t>
  </si>
  <si>
    <t>JL. TELUK ETNA X KAV.145 NO.2 ARJOSARI - MALANG</t>
  </si>
  <si>
    <t>081333455035</t>
  </si>
  <si>
    <t>ANNISYA FERRONICA</t>
  </si>
  <si>
    <t>1440017967297</t>
  </si>
  <si>
    <t>annisya.ferronica@gmail.com</t>
  </si>
  <si>
    <t>MUHAMMAD NUR SHODIQ</t>
  </si>
  <si>
    <t>9918110040</t>
  </si>
  <si>
    <t>10</t>
  </si>
  <si>
    <t>9918100039</t>
  </si>
  <si>
    <t>12</t>
  </si>
  <si>
    <t>9918120041</t>
  </si>
  <si>
    <t>085791990276</t>
  </si>
  <si>
    <t>JL. ARGOPURO KECAMATAN LAWANG RT.03/RW.08 - LAWANG</t>
  </si>
  <si>
    <t>TERMINASI</t>
  </si>
  <si>
    <t>ALONG ALFIAH</t>
  </si>
  <si>
    <t>ROY</t>
  </si>
  <si>
    <t>FENDY ISMAIL</t>
  </si>
  <si>
    <t>MANAGER OPERATION</t>
  </si>
  <si>
    <t>MANAGER PRODUCT</t>
  </si>
  <si>
    <t>DESIGN GRAPHIC</t>
  </si>
  <si>
    <t>ADMIN / REGISTRASI</t>
  </si>
  <si>
    <t>BAMBANG</t>
  </si>
  <si>
    <t>WAHYU</t>
  </si>
  <si>
    <t>AISAH RACHMAWATI</t>
  </si>
  <si>
    <t>ACCOUNTING</t>
  </si>
  <si>
    <t>19</t>
  </si>
  <si>
    <t>01</t>
  </si>
  <si>
    <t>KEPALA GUDANG</t>
  </si>
  <si>
    <t>DESAIN GRAFIS</t>
  </si>
  <si>
    <t>9919010003</t>
  </si>
  <si>
    <t>9919010004</t>
  </si>
  <si>
    <t>9919010005</t>
  </si>
  <si>
    <t>9919010006</t>
  </si>
  <si>
    <t>LUMAJANG</t>
  </si>
  <si>
    <t>NANDHA AINUN ISTIQOMA</t>
  </si>
  <si>
    <t>DS. BOTOYOGUCI RT.15 / RW.05 MANYAR - GRESIK</t>
  </si>
  <si>
    <t>082298141114</t>
  </si>
  <si>
    <t>A</t>
  </si>
  <si>
    <t>JL. TAPAK SIRING II/43E RT.05/RW.08 KEL. SAMAAN - MALANG</t>
  </si>
  <si>
    <t>081252696065</t>
  </si>
  <si>
    <t>aiss20rachman@gmail.com</t>
  </si>
  <si>
    <t>fendyydnef419@gmail.com</t>
  </si>
  <si>
    <t>JL. GARUDA RT.06/RW.02 DS. KARANGPANDAN - PAKISAJI</t>
  </si>
  <si>
    <t>085736881552</t>
  </si>
  <si>
    <t>secondsecret.2nd@gmail.</t>
  </si>
  <si>
    <t>D-I</t>
  </si>
  <si>
    <t>ADM. PERKANTORAN</t>
  </si>
  <si>
    <t>B+</t>
  </si>
  <si>
    <t>JL. IR SUTAMI DS. JORONGAN KEC. LECES - PROBOLINGGO</t>
  </si>
  <si>
    <t>085559612295</t>
  </si>
  <si>
    <t>along.alfiah@gmail.com</t>
  </si>
  <si>
    <t>SURYA ADI YAHYA</t>
  </si>
  <si>
    <t>9919010007</t>
  </si>
  <si>
    <t>PRODO RT.02/RW.07 KLAMPOK - SINGOSARI</t>
  </si>
  <si>
    <t>35072427022960003</t>
  </si>
  <si>
    <t>085746965895</t>
  </si>
  <si>
    <t>MOCHAMMAD BAGUS F.</t>
  </si>
  <si>
    <t>9919010008</t>
  </si>
  <si>
    <t>TI</t>
  </si>
  <si>
    <t>RIMA DHANI RAHMA SUWANDI</t>
  </si>
  <si>
    <t>3525101307890001</t>
  </si>
  <si>
    <t>3573026005940004</t>
  </si>
  <si>
    <t>BAMBANG FITRIANTO</t>
  </si>
  <si>
    <t>3507073103920003</t>
  </si>
  <si>
    <t>DUSUN KUNCI RT.09/RW.03 WRINGINANOM - PONCOKUSUMO</t>
  </si>
  <si>
    <t>082229150644</t>
  </si>
  <si>
    <t>WAHYU FIRMANSAH</t>
  </si>
  <si>
    <t>3507232702960001</t>
  </si>
  <si>
    <t>DUSUN KETANGI RT.27/RW.07 TEGALGONDO - KARANGPLOSO</t>
  </si>
  <si>
    <t>085236337778</t>
  </si>
  <si>
    <t>PUTRI SILVIA ERVANI</t>
  </si>
  <si>
    <t>9919010009</t>
  </si>
  <si>
    <t>3507185310970003</t>
  </si>
  <si>
    <t>DSN TERONGDOWO RT.04/RW.12 TIRTOMOYO - PAKIS</t>
  </si>
  <si>
    <t>085850389180</t>
  </si>
  <si>
    <t>3573051111970002</t>
  </si>
  <si>
    <t>JL. IKAN GURAMI II/22 RT.04/RW.06 TUNJUNGSEKAR - LOWOKWARU</t>
  </si>
  <si>
    <t>085230974949</t>
  </si>
  <si>
    <t>MOCHAMMAD BAGUS FEBRIYANTO</t>
  </si>
  <si>
    <t xml:space="preserve">KEPALA GUDANG </t>
  </si>
  <si>
    <t>GA</t>
  </si>
  <si>
    <t>KUSNUL YULIARIANTO</t>
  </si>
  <si>
    <t>9919010010</t>
  </si>
  <si>
    <t>VENNA ROSIA MARHETA</t>
  </si>
  <si>
    <t>MOH. HASIM AS'ARI</t>
  </si>
  <si>
    <t>GHAIDA AMETHYSA SHANUM</t>
  </si>
  <si>
    <t>3573045109860002</t>
  </si>
  <si>
    <t>JL. RAYA GADANG XB NO 49 RT.04/RW.05 KEL. GADANG - MALANG</t>
  </si>
  <si>
    <t>JL. RAYA GADANG XB NO 48 RT.04/RW.05 KEL. GADANG - MALANG</t>
  </si>
  <si>
    <t>0895627070220</t>
  </si>
  <si>
    <t>verota.pussie@gmail.com</t>
  </si>
  <si>
    <t>08.735.462.7-623.000</t>
  </si>
  <si>
    <t>DENI LUQMANA</t>
  </si>
  <si>
    <t>SOSIOLOGI</t>
  </si>
  <si>
    <t>3574020801930001</t>
  </si>
  <si>
    <t>PERUM SUMBER TAMAN INDAH BLOK D-14 PROBOLINGGO</t>
  </si>
  <si>
    <t>PERUM PERMATA JINGGA BLOK SAWO 19 MALANG</t>
  </si>
  <si>
    <t>80.153.482.7-625.000</t>
  </si>
  <si>
    <t>082234653862</t>
  </si>
  <si>
    <t>deniluqmana1@gmail.com</t>
  </si>
  <si>
    <t>02</t>
  </si>
  <si>
    <t>DESIGN GRAFIS</t>
  </si>
  <si>
    <t>DESAIN KOMUNIKASI VISUAL</t>
  </si>
  <si>
    <t>3573010705950004</t>
  </si>
  <si>
    <t>JL. KARYA TIMUR I/3B RT.003 RW.007 MALANG</t>
  </si>
  <si>
    <t>085646796790</t>
  </si>
  <si>
    <t>bachtiarreza07@gmail.com</t>
  </si>
  <si>
    <t>TEKNIK LISTRIK</t>
  </si>
  <si>
    <t>NURKARMIA</t>
  </si>
  <si>
    <t>NAFESA AZUKA</t>
  </si>
  <si>
    <t>JL. PARANGARGO RT.09 RW.02 KEC WAGIR</t>
  </si>
  <si>
    <t>083834658898</t>
  </si>
  <si>
    <t>gandulnoel@gmail.com</t>
  </si>
  <si>
    <t>ICHSAN HANIF NUGROHO</t>
  </si>
  <si>
    <t>PERUM MENDUT REGENCY J/30, MOJOPANGGUNG - GIRI</t>
  </si>
  <si>
    <t>082257451869</t>
  </si>
  <si>
    <t>USHA FATNIA AUDRINISA</t>
  </si>
  <si>
    <t>INTERACTIVE AND VISUAL DESIGN</t>
  </si>
  <si>
    <t>3573026308950002</t>
  </si>
  <si>
    <t>JL RAUNG 4 005/005 ORO-ORO DOWO KLOJEN MALANG</t>
  </si>
  <si>
    <t>081332310462</t>
  </si>
  <si>
    <t>144-00-1818035-3</t>
  </si>
  <si>
    <t>usha.fatnia@gmail.com</t>
  </si>
  <si>
    <t>144-00-1818033-8</t>
  </si>
  <si>
    <t>144-00-1818513-9</t>
  </si>
  <si>
    <t>144-00-1819114-5</t>
  </si>
  <si>
    <t>3507191508920002</t>
  </si>
  <si>
    <t>144-00-1811609-2</t>
  </si>
  <si>
    <t>ACHMAD RIZAL</t>
  </si>
  <si>
    <t>BAYU FIRMAN YULIANSYAH</t>
  </si>
  <si>
    <t>BAGUS TRI WIBOWO</t>
  </si>
  <si>
    <t>TRI SUSILO</t>
  </si>
  <si>
    <t>ELMI IRFAANI ROMADHONA</t>
  </si>
  <si>
    <t>JL RAYA GADANG 10B NO 49 MALANG</t>
  </si>
  <si>
    <t>083841635585</t>
  </si>
  <si>
    <t>3573044502960001</t>
  </si>
  <si>
    <t>FO / ADM REG</t>
  </si>
  <si>
    <t>03</t>
  </si>
  <si>
    <t>3507210207860002</t>
  </si>
  <si>
    <t>3513056310970003</t>
  </si>
  <si>
    <t xml:space="preserve">KHOIRUL ANAM ROZIKIN </t>
  </si>
  <si>
    <t>WINDIAWATI</t>
  </si>
  <si>
    <t>3507272601880001</t>
  </si>
  <si>
    <t>JL KEPUH VI A / 35 RT/RW 004/005 BANDUNG REJOSARI</t>
  </si>
  <si>
    <t>085736079524</t>
  </si>
  <si>
    <t>085804574321</t>
  </si>
  <si>
    <t>3507092106990007</t>
  </si>
  <si>
    <t>JL KH HASYIM ASYARI006/002 SANAN REJO</t>
  </si>
  <si>
    <t>SINTA ELMI RAHMAWATI</t>
  </si>
  <si>
    <t>PSIKOLOGI</t>
  </si>
  <si>
    <t>3579024910930001</t>
  </si>
  <si>
    <t>083848804994</t>
  </si>
  <si>
    <t>sinta.rahma90@gmail.com</t>
  </si>
  <si>
    <t>JL. GAJAHMADA 3 NO 37 RT.03/RW.03 TULUNGREJO - BUMIAJI BATU</t>
  </si>
  <si>
    <t>TETAP</t>
  </si>
  <si>
    <t>STATUS KEPEGAWAIAN</t>
  </si>
  <si>
    <t>NUR KHOLIFAH</t>
  </si>
  <si>
    <t>PEND BAHASA INGGRIS</t>
  </si>
  <si>
    <t>MIFTAKHUL HUDA</t>
  </si>
  <si>
    <t>M EVANO ARSENIO</t>
  </si>
  <si>
    <t>3507134511910002</t>
  </si>
  <si>
    <t>JL CAKALANG NO 26 006/002 POLOWIJEN BLIMBING</t>
  </si>
  <si>
    <t>58.748.044.3.654.000</t>
  </si>
  <si>
    <t>085608150767</t>
  </si>
  <si>
    <t>nurkholifah051191@gmail.com</t>
  </si>
  <si>
    <t>HEAD PACKING</t>
  </si>
  <si>
    <t>144-00-1829106-9</t>
  </si>
  <si>
    <t>144-00-1829102-8</t>
  </si>
  <si>
    <t>RIMA RAHMAWATI</t>
  </si>
  <si>
    <t>3573046303950002</t>
  </si>
  <si>
    <t>JL GADANG XB /29 RT 04/RW 05</t>
  </si>
  <si>
    <t>081216056717</t>
  </si>
  <si>
    <t>rimarahmawati806@gmail.com</t>
  </si>
  <si>
    <t>AQSHA ADITYA RAKA</t>
  </si>
  <si>
    <t xml:space="preserve">AQSHA ADITYA RAKA </t>
  </si>
  <si>
    <t>D3</t>
  </si>
  <si>
    <t>TEKNIK ELEKTRO</t>
  </si>
  <si>
    <t>3573032411950003</t>
  </si>
  <si>
    <t>JL DANAU PANIAI TERUSAN H7 D4</t>
  </si>
  <si>
    <t>082132668756</t>
  </si>
  <si>
    <t>144-00-1836298-5</t>
  </si>
  <si>
    <t>144-00-1836296-9</t>
  </si>
  <si>
    <t>No</t>
  </si>
  <si>
    <t>Size</t>
  </si>
  <si>
    <t>LENGAN PANJANG</t>
  </si>
  <si>
    <t>BIAYA</t>
  </si>
  <si>
    <t>S</t>
  </si>
  <si>
    <t>M</t>
  </si>
  <si>
    <t>XL</t>
  </si>
  <si>
    <t>XXL</t>
  </si>
  <si>
    <t>XXXL</t>
  </si>
  <si>
    <t>KAOS RAFTING MS GLOW OFFICE</t>
  </si>
  <si>
    <t>TOTAL</t>
  </si>
  <si>
    <t>MOH ANDIKA RAISMA</t>
  </si>
  <si>
    <t>9919050019</t>
  </si>
  <si>
    <t>MOH. ANDIKA RAISMA</t>
  </si>
  <si>
    <t>LAMONGAN</t>
  </si>
  <si>
    <t>D1</t>
  </si>
  <si>
    <t>KOMP. APLIKASI BISNIS ADM PERKANTORAN</t>
  </si>
  <si>
    <t>3524021007970001</t>
  </si>
  <si>
    <t>SONGO RT/RE 006/003 SONGOWARENG BLULUK LAMONGAN</t>
  </si>
  <si>
    <t>JL CANDI BADUT KEC LOWOKWARU KOTA MALANG</t>
  </si>
  <si>
    <t>085707165618</t>
  </si>
  <si>
    <t>raismaandika1@gmail.com</t>
  </si>
  <si>
    <t>KONTRAK 1 (1 THN)</t>
  </si>
  <si>
    <t>KONTRAK 2 (2 THN)</t>
  </si>
  <si>
    <t>144-00-1846514-3</t>
  </si>
  <si>
    <t>MOCHAMAD NUR</t>
  </si>
  <si>
    <t>9918050032</t>
  </si>
  <si>
    <t>9919050020</t>
  </si>
  <si>
    <t>EKONOMI MANAGEMEN</t>
  </si>
  <si>
    <t>CERAI</t>
  </si>
  <si>
    <t>ANNISA NUR FITRIANA</t>
  </si>
  <si>
    <t>M.SYARIF</t>
  </si>
  <si>
    <t>3573032708700001</t>
  </si>
  <si>
    <t>JL MAYJEN SUNGKONO 28 MALANG</t>
  </si>
  <si>
    <t>081352023971</t>
  </si>
  <si>
    <t>144-00-1763944-1</t>
  </si>
  <si>
    <t>144-00-1811601-9</t>
  </si>
  <si>
    <t>144-00-1778916-2</t>
  </si>
  <si>
    <t>144-00-1692098-2</t>
  </si>
  <si>
    <t>144-00-1811553-2</t>
  </si>
  <si>
    <t>SAIFUDIN</t>
  </si>
  <si>
    <t>MATALI</t>
  </si>
  <si>
    <t>3573031007820001</t>
  </si>
  <si>
    <t>JL KHAUDLUL ULUM 007/004 TLOGOWARU KEDUNG KANDANG</t>
  </si>
  <si>
    <t>3573030301830000</t>
  </si>
  <si>
    <t>JL KH MALIK DALAM 003/004 BURING KEDUNG KANDANG</t>
  </si>
  <si>
    <t>PHK</t>
  </si>
  <si>
    <t>RAHMAT RIDWAN</t>
  </si>
  <si>
    <t>06</t>
  </si>
  <si>
    <t>9919060021</t>
  </si>
  <si>
    <t>KRIA PRODUK KAYU</t>
  </si>
  <si>
    <t>KHOIROTUL IRMAYA SARI</t>
  </si>
  <si>
    <t>ALIFAH RAHMANIA AZZAHRA</t>
  </si>
  <si>
    <t>JL SELOREJO NO 30G, RT 05/ RW 08 KEC / KEL LOWOKWARU MALANG</t>
  </si>
  <si>
    <t>085233467004</t>
  </si>
  <si>
    <t>MUNTIK FATIMATUS ZAHROH</t>
  </si>
  <si>
    <t>9919060022</t>
  </si>
  <si>
    <t>SIDOARJO</t>
  </si>
  <si>
    <t>SAFRIL MUSTAQIM</t>
  </si>
  <si>
    <t>AISYAH AVELIA ZAHRA</t>
  </si>
  <si>
    <t>3515064801910003</t>
  </si>
  <si>
    <t>JL MAWAR 57 010/003 GEDANG PORONG SIDOARJO</t>
  </si>
  <si>
    <t>JL MAWAR NO 57 DESA GEDANG PORONG BANJAR ARUM SINGOSARI</t>
  </si>
  <si>
    <t>0895630772422</t>
  </si>
  <si>
    <t>144-00-1855641-2</t>
  </si>
  <si>
    <t>144-00-1855637-0</t>
  </si>
  <si>
    <t>144-00-1855643-8</t>
  </si>
  <si>
    <t>144-00-1855639-6</t>
  </si>
  <si>
    <t>NURUL KOMARIYAH</t>
  </si>
  <si>
    <t>9919060023</t>
  </si>
  <si>
    <t>3573035706980003</t>
  </si>
  <si>
    <t xml:space="preserve">JL KI AGENG GRIBIG VI / 10 RT RW 005/002 LESANPURO KEDUNG KANDANG </t>
  </si>
  <si>
    <t>085759643083</t>
  </si>
  <si>
    <t>TKJ</t>
  </si>
  <si>
    <t>ELOK SETIA WIKANTI</t>
  </si>
  <si>
    <t>SOFWAN HADI</t>
  </si>
  <si>
    <t>ALVARO BRIAN</t>
  </si>
  <si>
    <t>3507136404960005</t>
  </si>
  <si>
    <t>KRAJAN BARAT 006/004 PAKIS KEMBAR PAKIS</t>
  </si>
  <si>
    <t>08157173742</t>
  </si>
  <si>
    <t>144-00-1856942-3</t>
  </si>
  <si>
    <t>144-00-1856940-7</t>
  </si>
  <si>
    <t>NURUL ULANDARI</t>
  </si>
  <si>
    <t>TRESIA WIJAYA</t>
  </si>
  <si>
    <t>RIZKY NURCAHYO</t>
  </si>
  <si>
    <t>9919060025</t>
  </si>
  <si>
    <t>9919060026</t>
  </si>
  <si>
    <t>9919060027</t>
  </si>
  <si>
    <t>EKONOMI</t>
  </si>
  <si>
    <t>EKO WINARTO</t>
  </si>
  <si>
    <t>ALEA SYAKIRA AHILZHAH</t>
  </si>
  <si>
    <t>3573035207940005</t>
  </si>
  <si>
    <t>JL IR H JUANDA I / 1988 RT 04 RW 02 JODIPAN</t>
  </si>
  <si>
    <t>3573036106970005</t>
  </si>
  <si>
    <t>JL SEMANGGI  NO 17 BUMIAYU KEDUNG KANDANG</t>
  </si>
  <si>
    <t>082334819474</t>
  </si>
  <si>
    <t>IDA AYU WULAN SARI</t>
  </si>
  <si>
    <t>3573052204890002</t>
  </si>
  <si>
    <t>JL SUMBERSARI V-B/383 MALANG</t>
  </si>
  <si>
    <t>083834565210</t>
  </si>
  <si>
    <t>085815770855</t>
  </si>
  <si>
    <t>DENNY FERDIAN</t>
  </si>
  <si>
    <t>9919070028</t>
  </si>
  <si>
    <t>3507181712780002</t>
  </si>
  <si>
    <t>Jl Danau Paniai Blok h3/i23 perum sawojajar Madyopuro kedung kandang malang</t>
  </si>
  <si>
    <t>087785514239 / 082334886885</t>
  </si>
  <si>
    <t>PERUM BULAN TERANG UTAMA BLOK KR16 NO 7 GRIBIG - MADYOPURO KECAMATAN KEDUNG KANDANG MALANG</t>
  </si>
  <si>
    <t>144-00-1859542-8</t>
  </si>
  <si>
    <t>144-00-1859534-5</t>
  </si>
  <si>
    <t>144-00-1859536-0</t>
  </si>
  <si>
    <t>144-00-1859539-4</t>
  </si>
  <si>
    <t>QUROTUL FITRIAH</t>
  </si>
  <si>
    <t>9919070029</t>
  </si>
  <si>
    <t>3507176303940002</t>
  </si>
  <si>
    <t>JL KAMPUNG ANYAR 003 / 001 SUKOLILO JABUNG</t>
  </si>
  <si>
    <t>081554272114</t>
  </si>
  <si>
    <t>NASIRUDDIN</t>
  </si>
  <si>
    <t>QUALITY CONTROL</t>
  </si>
  <si>
    <t>ANDRO SETIYO</t>
  </si>
  <si>
    <t>EKO GALIH W</t>
  </si>
  <si>
    <t>MAS'UD DIANTONI R</t>
  </si>
  <si>
    <t>SITI KHOIRITUL M</t>
  </si>
  <si>
    <t>9919070030</t>
  </si>
  <si>
    <t>9919070031</t>
  </si>
  <si>
    <t>9919070032</t>
  </si>
  <si>
    <t>9919070033</t>
  </si>
  <si>
    <t>9919070034</t>
  </si>
  <si>
    <t xml:space="preserve">PAMEKASAN </t>
  </si>
  <si>
    <t>IPS</t>
  </si>
  <si>
    <t>ANIMASI</t>
  </si>
  <si>
    <t>PERMESINAN</t>
  </si>
  <si>
    <t>INDAH NUR.A</t>
  </si>
  <si>
    <t>ARINDITA EKA PRASISTA</t>
  </si>
  <si>
    <t>INDA MARLINA</t>
  </si>
  <si>
    <t>AISYAH FITRI ROSELINA</t>
  </si>
  <si>
    <t>ISROTUL MUFIDAH</t>
  </si>
  <si>
    <t>AZURA JASMINE PUTRI R</t>
  </si>
  <si>
    <t>3528050307900003</t>
  </si>
  <si>
    <t>3507183009910002</t>
  </si>
  <si>
    <t>3507182305970002</t>
  </si>
  <si>
    <t>3507150505910002</t>
  </si>
  <si>
    <t>3507166706990001</t>
  </si>
  <si>
    <t>DSN KEBONKUTO 013/004 SUKODADI WAGIR</t>
  </si>
  <si>
    <t>082237636639</t>
  </si>
  <si>
    <t>083837971287</t>
  </si>
  <si>
    <t>082232716259</t>
  </si>
  <si>
    <t>082301916818</t>
  </si>
  <si>
    <t>082248969933</t>
  </si>
  <si>
    <t>DSN PIJIOMBO 001/011 WONOSARI</t>
  </si>
  <si>
    <t>SINDUREJO 004/003 BANJAREJO</t>
  </si>
  <si>
    <t>DUSUN KRAJAN 018/004 JATISARI TAJINAN</t>
  </si>
  <si>
    <t>DUSUN GLANGGANG 024 / 008 SLAMET TUMPANG</t>
  </si>
  <si>
    <t>SITI KHOIROTUL M</t>
  </si>
  <si>
    <t>144-00-1861652-1</t>
  </si>
  <si>
    <t>144-00-1861650-5</t>
  </si>
  <si>
    <t>144-00-1861648-9</t>
  </si>
  <si>
    <t>144-00-1861646-3</t>
  </si>
  <si>
    <t>144-00-1861641-4</t>
  </si>
  <si>
    <t>144-00-1861637-2</t>
  </si>
  <si>
    <t>RIBUT PURNOMO</t>
  </si>
  <si>
    <t>PUTRI SUKMA</t>
  </si>
  <si>
    <t>3573031902910002</t>
  </si>
  <si>
    <t>LESANPURO XII 005/009 LESANPURO KEDUNG KANDANG</t>
  </si>
  <si>
    <t>083839611906</t>
  </si>
  <si>
    <t>MUHAMMAD SOKHIB</t>
  </si>
  <si>
    <t>OTOTRONIK</t>
  </si>
  <si>
    <t>CHOMSA RODIAH</t>
  </si>
  <si>
    <t>3507192703950001</t>
  </si>
  <si>
    <t>JL WATUDAKON 001/005 KENDALPAYAK PAKISAJI</t>
  </si>
  <si>
    <t>081353375515</t>
  </si>
  <si>
    <t>ROBI BING SLAMET</t>
  </si>
  <si>
    <t>SUGENG PRASTYO</t>
  </si>
  <si>
    <t>ELIS IMAWATI</t>
  </si>
  <si>
    <t>MUHAMAD AMIRUDIN</t>
  </si>
  <si>
    <t xml:space="preserve"> 3573032106880006</t>
  </si>
  <si>
    <t>DUSUN NDORO 024/003 KARANGWIDORO DAU MALANG</t>
  </si>
  <si>
    <t>082257560541</t>
  </si>
  <si>
    <t>M KHOZIN</t>
  </si>
  <si>
    <t>3522092505900001</t>
  </si>
  <si>
    <t>JANAR 009/004 NGLUMBER KEPOH BARU BOJONEGORO</t>
  </si>
  <si>
    <t>085812521986</t>
  </si>
  <si>
    <t>3573031512930001</t>
  </si>
  <si>
    <t>0895349359992</t>
  </si>
  <si>
    <t>LAILATUL FITRIYAH</t>
  </si>
  <si>
    <t>STAFF PAJAK</t>
  </si>
  <si>
    <t>3505014303950002</t>
  </si>
  <si>
    <t>JL KENDALSARI NO 97/I RT/RW 003/009 KEL TULUSREJO LOWOKWARU</t>
  </si>
  <si>
    <t>081556446252</t>
  </si>
  <si>
    <t>fitrilailaalhusain@gmail.com</t>
  </si>
  <si>
    <t>SUWARNO</t>
  </si>
  <si>
    <t>PIC STOCK</t>
  </si>
  <si>
    <t>FISIKA</t>
  </si>
  <si>
    <t>IMROATUS SOLICHAH</t>
  </si>
  <si>
    <t>ADZKIA ZAHRA RAMADHANI</t>
  </si>
  <si>
    <t>3573052008820002</t>
  </si>
  <si>
    <t>DUSUN SEKAR PUTIH  006/002 SUMBEREJO SUKODONO LUMAJANG</t>
  </si>
  <si>
    <t>GRIYA BURING PERMAI BLOK F-16 KH MALIK DALAM BURING MALANG</t>
  </si>
  <si>
    <t>081334996620</t>
  </si>
  <si>
    <t>144-00-1868059-2</t>
  </si>
  <si>
    <t>144-00-1867391-0</t>
  </si>
  <si>
    <t>144-00-1867398-5</t>
  </si>
  <si>
    <t>144-00-1867404-1</t>
  </si>
  <si>
    <t>144-00-1867410-8</t>
  </si>
  <si>
    <t>144-00-1867414-0</t>
  </si>
  <si>
    <t>144-00-1867388-6</t>
  </si>
  <si>
    <t>ARIS SUSANTO</t>
  </si>
  <si>
    <t>3573011911860002</t>
  </si>
  <si>
    <t>JL TELUK CENDRAWASIH IV/4 MALANG</t>
  </si>
  <si>
    <t>083819829486</t>
  </si>
  <si>
    <t>AYU GUSTIKA</t>
  </si>
  <si>
    <t xml:space="preserve">AYU GUSTIKA </t>
  </si>
  <si>
    <t>3573045812950004</t>
  </si>
  <si>
    <t>JL KWOKA BLOK Q26 004/007 KARANGBESUKI SUKUN</t>
  </si>
  <si>
    <t>082264353038</t>
  </si>
  <si>
    <t>144-00-1869976-6</t>
  </si>
  <si>
    <t>JOMBANG</t>
  </si>
  <si>
    <t>DICKY GUNTUR ARFANDI</t>
  </si>
  <si>
    <t>GUDANG</t>
  </si>
  <si>
    <t>PASURUAN</t>
  </si>
  <si>
    <t>MANAJEMEN INFORMATIKA</t>
  </si>
  <si>
    <t>B-</t>
  </si>
  <si>
    <t>YUNI ANDRIANI</t>
  </si>
  <si>
    <t>EARLYTA ARSYFARINI</t>
  </si>
  <si>
    <t>3573011209900003</t>
  </si>
  <si>
    <t>JL HAMID RUSDI TIMUR V /451 BLIMBING MALANG</t>
  </si>
  <si>
    <t>081338195482</t>
  </si>
  <si>
    <t>144-00-1783066-9</t>
  </si>
  <si>
    <t>SUHARTO</t>
  </si>
  <si>
    <t>TUKANG PARKIR</t>
  </si>
  <si>
    <t>042</t>
  </si>
  <si>
    <t>WARIYAH</t>
  </si>
  <si>
    <t>MOH ALI MARUF</t>
  </si>
  <si>
    <t>3573030803670005</t>
  </si>
  <si>
    <t>JL LEMBAYUNG V RT/RW 002/002 BUMIAYU  KEDUNG KANDANG MALANG</t>
  </si>
  <si>
    <t>085101643790</t>
  </si>
  <si>
    <t>144-00-1874713-6</t>
  </si>
  <si>
    <t>RIANTO</t>
  </si>
  <si>
    <t>3507171806950002</t>
  </si>
  <si>
    <t>DUSUN BENDRONG 024/004 ARGOSARI JABUNG MALANG</t>
  </si>
  <si>
    <t>082230406075</t>
  </si>
  <si>
    <t>144-00-1874716-9</t>
  </si>
  <si>
    <r>
      <t>mnur55789</t>
    </r>
    <r>
      <rPr>
        <b/>
        <u/>
        <sz val="11"/>
        <color theme="10"/>
        <rFont val="Calibri"/>
        <family val="2"/>
        <scheme val="minor"/>
      </rPr>
      <t>gmail.com</t>
    </r>
  </si>
  <si>
    <t>EKA MEINAL FITRI</t>
  </si>
  <si>
    <t>PIC STOCK / HEAD PACKING</t>
  </si>
  <si>
    <t>EKONOMI PEMBANGUNAN</t>
  </si>
  <si>
    <t>3507056505970004</t>
  </si>
  <si>
    <t>JL POLAMAN RT/RW 007/014 DAMPIT MALANG</t>
  </si>
  <si>
    <t>085536490517</t>
  </si>
  <si>
    <t>043</t>
  </si>
  <si>
    <t>9919090043</t>
  </si>
  <si>
    <t>MIFTA ARTIESTA</t>
  </si>
  <si>
    <t>CONTENT CREATOR</t>
  </si>
  <si>
    <t>044</t>
  </si>
  <si>
    <t>9919090044</t>
  </si>
  <si>
    <t>DESAIN PRODUCT INDUSTRI</t>
  </si>
  <si>
    <t>3507266307940001</t>
  </si>
  <si>
    <t>DSN KRAJAN 010/005 PUJONLOR MALANG</t>
  </si>
  <si>
    <t>081336455533</t>
  </si>
  <si>
    <t>IMAM MALIK SYAH PUTRA</t>
  </si>
  <si>
    <t>045</t>
  </si>
  <si>
    <t>046</t>
  </si>
  <si>
    <t>KLATEN</t>
  </si>
  <si>
    <t>BOGOR</t>
  </si>
  <si>
    <t>ARSITEK</t>
  </si>
  <si>
    <t>3310110405950001</t>
  </si>
  <si>
    <t>3201012605940009</t>
  </si>
  <si>
    <t>PURI NIRWANA I BLOK QQ NO 04 PABUARAN CIBINONG</t>
  </si>
  <si>
    <t>JL CANDI KIDAL NO 36 BLIMBING MALANG</t>
  </si>
  <si>
    <t>08111129941</t>
  </si>
  <si>
    <t>ANDISTA</t>
  </si>
  <si>
    <t>047</t>
  </si>
  <si>
    <t>9919090047</t>
  </si>
  <si>
    <t>SLTA</t>
  </si>
  <si>
    <t>ENDANG SETYOWATI</t>
  </si>
  <si>
    <t>ADINTA DELISHA ALZAHRA</t>
  </si>
  <si>
    <t>MUHAMMAD AZMI A</t>
  </si>
  <si>
    <t>3513071310880001</t>
  </si>
  <si>
    <t>JL KI AGENG GRIBIG LESANPURO VI 005/002 KEDUNGKANDANG MALANG</t>
  </si>
  <si>
    <t>085226811227</t>
  </si>
  <si>
    <t>144-00-1883076-7</t>
  </si>
  <si>
    <t>144-00-1883081-7</t>
  </si>
  <si>
    <t>MARKUS VIRNANDA LUVI</t>
  </si>
  <si>
    <t>048</t>
  </si>
  <si>
    <t>9919100048</t>
  </si>
  <si>
    <t>KRISTEN</t>
  </si>
  <si>
    <t>3507302603960001</t>
  </si>
  <si>
    <t>DUSUN KRAJAN RT/RW 001/001 TAMAN KUNCARAN TIRTOYUDO MALANG</t>
  </si>
  <si>
    <t>087859317997</t>
  </si>
  <si>
    <t>HENIP FATUL ULA</t>
  </si>
  <si>
    <t>ADM REVIEW</t>
  </si>
  <si>
    <t>049</t>
  </si>
  <si>
    <t>9919100049</t>
  </si>
  <si>
    <t>AGRIBISNIS PERTANIAN</t>
  </si>
  <si>
    <t>3507154402010003</t>
  </si>
  <si>
    <t>JL MASJID KLAGEN TAJINAN RT 05 RW 03 TAJINAN MALANG</t>
  </si>
  <si>
    <t>085850143301</t>
  </si>
  <si>
    <t>BAGAS FIRMANSAH</t>
  </si>
  <si>
    <t>3522090807980003</t>
  </si>
  <si>
    <t>JANAR 008/004 NGLUMBER KEPOHBARU BOJONEGORO</t>
  </si>
  <si>
    <t>144-00-1891157-5</t>
  </si>
  <si>
    <t>144-00-1891228-4</t>
  </si>
  <si>
    <t>144-00-1763938-3</t>
  </si>
  <si>
    <t>144-00-1811479-0</t>
  </si>
  <si>
    <t>144-00-1680538-1</t>
  </si>
  <si>
    <t>144-00-1686748-0</t>
  </si>
  <si>
    <t>144-00-1819105-3</t>
  </si>
  <si>
    <t>144-00-1891154-2</t>
  </si>
  <si>
    <t>144-00-1666043-0</t>
  </si>
  <si>
    <t>144-00-1787709-0</t>
  </si>
  <si>
    <t>144-00-1811575-5</t>
  </si>
  <si>
    <t>144-00-1811570-6</t>
  </si>
  <si>
    <t>144-00-1811484-0</t>
  </si>
  <si>
    <t xml:space="preserve">SMK </t>
  </si>
  <si>
    <t>3507194901970002</t>
  </si>
  <si>
    <t>JL. BARAKAN GG 5B RT02 RW04 GENENGAN PAKISAJI</t>
  </si>
  <si>
    <t>081230422528</t>
  </si>
  <si>
    <t>SAMANTHA IGA PERMATASARI</t>
  </si>
  <si>
    <t>samanthaiga8@gmail.com</t>
  </si>
  <si>
    <t>TAX</t>
  </si>
  <si>
    <t>050</t>
  </si>
  <si>
    <t>9919110050</t>
  </si>
  <si>
    <t>LUKY ADI SISWANTO</t>
  </si>
  <si>
    <t>3573031512850003</t>
  </si>
  <si>
    <t>JL. DANAU MANINJAU DALAM 6 BLOK 132/D1, SAWOJAJAR</t>
  </si>
  <si>
    <t>082220333013</t>
  </si>
  <si>
    <t>LUCY ADI SISWANTO</t>
  </si>
  <si>
    <t>144-00-1869967-5</t>
  </si>
  <si>
    <t>144-00-1646938-6</t>
  </si>
  <si>
    <t>144-00-1739415-3</t>
  </si>
  <si>
    <t>144-00-1728680-5</t>
  </si>
  <si>
    <t>144-00-1771808-8</t>
  </si>
  <si>
    <t>144-00-1647197-8</t>
  </si>
  <si>
    <t>144-00-1796729-7</t>
  </si>
  <si>
    <t>144-00-1883061-9</t>
  </si>
  <si>
    <t>144-00-1653065-8</t>
  </si>
  <si>
    <t>144-00-1646944-4</t>
  </si>
  <si>
    <t>144-00-1646932-9</t>
  </si>
  <si>
    <t>144-00-1646923-8</t>
  </si>
  <si>
    <t>144-00-1646943-6</t>
  </si>
  <si>
    <t>144-00-1735805-9</t>
  </si>
  <si>
    <t>144-00-1735733-3</t>
  </si>
  <si>
    <t>144-00-1653063-3</t>
  </si>
  <si>
    <t>144-00-1658954-8</t>
  </si>
  <si>
    <t>101-00-1010082-2</t>
  </si>
  <si>
    <t>144-00-1686759-7</t>
  </si>
  <si>
    <t>144-00-1746222-4</t>
  </si>
  <si>
    <t>144-00-1780233-8</t>
  </si>
  <si>
    <t>144-00-1799365-7</t>
  </si>
  <si>
    <t>144-00-1700690-6</t>
  </si>
  <si>
    <t>144-00-1728679-7</t>
  </si>
  <si>
    <t>144-00-1739417-9</t>
  </si>
  <si>
    <t>144-00-1735727-5</t>
  </si>
  <si>
    <t>144-00-1648945-9</t>
  </si>
  <si>
    <t>144-00-1735807-5</t>
  </si>
  <si>
    <t>144-00-1686751-4</t>
  </si>
  <si>
    <t>144-00-1646924-6</t>
  </si>
  <si>
    <t>144-00-1646930-3</t>
  </si>
  <si>
    <t>144-00-1722425-1</t>
  </si>
  <si>
    <t>144-00-1646934-5</t>
  </si>
  <si>
    <t>144-00-1679696-0</t>
  </si>
  <si>
    <t>144-00-1739416-1</t>
  </si>
  <si>
    <t>ARUM SETIYONINGSIH</t>
  </si>
  <si>
    <t>LEGAL</t>
  </si>
  <si>
    <t>HUKUM</t>
  </si>
  <si>
    <t>3578286111970001</t>
  </si>
  <si>
    <t>GENTING V/21/GENTING KALIANAK/ASEMROWO, BOJONEGORO</t>
  </si>
  <si>
    <t>SAWOJAJAR IV</t>
  </si>
  <si>
    <t>081293751782</t>
  </si>
  <si>
    <t>arumstyn9@gmail.com</t>
  </si>
  <si>
    <t>051</t>
  </si>
  <si>
    <t>052</t>
  </si>
  <si>
    <t>053</t>
  </si>
  <si>
    <t>ANDYKA SYAHPUTRA</t>
  </si>
  <si>
    <t>D2</t>
  </si>
  <si>
    <t>3573010410930002</t>
  </si>
  <si>
    <t>JL. BATU AMARIL 38, RT/RW 02/04 PANDANWANGI, BLIMBING</t>
  </si>
  <si>
    <t>0895414552493</t>
  </si>
  <si>
    <t>dykaputra1993@gmail.com</t>
  </si>
  <si>
    <t>9919110053</t>
  </si>
  <si>
    <t>144-00-1902586-2</t>
  </si>
  <si>
    <t>144-00-1902606-8</t>
  </si>
  <si>
    <t>144-00-1902619-1</t>
  </si>
  <si>
    <t>144-00-1902484-0</t>
  </si>
  <si>
    <t>HRGA</t>
  </si>
  <si>
    <t>SPV BARANG JADI</t>
  </si>
  <si>
    <t>SPV KEMASAN</t>
  </si>
  <si>
    <t>PIC KEMASAN MASUK</t>
  </si>
  <si>
    <t>PIC KEMASAN KELUAR</t>
  </si>
  <si>
    <t>KORLAP</t>
  </si>
  <si>
    <t>GENERAL MANAGER</t>
  </si>
  <si>
    <t>MANAGER HRGA</t>
  </si>
  <si>
    <t>PURCHASING</t>
  </si>
  <si>
    <t>BARCODE</t>
  </si>
  <si>
    <t>CODDING</t>
  </si>
  <si>
    <t>QC KEMASAN</t>
  </si>
  <si>
    <t>QC BARANG JADI</t>
  </si>
  <si>
    <t>STAFF ADMIN</t>
  </si>
  <si>
    <t>GUDANG ARAYA</t>
  </si>
  <si>
    <t>MS GLOW MEN</t>
  </si>
  <si>
    <t>YUDA BAGUS SANTOSA</t>
  </si>
  <si>
    <t>STAFF PRUDUCT</t>
  </si>
  <si>
    <t>3573031110940000</t>
  </si>
  <si>
    <t>LESANPURO VI/26 RT/RW 003/002, LESANPURO, KEDUNGKANDANG</t>
  </si>
  <si>
    <t>082233308090</t>
  </si>
  <si>
    <t>WICAKSONO HARYO PRAKOSO</t>
  </si>
  <si>
    <t>ADMIN PENJUALAN</t>
  </si>
  <si>
    <t>D-III</t>
  </si>
  <si>
    <t>3573030109910001</t>
  </si>
  <si>
    <t xml:space="preserve">JL. DANAU RAWA PENING II /H5 D1, RT/RW 03/14, MADYOPURO </t>
  </si>
  <si>
    <t>RATNA KURNIAWATI</t>
  </si>
  <si>
    <t>3573035001930006</t>
  </si>
  <si>
    <t xml:space="preserve"> JL. BANDARA TIMIKA BLOK CK – 19, RT/RW 04/09, CEMOROKANDANG, KEDUNGKANDANG  </t>
  </si>
  <si>
    <t>082331568118</t>
  </si>
  <si>
    <t>REZA DWI ARIEFANDA</t>
  </si>
  <si>
    <t xml:space="preserve">S-1 </t>
  </si>
  <si>
    <t>3574030804890001</t>
  </si>
  <si>
    <t xml:space="preserve">JL. MAWAR UNGU 9 RT/RW 008/003, SUKABUMI MAYANGAN </t>
  </si>
  <si>
    <t>08123485330</t>
  </si>
  <si>
    <t>HEAD PRODUCT</t>
  </si>
  <si>
    <t>GRESIK</t>
  </si>
  <si>
    <t>TEKNIK PERKAPALAN</t>
  </si>
  <si>
    <t>3525051110830003</t>
  </si>
  <si>
    <t xml:space="preserve">DSN. AMBENG AMBENG RT/RW 010/003 AMBENG WATANGREJO, DUDUKSAMPEYAN </t>
  </si>
  <si>
    <t>08563582009</t>
  </si>
  <si>
    <t>054</t>
  </si>
  <si>
    <t>055</t>
  </si>
  <si>
    <t>056</t>
  </si>
  <si>
    <t>057</t>
  </si>
  <si>
    <t>058</t>
  </si>
  <si>
    <t>PIC QC</t>
  </si>
  <si>
    <t>JEJEN SOPIANDI</t>
  </si>
  <si>
    <t>059</t>
  </si>
  <si>
    <t>STAF PACKING</t>
  </si>
  <si>
    <t>GARUT</t>
  </si>
  <si>
    <t>STIK SAPUTRI</t>
  </si>
  <si>
    <t>GWEEN VISTA NEBIA W.K</t>
  </si>
  <si>
    <t>3573011201900005</t>
  </si>
  <si>
    <t>MENDET BARAT, RT/RW 002/002 MANGLIAWAN PAKIS, MALANG</t>
  </si>
  <si>
    <t>087757638744</t>
  </si>
  <si>
    <t>KOORDINATOR PACKING</t>
  </si>
  <si>
    <t>060</t>
  </si>
  <si>
    <t>SAIFUR ROUUF</t>
  </si>
  <si>
    <t>JATI SURYADI</t>
  </si>
  <si>
    <t>061</t>
  </si>
  <si>
    <t>DESIGN</t>
  </si>
  <si>
    <t>JEPARA</t>
  </si>
  <si>
    <t>D-II</t>
  </si>
  <si>
    <t>INFORMATIC COMPUTER</t>
  </si>
  <si>
    <t>3320062709930003</t>
  </si>
  <si>
    <t>JL. KARTINI 57 KAUMAN RT/RW KAUMAN, JEPARA</t>
  </si>
  <si>
    <t>082232929651</t>
  </si>
  <si>
    <t>3507181703970004</t>
  </si>
  <si>
    <t>PAKIS KEMBAR DSN JAMBON RT/RW 04/02 PAKIS</t>
  </si>
  <si>
    <t>081338546457</t>
  </si>
  <si>
    <t>RINO BINGA HANDANA</t>
  </si>
  <si>
    <t>PELAYARAN</t>
  </si>
  <si>
    <t>3574042410940001</t>
  </si>
  <si>
    <t xml:space="preserve">JL TELUK CENDRAWASIH IV/4 MALANG </t>
  </si>
  <si>
    <t>JL CITARUM III PERUM KENTANYAN 66 IV NO 65 CURAH GRINTING - KANIGARAN</t>
  </si>
  <si>
    <t>082258591100</t>
  </si>
  <si>
    <t>FERI WAHYUDI</t>
  </si>
  <si>
    <t>IWAN</t>
  </si>
  <si>
    <t>KHOIRUN NASIKIN</t>
  </si>
  <si>
    <t>3522040710910006</t>
  </si>
  <si>
    <t>DS. KARANGAN, KEPOHBARU, BOJONEGORO</t>
  </si>
  <si>
    <t>085732938413</t>
  </si>
  <si>
    <t>PIPIT CHOIRUL PUSPITASARI</t>
  </si>
  <si>
    <t>ADMIN MARKETING</t>
  </si>
  <si>
    <t>KESEJAHTERAAN SOSIAL</t>
  </si>
  <si>
    <t>3507186506950003</t>
  </si>
  <si>
    <t xml:space="preserve">JL. KEDOYO TIMUR RT/RW 03/14, KEL. MANGLIAWAN KEC. PAKIS </t>
  </si>
  <si>
    <t>081332450523</t>
  </si>
  <si>
    <t>pipitpita54@gmail.com</t>
  </si>
  <si>
    <t>062</t>
  </si>
  <si>
    <t>AGUS PERMADI WIJAYA</t>
  </si>
  <si>
    <t>SLTP</t>
  </si>
  <si>
    <t>3573040308900012</t>
  </si>
  <si>
    <t xml:space="preserve">JL GADANG 21 C / 71 A, GADANG-SUKUN </t>
  </si>
  <si>
    <t>082230232796</t>
  </si>
  <si>
    <t>063</t>
  </si>
  <si>
    <t>064</t>
  </si>
  <si>
    <t>065</t>
  </si>
  <si>
    <t>066</t>
  </si>
  <si>
    <t>067</t>
  </si>
  <si>
    <t>144-00-1908253-3</t>
  </si>
  <si>
    <t>144-00-1908240-0</t>
  </si>
  <si>
    <t>144-00-1908243-4</t>
  </si>
  <si>
    <t>144-00-1908235-0</t>
  </si>
  <si>
    <t>144-00-1908245-9</t>
  </si>
  <si>
    <t>144-00-1908237-6</t>
  </si>
  <si>
    <t>144-00-1908248-3</t>
  </si>
  <si>
    <t>144-00-1908252-5</t>
  </si>
  <si>
    <t>144-00-1908249-1</t>
  </si>
  <si>
    <t>144-00-1908247-5</t>
  </si>
  <si>
    <t>144-00-1908254-1</t>
  </si>
  <si>
    <t xml:space="preserve">WAHYU ZAINUL MUSTOFA </t>
  </si>
  <si>
    <t>l</t>
  </si>
  <si>
    <t>TKR</t>
  </si>
  <si>
    <t>3507221306970001</t>
  </si>
  <si>
    <t>DSN SEMPU RT/RW 002/001, GADINGKULON, DAU - MALANG</t>
  </si>
  <si>
    <t>085710332709</t>
  </si>
  <si>
    <t>068</t>
  </si>
  <si>
    <t>TRI NOVITA DANUATI</t>
  </si>
  <si>
    <t>MANAJEMEN BISNIS INDUSTRI</t>
  </si>
  <si>
    <t>3508026211960001</t>
  </si>
  <si>
    <t xml:space="preserve">SUMBERURIP RT/RW 03/02 PRONOJIWO, LUMAJANG </t>
  </si>
  <si>
    <t>JL SUDIMORO NO 81 MOJOLANGU KEC LOWOKWARU</t>
  </si>
  <si>
    <t>085755339470</t>
  </si>
  <si>
    <t>trinovitadanuati@gmail.com</t>
  </si>
  <si>
    <t>ONIS NABILLA NIRMALA SARI</t>
  </si>
  <si>
    <t>3507056106950003</t>
  </si>
  <si>
    <t xml:space="preserve">JL. WERKUDORO RT/RW 004/013 DAMPIT, MALANG </t>
  </si>
  <si>
    <t>081259483855</t>
  </si>
  <si>
    <t>onisnabila@gmail.com</t>
  </si>
  <si>
    <t>RIZKY NUR OKTAVIANI</t>
  </si>
  <si>
    <t>PENDIDIKAN BAHASA INGGRIS</t>
  </si>
  <si>
    <t>3507184710940002</t>
  </si>
  <si>
    <t xml:space="preserve">JL RAYA SEKARPURO 71 RT/RW 018/006 SEKARPURO, </t>
  </si>
  <si>
    <t>082232495051</t>
  </si>
  <si>
    <t>kikinur00@gmail.com</t>
  </si>
  <si>
    <t>069</t>
  </si>
  <si>
    <t>070</t>
  </si>
  <si>
    <t>071</t>
  </si>
  <si>
    <t>144-00-1859551-9</t>
  </si>
  <si>
    <t>FARHAN AFIF MUADHOM</t>
  </si>
  <si>
    <t>3572011703970002</t>
  </si>
  <si>
    <t>JL. TIDAR NO 179 C RT 4 RW 4 KAUMAN KEPANJEN KIDUL BLITAR</t>
  </si>
  <si>
    <t>JL CANDI BADUT 15 MOJOLANGU LOWOKWARU</t>
  </si>
  <si>
    <t>089680613107</t>
  </si>
  <si>
    <t>fourhanz.acc@gmail.com</t>
  </si>
  <si>
    <t>RANGGA CHRISMA PUTRA</t>
  </si>
  <si>
    <t>TEKNIK SIPIL DAN BANGUNAN</t>
  </si>
  <si>
    <t>3573042612950004</t>
  </si>
  <si>
    <t xml:space="preserve">JL. S.SUPRIADI VI/2964 RT 010 RW 006 SUKUN </t>
  </si>
  <si>
    <t>081336469038</t>
  </si>
  <si>
    <t>ranggachrismaputra@gmsil.com</t>
  </si>
  <si>
    <t>ZAINUL FANANI</t>
  </si>
  <si>
    <t>MESIN OTOMOTIF</t>
  </si>
  <si>
    <t>3507221708750002</t>
  </si>
  <si>
    <t>DSN SUMBERJO RT 006 RW 002 DAU, MALANG</t>
  </si>
  <si>
    <t>08983480999</t>
  </si>
  <si>
    <t>TOTOK MOEJIONO</t>
  </si>
  <si>
    <t>3573042707760001</t>
  </si>
  <si>
    <t>GADANG 21C/24 RT 006 RW 004 GADANG SUKUN</t>
  </si>
  <si>
    <t>089688037798</t>
  </si>
  <si>
    <t>YESI SILVIANA ENGGAR N</t>
  </si>
  <si>
    <t>CUSTOMER CARE</t>
  </si>
  <si>
    <t>PGSD</t>
  </si>
  <si>
    <t>3521064402930001</t>
  </si>
  <si>
    <t xml:space="preserve">BUDUG, RT/RW 013/005 KWADUNGAN, NGAWI </t>
  </si>
  <si>
    <t>082228332766</t>
  </si>
  <si>
    <t>YESISISILVIANA4@GMAIL.COM</t>
  </si>
  <si>
    <t>ANDRE NUR AFANDI</t>
  </si>
  <si>
    <t>WAHYU SAIFUL ANWAR</t>
  </si>
  <si>
    <t>HARIS ARYA SAPUTRA</t>
  </si>
  <si>
    <t>AHMAD FAUZI</t>
  </si>
  <si>
    <t>RAIS SUNETH</t>
  </si>
  <si>
    <t>DESIGNER</t>
  </si>
  <si>
    <t>072</t>
  </si>
  <si>
    <t>073</t>
  </si>
  <si>
    <t>074</t>
  </si>
  <si>
    <t>075</t>
  </si>
  <si>
    <t>076</t>
  </si>
  <si>
    <t>082</t>
  </si>
  <si>
    <t>083</t>
  </si>
  <si>
    <t>084</t>
  </si>
  <si>
    <t>085</t>
  </si>
  <si>
    <t>086</t>
  </si>
  <si>
    <t>087</t>
  </si>
  <si>
    <t>RULLY LASEWA</t>
  </si>
  <si>
    <r>
      <t>mnur55789</t>
    </r>
    <r>
      <rPr>
        <b/>
        <u/>
        <sz val="10"/>
        <color theme="10"/>
        <rFont val="Calibri"/>
        <family val="2"/>
        <scheme val="minor"/>
      </rPr>
      <t>gmail.com</t>
    </r>
  </si>
  <si>
    <t>144-00-1910789-2</t>
  </si>
  <si>
    <t>144-00-1910758-7</t>
  </si>
  <si>
    <t>144-00-1910611-8</t>
  </si>
  <si>
    <t>MUHAMMAD ROZIQIN</t>
  </si>
  <si>
    <t>HUDA IRWANTO</t>
  </si>
  <si>
    <t>20</t>
  </si>
  <si>
    <t>088</t>
  </si>
  <si>
    <t>089</t>
  </si>
  <si>
    <t>144-00-1910800-7</t>
  </si>
  <si>
    <t>144-00-1910794-2</t>
  </si>
  <si>
    <t>144-00-1910780-1</t>
  </si>
  <si>
    <t>WELLY OKTORA</t>
  </si>
  <si>
    <t>3573010210820001</t>
  </si>
  <si>
    <t xml:space="preserve">JLN. KOLONEL SUGIONO V / 30A RT 4 RW 3, KEL MERGOSONO KEDUNGKANDANG </t>
  </si>
  <si>
    <t>081211767456</t>
  </si>
  <si>
    <t>M. IRWAN EKO S</t>
  </si>
  <si>
    <t>SURVEY DAN PEMETAAN</t>
  </si>
  <si>
    <t>3522090301970005</t>
  </si>
  <si>
    <t>DSN JANAR DS NGELUMBER KEC. KEPOH BARU, BOJONEGORO</t>
  </si>
  <si>
    <t>085791394689</t>
  </si>
  <si>
    <t>ANDIKA FEBRI SUSIYANTO</t>
  </si>
  <si>
    <t>JLN SAWUNGGALING RT 4 RW 3, BANJARREJO PAKIS MALANG</t>
  </si>
  <si>
    <t>085730034355</t>
  </si>
  <si>
    <t>M. RIFKI HADIYAN KHARON</t>
  </si>
  <si>
    <t>JLN BARAN SUKOANYAR RT 4 RW 7 PAKIS, KAB. MALANG</t>
  </si>
  <si>
    <t>JLN SAWUNGGALING RT 4 RW 3, BANJARREJO PAKIS  KAB. MALANG</t>
  </si>
  <si>
    <t>082338238846</t>
  </si>
  <si>
    <t xml:space="preserve">SLAMET EFFENDI </t>
  </si>
  <si>
    <t xml:space="preserve">SMA </t>
  </si>
  <si>
    <t>3507180108970005</t>
  </si>
  <si>
    <t>3507180202000001</t>
  </si>
  <si>
    <t>3507182802000003</t>
  </si>
  <si>
    <t>JLN SUKOANYAR COKRO RT 4 RW 2 PAKIS, KAB.MALANG</t>
  </si>
  <si>
    <t>081239159591</t>
  </si>
  <si>
    <t>ALFAN CANDRA ANDRIYANTO</t>
  </si>
  <si>
    <t>JLN DIENG ATAS NO 239 KEL KALI SONGO DESA SUMBERJO RT 1 RW 2 MALANG</t>
  </si>
  <si>
    <t>088228522596</t>
  </si>
  <si>
    <t>MUHAMAD CHOIRUL</t>
  </si>
  <si>
    <t>JLN INSPOL SUWOTO SIDODADI KLOSOD LAWANG MALANG</t>
  </si>
  <si>
    <t>081807039280</t>
  </si>
  <si>
    <t>3507253011970002</t>
  </si>
  <si>
    <t>090</t>
  </si>
  <si>
    <t>091</t>
  </si>
  <si>
    <t>092</t>
  </si>
  <si>
    <t>093</t>
  </si>
  <si>
    <t>094</t>
  </si>
  <si>
    <t>095</t>
  </si>
  <si>
    <t>096</t>
  </si>
  <si>
    <t>144-00-1910720-7</t>
  </si>
  <si>
    <t>144-00-1910764-5</t>
  </si>
  <si>
    <t>144-00-1910805-6</t>
  </si>
  <si>
    <t>144-00-1910795-9</t>
  </si>
  <si>
    <t>144-00-1910731-4</t>
  </si>
  <si>
    <t>144-00-1910790-0</t>
  </si>
  <si>
    <t>144-00-1910803-1</t>
  </si>
  <si>
    <t>144-00-1910801-5</t>
  </si>
  <si>
    <t>144-00-1914165-1</t>
  </si>
  <si>
    <t>144-00-1914164-4</t>
  </si>
  <si>
    <t>144-00-1914158-6</t>
  </si>
  <si>
    <t>144-00-1914157-8</t>
  </si>
  <si>
    <t>144-00-1914159-4</t>
  </si>
  <si>
    <t>144-00-1914161-0</t>
  </si>
  <si>
    <t>144-00-1914166-9</t>
  </si>
  <si>
    <t>144-00-1914162-8</t>
  </si>
  <si>
    <t>JARMOKO</t>
  </si>
  <si>
    <t>ROBERTHUS ARIA S</t>
  </si>
  <si>
    <t>MUHAMMAD AFIF ROSYADI</t>
  </si>
  <si>
    <t>CLIENT</t>
  </si>
  <si>
    <t>PHL</t>
  </si>
  <si>
    <t>3514080508910003</t>
  </si>
  <si>
    <t>DSN GEDANGAN SIDODADI SUMBERWUNI, MALANG</t>
  </si>
  <si>
    <t>085335667045</t>
  </si>
  <si>
    <t>3507190505000002</t>
  </si>
  <si>
    <t>JLN FLAMBOYAN RT 12 RW 3 PAKIS AJI MALANG</t>
  </si>
  <si>
    <t>088235718124</t>
  </si>
  <si>
    <t>PEMASARAN</t>
  </si>
  <si>
    <t>3573032101990003</t>
  </si>
  <si>
    <t>JLN KI AGENG GRIBIG I RT 2 RW 3 KEDUNGKANDANG, MALANG</t>
  </si>
  <si>
    <t>0895396098283</t>
  </si>
  <si>
    <t xml:space="preserve">MALANG </t>
  </si>
  <si>
    <t>TSM</t>
  </si>
  <si>
    <t>3507021305990001</t>
  </si>
  <si>
    <t>JLN KADIPATEN RT 3 RW 6 SINGOSARI MALANG</t>
  </si>
  <si>
    <t xml:space="preserve">WAKAL </t>
  </si>
  <si>
    <t>8101152802940002</t>
  </si>
  <si>
    <t>JLN RAYA WAKAL, AMBON</t>
  </si>
  <si>
    <t>TAJINAN KLOJEN MALANG</t>
  </si>
  <si>
    <t>082198663820</t>
  </si>
  <si>
    <t>082142792352</t>
  </si>
  <si>
    <t>3507240508000004</t>
  </si>
  <si>
    <t>DSN KRAJAN WATUGEDE RT 2 RW 6, SINGOSARI MALANG</t>
  </si>
  <si>
    <t>082331213721</t>
  </si>
  <si>
    <t>3507240708990002</t>
  </si>
  <si>
    <t>085607693225</t>
  </si>
  <si>
    <t xml:space="preserve">S1 </t>
  </si>
  <si>
    <t>JL MERPATI DS KAJANG KEC SAWAHAN, MADIUN</t>
  </si>
  <si>
    <t>JL MEYJEND PANJAITAN NO 187 MALANG</t>
  </si>
  <si>
    <t>081217053484</t>
  </si>
  <si>
    <t>144-00-1910793-4</t>
  </si>
  <si>
    <t>rully.lasewa@gmail.com</t>
  </si>
  <si>
    <t>SANDY SEPTIAWAN</t>
  </si>
  <si>
    <t>ANDRIAN SAPUTRA</t>
  </si>
  <si>
    <t>MOHAMAD KHASBI ASYIDIQI</t>
  </si>
  <si>
    <t>DIMAS RIZKI RADITYA</t>
  </si>
  <si>
    <t>3507242702960003</t>
  </si>
  <si>
    <t>3519141512970001</t>
  </si>
  <si>
    <t>CUT OFF</t>
  </si>
  <si>
    <t>HENDRA BUDI SETYAWAN</t>
  </si>
  <si>
    <t>3524042007970001</t>
  </si>
  <si>
    <t>DS. NGASEM LEMAHBANG RT 2 RW 2 KECAMATAN NGIMBANG, LAMONGAN</t>
  </si>
  <si>
    <t>082334600453</t>
  </si>
  <si>
    <t>FAISOL ABRORI</t>
  </si>
  <si>
    <t>BONDOWOSO</t>
  </si>
  <si>
    <t>EKSIM</t>
  </si>
  <si>
    <t>3511160108970003</t>
  </si>
  <si>
    <t>DS. SEMPOL RT 9 RW 5 KEC PRAJOKAN, NONDOWOSO</t>
  </si>
  <si>
    <t>082245236887</t>
  </si>
  <si>
    <t>097</t>
  </si>
  <si>
    <t>098</t>
  </si>
  <si>
    <t>NOR AISYAH ZAKIAH REZA</t>
  </si>
  <si>
    <t>MANAGER MARKETING</t>
  </si>
  <si>
    <t>099</t>
  </si>
  <si>
    <t>BRAND DEVELOPMENT</t>
  </si>
  <si>
    <t>DESAIN PRODUK INDUSTRI</t>
  </si>
  <si>
    <t>3525166709930005</t>
  </si>
  <si>
    <t>NYAI AGENG PINATIH 16 RT 001 RW 001 KEBUNGSON GRESIK</t>
  </si>
  <si>
    <t>JLN. PUNCAK BURING INDAH BARAT 02/14 MALANG</t>
  </si>
  <si>
    <t>085648333379</t>
  </si>
  <si>
    <t>NORAISYAHREZA@GMAIL.COM</t>
  </si>
  <si>
    <t>144-00-1815010-9</t>
  </si>
  <si>
    <t>144-00-1712395-8</t>
  </si>
  <si>
    <t>144-00-1745920-4</t>
  </si>
  <si>
    <t>144-00-1554988-1</t>
  </si>
  <si>
    <t>MUHAMMAD RIF'AN</t>
  </si>
  <si>
    <t>WELDI DEWANGGA P</t>
  </si>
  <si>
    <t>QC</t>
  </si>
  <si>
    <t>PU 2</t>
  </si>
  <si>
    <t>ALFAN PUTRA STIAWAN</t>
  </si>
  <si>
    <t>BISNIS MARKETING</t>
  </si>
  <si>
    <t>GRAFIKA</t>
  </si>
  <si>
    <t>3507182407990001</t>
  </si>
  <si>
    <t>DSN JEBUK RT 020 RW003 DS SUMBERKRADENAN, PAKIS , MALANG</t>
  </si>
  <si>
    <t>082331745815</t>
  </si>
  <si>
    <t>3513090801880001</t>
  </si>
  <si>
    <t>GADANG GANG 21 C NO 22, MALANG</t>
  </si>
  <si>
    <t>085233073393</t>
  </si>
  <si>
    <t>3507180905970001</t>
  </si>
  <si>
    <t>JL DAHLIA RT 02 RW 04 BUNUT KIDUL ASRIKATON, PAKIS, MALANG</t>
  </si>
  <si>
    <t>083119704733</t>
  </si>
  <si>
    <t>100</t>
  </si>
  <si>
    <t>101</t>
  </si>
  <si>
    <t>102</t>
  </si>
  <si>
    <t>PU 1</t>
  </si>
  <si>
    <t>144-00-1918982-5</t>
  </si>
  <si>
    <t>144-00-1918989-0</t>
  </si>
  <si>
    <t>144-00-1918832-2</t>
  </si>
  <si>
    <t>144-00-1918814-0</t>
  </si>
  <si>
    <t>144-00-1918983-3</t>
  </si>
  <si>
    <t>144-00-1918898-3</t>
  </si>
  <si>
    <t>144-00-1923536-2</t>
  </si>
  <si>
    <t>ranggachrismaputra26@gmail.com</t>
  </si>
  <si>
    <t>HR</t>
  </si>
  <si>
    <t>103</t>
  </si>
  <si>
    <t>MARCOM</t>
  </si>
  <si>
    <t>FERNANDO PRATAMA WIJAYA</t>
  </si>
  <si>
    <t>LAHAT</t>
  </si>
  <si>
    <t>SI</t>
  </si>
  <si>
    <t>ILMU KOMUNIKASI</t>
  </si>
  <si>
    <t>JL.SANTAI NO.51 KEL TALANG JAWA SELATAN</t>
  </si>
  <si>
    <t>JL. BUNGA SRIGADING NO 21 LOWOKWARU</t>
  </si>
  <si>
    <t>1604101204960008</t>
  </si>
  <si>
    <t>082179660076</t>
  </si>
  <si>
    <t>wijayatan04@gmail.com</t>
  </si>
  <si>
    <t>140-00-1777713-8</t>
  </si>
  <si>
    <t>RENDY ARDIAN PRATAMA</t>
  </si>
  <si>
    <t>104</t>
  </si>
  <si>
    <t>3507210808970003</t>
  </si>
  <si>
    <t>JL. RAYA GONDOWANGI NO 46, WAGIR KAB. MALANG</t>
  </si>
  <si>
    <t>085234811314</t>
  </si>
  <si>
    <t>MATHARI RAMADHAN ARMANTA</t>
  </si>
  <si>
    <t>SAMARINDA</t>
  </si>
  <si>
    <t>6472031202940003</t>
  </si>
  <si>
    <t>JL. AW. SYAHRANI, RATINDO GRIYA L6 KEL. AIR HITAM</t>
  </si>
  <si>
    <t>JL. CANDI BADUT NO.8 LOWOKWARU, MALANG</t>
  </si>
  <si>
    <t>081358224763</t>
  </si>
  <si>
    <t>144-00-1768046-0</t>
  </si>
  <si>
    <t>mathari.armanta@gmail.com</t>
  </si>
  <si>
    <t>RIKO TRIE SAPUTRA</t>
  </si>
  <si>
    <t>SPV MS GLOW MEN</t>
  </si>
  <si>
    <t>BANGKALAN</t>
  </si>
  <si>
    <t>A+</t>
  </si>
  <si>
    <t>GREXITA VETA SANDIKA</t>
  </si>
  <si>
    <t>GRITHA ALEONA VALERIE</t>
  </si>
  <si>
    <t>3526012111930003</t>
  </si>
  <si>
    <t>JL. JOKOTOLE III RT 04/RW 04 BANGKALAN</t>
  </si>
  <si>
    <t>JL. IKAN GURAMI 24 MALANG</t>
  </si>
  <si>
    <t>087859500686</t>
  </si>
  <si>
    <t>144-00-1712394-1</t>
  </si>
  <si>
    <t>rikosaputra337@gmail.com</t>
  </si>
  <si>
    <t>MUTASI</t>
  </si>
  <si>
    <t>9919120074</t>
  </si>
  <si>
    <t>NOVIANY ANGELINA R.P.PANDANGO</t>
  </si>
  <si>
    <t>PUBLIC RELATION</t>
  </si>
  <si>
    <t>ALVAN SEPTY KURNIAWAN</t>
  </si>
  <si>
    <t>992040108</t>
  </si>
  <si>
    <t>992040107</t>
  </si>
  <si>
    <t>992040109</t>
  </si>
  <si>
    <t>DITA LESTARI</t>
  </si>
  <si>
    <t>WAIKABUBAK</t>
  </si>
  <si>
    <t>S2</t>
  </si>
  <si>
    <t>5312156711960001</t>
  </si>
  <si>
    <t xml:space="preserve">JL. VETERAN, KAMPUNG SAWAH - WAIKABUBAK , NTT </t>
  </si>
  <si>
    <t>JL. HALIMUN NO.8</t>
  </si>
  <si>
    <t>081234912437</t>
  </si>
  <si>
    <t>novianyarpp@gmail.com</t>
  </si>
  <si>
    <t>3573042209930003</t>
  </si>
  <si>
    <t>PERUM TAMAN JANTI D-9, MALANG</t>
  </si>
  <si>
    <t>0812333480993</t>
  </si>
  <si>
    <t>alvan.septy.k@gmail.com</t>
  </si>
  <si>
    <t>SISTEM INFORMASI</t>
  </si>
  <si>
    <t>MAGISTER HUKUM</t>
  </si>
  <si>
    <t>3507016808950003</t>
  </si>
  <si>
    <t>NGRENDENG RT 15 RW 4. SUMBEROTO - DONOMULYO</t>
  </si>
  <si>
    <t>JL. DANAU KELIMUTU 1 C3 E, 05, KOTA MALANG</t>
  </si>
  <si>
    <t>08993773987</t>
  </si>
  <si>
    <t>ditalesta@gmail.com</t>
  </si>
  <si>
    <t>144-00-1938310-5</t>
  </si>
  <si>
    <t>GEDE SUJANA</t>
  </si>
  <si>
    <t>900-00-1928980-1</t>
  </si>
  <si>
    <t>MUCH BAYU SETIYABUDI</t>
  </si>
  <si>
    <t>T INFORMATIKA</t>
  </si>
  <si>
    <t>3507182503940002</t>
  </si>
  <si>
    <t>DSN. BULUREJO SAPTORENGGO RT/RW 02/07 KEC. PAKIS KAB. MALANG</t>
  </si>
  <si>
    <t>082331730733</t>
  </si>
  <si>
    <t>mbayusb94@gmail.com</t>
  </si>
  <si>
    <t>DWI ANGGORO PUTRO NOFEMBRIYANTO</t>
  </si>
  <si>
    <t xml:space="preserve">PU2 </t>
  </si>
  <si>
    <t>YUDHISTIRA SADIE AMADEA</t>
  </si>
  <si>
    <t>DIPLOMA</t>
  </si>
  <si>
    <t>3507092203860001</t>
  </si>
  <si>
    <t>JL HAMID RUSDI TIMUR IV / 292 001/015, BUNULREJO BLIMBING, MALANG</t>
  </si>
  <si>
    <t>082179996627</t>
  </si>
  <si>
    <t>@the20centuryst@gmail.com</t>
  </si>
  <si>
    <t>144-00-1747-5994</t>
  </si>
  <si>
    <t>144-00-1941934-7</t>
  </si>
  <si>
    <t>MALANG - KCP SAWOJAJAR</t>
  </si>
  <si>
    <t>3513092111890001</t>
  </si>
  <si>
    <t>JL GADANG XXI C / 22 A 006/004 GDANG SUKUN</t>
  </si>
  <si>
    <t>08232681160</t>
  </si>
  <si>
    <t>MANAGER</t>
  </si>
  <si>
    <t>KEUANGAN</t>
  </si>
  <si>
    <t>PRODUCT</t>
  </si>
  <si>
    <t>HUMAN RECOURCE DEV</t>
  </si>
  <si>
    <t>NOR AISYAH ZAKIAH</t>
  </si>
  <si>
    <t>KONTRAK 1 (PKWT-1)</t>
  </si>
  <si>
    <t>KONTRAK 2 (PKWT-2)</t>
  </si>
  <si>
    <t>VIOLA DWI P</t>
  </si>
  <si>
    <t>144-00-1942628-4</t>
  </si>
  <si>
    <t>144-00-1942630-0</t>
  </si>
  <si>
    <t>144-00-1942629-2</t>
  </si>
  <si>
    <t>POSISI</t>
  </si>
  <si>
    <t>85.695.573.7-623.000</t>
  </si>
  <si>
    <t>92.498.503.9-652.000</t>
  </si>
  <si>
    <t>144-00-1942907-2</t>
  </si>
  <si>
    <t>NOMINAL</t>
  </si>
  <si>
    <t>LODY SAMPURNA</t>
  </si>
  <si>
    <t>MARKOM</t>
  </si>
  <si>
    <t>ADMIN PIUTANG</t>
  </si>
  <si>
    <t>3579022508970008</t>
  </si>
  <si>
    <t>JL. TANJUNG 59 BULUKERTO 001/004 BULUKERTO, BUMIAJI MALANG</t>
  </si>
  <si>
    <t>082141427637</t>
  </si>
  <si>
    <t>HAFIDZ WILDA PRASETYA</t>
  </si>
  <si>
    <t>3573031310930002</t>
  </si>
  <si>
    <t>JL. DANAU MATANA V F2 J12 004/012 KEDUNGKANDANG MALANG</t>
  </si>
  <si>
    <t>082234273973</t>
  </si>
  <si>
    <t>TIDG</t>
  </si>
  <si>
    <t>isampurna71@gmail.com</t>
  </si>
  <si>
    <t>992060119</t>
  </si>
  <si>
    <t>ADMN PIUTANG</t>
  </si>
  <si>
    <t>992060120</t>
  </si>
  <si>
    <t>144-00-0070777-5</t>
  </si>
  <si>
    <t>HARIYONO</t>
  </si>
  <si>
    <t>3573041703780001</t>
  </si>
  <si>
    <t>JL. MERAK SELATAN 16 011/005 SUKUN MALANG</t>
  </si>
  <si>
    <t>081236921578</t>
  </si>
  <si>
    <t>144-00-1948984-5</t>
  </si>
  <si>
    <t>144-00-1948983-7</t>
  </si>
  <si>
    <t>VANIA PRIMA DAMARA</t>
  </si>
  <si>
    <t>DIGITAL MARKETING</t>
  </si>
  <si>
    <t>SASTRA JERMAN</t>
  </si>
  <si>
    <t>3573034408930005</t>
  </si>
  <si>
    <t>JL. DANAU PANIAI VII H4 C23 SAWOJAJAR MALANG</t>
  </si>
  <si>
    <t>089666346063</t>
  </si>
  <si>
    <t>primadamara@gmail.com</t>
  </si>
  <si>
    <t>992060122</t>
  </si>
  <si>
    <t>MOCH RISKI AFANDI</t>
  </si>
  <si>
    <t>3524030411010001</t>
  </si>
  <si>
    <t xml:space="preserve">DSN NGELO DS JATIPAYAK 02/05 KEC MODO KAB LAMONGAN </t>
  </si>
  <si>
    <t>0881036045656</t>
  </si>
  <si>
    <t>ACHMAD ZAENAL ABIDIN</t>
  </si>
  <si>
    <t>3524050106960004</t>
  </si>
  <si>
    <t>APEL 14 003/001 DS KARANGKEMBANG KEC BABAT KOTA KAB LAMONGAN</t>
  </si>
  <si>
    <t/>
  </si>
  <si>
    <t>992060123</t>
  </si>
  <si>
    <t>992060124</t>
  </si>
  <si>
    <t>144-00-1950669-7</t>
  </si>
  <si>
    <t>EUNIKE DWI MIKNYO JATMIKO</t>
  </si>
  <si>
    <t>ADM PENJUALAN</t>
  </si>
  <si>
    <t>ADM BISNIS</t>
  </si>
  <si>
    <t>3517026712950001</t>
  </si>
  <si>
    <t>DS KEDUNG TURI KEC GUDO KAB JOMBANG</t>
  </si>
  <si>
    <t>JLN LETJEND S PARMAN NO 20 KOTA MALANG</t>
  </si>
  <si>
    <t>085730039003</t>
  </si>
  <si>
    <t>eunikedwimik1@gmail.com</t>
  </si>
  <si>
    <t>ADM PENJUAKAN</t>
  </si>
  <si>
    <t>992060125</t>
  </si>
  <si>
    <t>RAMADHANI ANANDA PUTRI  AMBARANI</t>
  </si>
  <si>
    <t>3507125812000002</t>
  </si>
  <si>
    <t>JLN RAMBUTAN RT/RW 009/001 KARANGKATES, SUMBERPUCUNG</t>
  </si>
  <si>
    <t>081553469289</t>
  </si>
  <si>
    <t>DEVI GARINDA PUTRI</t>
  </si>
  <si>
    <t xml:space="preserve">INTERNAL AUDIT </t>
  </si>
  <si>
    <t>BISDEV</t>
  </si>
  <si>
    <t>7</t>
  </si>
  <si>
    <t>SHARON ROIS SYAHRANI</t>
  </si>
  <si>
    <t>3507180711010007</t>
  </si>
  <si>
    <t>KEDOYO TIMUR 003/014 MANGLIAWAN PAKIS MALANG</t>
  </si>
  <si>
    <t>0895612444932</t>
  </si>
  <si>
    <t xml:space="preserve">BIMA PUTRA MAHARDIKA </t>
  </si>
  <si>
    <t>3507182407020001</t>
  </si>
  <si>
    <t>JL. H. NUROIS GG VII/07 04/03 TIRTOMOYO PAKIS MALANG</t>
  </si>
  <si>
    <t>3507140506810001</t>
  </si>
  <si>
    <t>JL. RADEN SALEH DSN PABRIAN 15/03 BULULAWANG MALANG</t>
  </si>
  <si>
    <t>083147849460</t>
  </si>
  <si>
    <t>ACHMAD NUR HASYIM</t>
  </si>
  <si>
    <t>KRAMIK</t>
  </si>
  <si>
    <t>3573011107930007</t>
  </si>
  <si>
    <t>SEBUKU KEL BUNUL REJO 01/08 NO 12 MALANG</t>
  </si>
  <si>
    <t>083851964323</t>
  </si>
  <si>
    <t>BAMBANG SULISTIAWAN</t>
  </si>
  <si>
    <t>MUHAMMAD USMAN</t>
  </si>
  <si>
    <t>ROBI PURWANTO</t>
  </si>
  <si>
    <t>TEKNIK OTO</t>
  </si>
  <si>
    <t>3573032501000001</t>
  </si>
  <si>
    <t>JL SANTOSO CEMOROKANDANG 02/05 MALANG</t>
  </si>
  <si>
    <t>3573031406830003</t>
  </si>
  <si>
    <t>JL LAKS MARTADINATA VIC/23 KOTA LAMA MALANG</t>
  </si>
  <si>
    <t>3524040302010001</t>
  </si>
  <si>
    <t>JL TANJUNG SONGO WARENG DS NGASEMLEMAHBANG, NGIMBANG LAMONGAN</t>
  </si>
  <si>
    <t>082134518119</t>
  </si>
  <si>
    <t>083122393700</t>
  </si>
  <si>
    <t>085802508665</t>
  </si>
  <si>
    <t>992070127</t>
  </si>
  <si>
    <t>992070128</t>
  </si>
  <si>
    <t>992070129</t>
  </si>
  <si>
    <t>992070130</t>
  </si>
  <si>
    <t>992070131</t>
  </si>
  <si>
    <t>992070132</t>
  </si>
  <si>
    <t>992070133</t>
  </si>
  <si>
    <t>992060121</t>
  </si>
  <si>
    <t>144-00-191021-7</t>
  </si>
  <si>
    <t>PROBOLINGO</t>
  </si>
  <si>
    <t>3513161407950001</t>
  </si>
  <si>
    <t>DSN IBRAK 003/005 KARANGPRANTI PAJARAKAN PROBOLINGGO</t>
  </si>
  <si>
    <t>992070134</t>
  </si>
  <si>
    <t>144-00-1950668-9</t>
  </si>
  <si>
    <t>144-00-1951107-7</t>
  </si>
  <si>
    <t>ACHMAD ROSYID FIRMANSYAH</t>
  </si>
  <si>
    <t>3573032312940009</t>
  </si>
  <si>
    <t>PURI CEMPAKA PUTIH 1 BLOK P9 004/005 ARJOWINANGUN KEDUNGKANDANG MALANG</t>
  </si>
  <si>
    <t>082229043624</t>
  </si>
  <si>
    <t>144-00-1956790-5</t>
  </si>
  <si>
    <t>144-00-1846518-4</t>
  </si>
  <si>
    <t>144-00-1956789-7</t>
  </si>
  <si>
    <t>144-00-1956791-3</t>
  </si>
  <si>
    <t>144-00-1957242-6</t>
  </si>
  <si>
    <t>144-00-1957243-4</t>
  </si>
  <si>
    <t>144-00-1957244-2</t>
  </si>
  <si>
    <t>NAMA</t>
  </si>
  <si>
    <t>STATUS</t>
  </si>
  <si>
    <t>TGL MASUK</t>
  </si>
  <si>
    <t>NO</t>
  </si>
  <si>
    <t>PER 2020</t>
  </si>
  <si>
    <t>DATA KARYAWAN PRODUCT OFFICE DAN ARAYA</t>
  </si>
  <si>
    <t>TIRTA HADIANSYAH</t>
  </si>
  <si>
    <t>BANJAR</t>
  </si>
  <si>
    <t>1801042704970011</t>
  </si>
  <si>
    <t>DS BANJAR NEGERI 002/001</t>
  </si>
  <si>
    <t>DSN NGIJO KEC KARANGPLOSO KOTA MALANG</t>
  </si>
  <si>
    <t>085334931121</t>
  </si>
  <si>
    <t>8</t>
  </si>
  <si>
    <t>992080136</t>
  </si>
  <si>
    <t>992070137</t>
  </si>
  <si>
    <t>MASRAGA SETIAWAN</t>
  </si>
  <si>
    <t>IT</t>
  </si>
  <si>
    <t>RPL</t>
  </si>
  <si>
    <t>3573042706950003</t>
  </si>
  <si>
    <t>PERUM GRIYA KEBONAGUNG INDAH BLOK D NO 6 KEBONAGUNG</t>
  </si>
  <si>
    <t>081280169416</t>
  </si>
  <si>
    <t>masragasetiawan@gmail.com</t>
  </si>
  <si>
    <t>TSASYAH HISYAM SUMMA PRATAMA</t>
  </si>
  <si>
    <t>MANAGEMEN INFORMATIKA</t>
  </si>
  <si>
    <t>3573011005990003</t>
  </si>
  <si>
    <t>JL. PUNTODEWO IV/3, 12/03, KEL POLEHAN KEC BLIMBING MALANG</t>
  </si>
  <si>
    <t>089680808393</t>
  </si>
  <si>
    <t>LAKSMI WIDYALANDARU ARSANDY</t>
  </si>
  <si>
    <t>JEMBER</t>
  </si>
  <si>
    <t>3515185502920004</t>
  </si>
  <si>
    <t>JL. KENONGO SARI NO 40 03/02 PAPELEGI WARU SIDOARJO</t>
  </si>
  <si>
    <t>JL DANAU RANAU RAYA G6 F4 KEDUNGKANDANG MALANG</t>
  </si>
  <si>
    <t>081230422255</t>
  </si>
  <si>
    <t>achahisyam@gmail.com</t>
  </si>
  <si>
    <t>lwarsandy@gmail.com</t>
  </si>
  <si>
    <t>992080138</t>
  </si>
  <si>
    <t>992080139</t>
  </si>
  <si>
    <t>992080140</t>
  </si>
  <si>
    <t>144-00-1959204-4</t>
  </si>
  <si>
    <t>992080141</t>
  </si>
  <si>
    <t>NOVITA RAHAYU</t>
  </si>
  <si>
    <t>SASTRA INGGRIS</t>
  </si>
  <si>
    <t>3515065511900002</t>
  </si>
  <si>
    <t>VILLA JASMINE 3 BLOK C2 N0 4 SIDOARJO</t>
  </si>
  <si>
    <t>08113330659</t>
  </si>
  <si>
    <t>Novytasuparman@gmail.com</t>
  </si>
  <si>
    <t>144-00-1966975-5</t>
  </si>
  <si>
    <t>144-00-1966974-3</t>
  </si>
  <si>
    <t>144-00-1966973-5</t>
  </si>
  <si>
    <t>144-00-1966971-9</t>
  </si>
  <si>
    <t>144-00-1966972-7</t>
  </si>
  <si>
    <t xml:space="preserve">FARIS </t>
  </si>
  <si>
    <t>101-00-1077123-4</t>
  </si>
  <si>
    <t>OWNER</t>
  </si>
  <si>
    <t>kirun</t>
  </si>
  <si>
    <t>mayson</t>
  </si>
  <si>
    <t>eni</t>
  </si>
  <si>
    <t>iska</t>
  </si>
  <si>
    <t>miranda</t>
  </si>
  <si>
    <t>risa w</t>
  </si>
  <si>
    <t>erwin</t>
  </si>
  <si>
    <t>dhoni</t>
  </si>
  <si>
    <t>dafa</t>
  </si>
  <si>
    <t>dio</t>
  </si>
  <si>
    <t>dimas</t>
  </si>
  <si>
    <t>tri m</t>
  </si>
  <si>
    <t>anisa s</t>
  </si>
  <si>
    <t>dani</t>
  </si>
  <si>
    <t>qashif</t>
  </si>
  <si>
    <t>tio</t>
  </si>
  <si>
    <t>very</t>
  </si>
  <si>
    <t>pandhu</t>
  </si>
  <si>
    <t>warno</t>
  </si>
  <si>
    <t>setyo</t>
  </si>
  <si>
    <t>yulia</t>
  </si>
  <si>
    <t>hapis phl</t>
  </si>
  <si>
    <t>arif</t>
  </si>
  <si>
    <t>aad</t>
  </si>
  <si>
    <t>halim</t>
  </si>
  <si>
    <t>zilfi</t>
  </si>
  <si>
    <t>naufal</t>
  </si>
  <si>
    <t>busrol</t>
  </si>
  <si>
    <t>anjar</t>
  </si>
  <si>
    <t>fathur wrn</t>
  </si>
  <si>
    <t>chandra phl</t>
  </si>
  <si>
    <t>faisal f</t>
  </si>
  <si>
    <t>okik s</t>
  </si>
  <si>
    <t>pungky</t>
  </si>
  <si>
    <t>misbahul ulum</t>
  </si>
  <si>
    <t>huzaini</t>
  </si>
  <si>
    <t>rochmanda</t>
  </si>
  <si>
    <t>vandi</t>
  </si>
  <si>
    <t>gufron</t>
  </si>
  <si>
    <t>agus saputra</t>
  </si>
  <si>
    <t>farizky</t>
  </si>
  <si>
    <t>syafik</t>
  </si>
  <si>
    <t>bagus putra</t>
  </si>
  <si>
    <t>pak mulyono</t>
  </si>
  <si>
    <t>ami</t>
  </si>
  <si>
    <t>danial</t>
  </si>
  <si>
    <t>subhan</t>
  </si>
  <si>
    <t>syarifudin</t>
  </si>
  <si>
    <t>fatchur</t>
  </si>
  <si>
    <t>ramadhan</t>
  </si>
  <si>
    <t>calsa</t>
  </si>
  <si>
    <t>setyawan</t>
  </si>
  <si>
    <t>lukman</t>
  </si>
  <si>
    <t>aris budi</t>
  </si>
  <si>
    <t>M SAHRONI</t>
  </si>
  <si>
    <t>9920090142</t>
  </si>
  <si>
    <t>DUSUN PANDEAN RT 04 RW 01 SIDOMUKTI KEPOHBARU BOJONEGORO</t>
  </si>
  <si>
    <t>144-00-1974594-9</t>
  </si>
  <si>
    <t>NILA SKHINAH</t>
  </si>
  <si>
    <t>NILA SAKHINAH</t>
  </si>
  <si>
    <t>SLAMET RIYADI</t>
  </si>
  <si>
    <t>``</t>
  </si>
  <si>
    <t>3524030808990002</t>
  </si>
  <si>
    <t>SAMBEN 015/007 JEGREG MODO LAMONGAN</t>
  </si>
  <si>
    <t>9920090143</t>
  </si>
  <si>
    <t>ARMY CHICHILIA PERMANA</t>
  </si>
  <si>
    <t>ADMIN REGISTER</t>
  </si>
  <si>
    <t>DIII</t>
  </si>
  <si>
    <t>ADM NIAGA</t>
  </si>
  <si>
    <t>3507245305970007</t>
  </si>
  <si>
    <t>ASRAMA BEDALI 2 KOSTRAD KEC SINGOSARI ARDIMULYO NBLOK L 34</t>
  </si>
  <si>
    <t>081297385088</t>
  </si>
  <si>
    <t>armychichilia13@gmail.com</t>
  </si>
  <si>
    <t>FATWA IHYA' AZIZA</t>
  </si>
  <si>
    <t>SPV PENJUALAN</t>
  </si>
  <si>
    <t>3578266101920002</t>
  </si>
  <si>
    <t>JL. SUTOREJO SELATAN 7 NO 6, 005/008 MULYOREJO, SURABAYA</t>
  </si>
  <si>
    <t>9</t>
  </si>
  <si>
    <t>992090144</t>
  </si>
  <si>
    <t>9920100145</t>
  </si>
  <si>
    <t>SHEILA MARTHALIA</t>
  </si>
  <si>
    <t>3572024801910001</t>
  </si>
  <si>
    <t>JL RANDU AGUNG NO 53 002/001 KARANGSARI SUKOREJO</t>
  </si>
  <si>
    <t>GM</t>
  </si>
  <si>
    <t>9920100146</t>
  </si>
  <si>
    <t>144-00-1763260-2</t>
  </si>
  <si>
    <t>pangkey.sheila@gmail.com</t>
  </si>
  <si>
    <t>081335118857</t>
  </si>
  <si>
    <t>INNASSA AZZURA FIRINDA</t>
  </si>
  <si>
    <t>ILMU ADMINISTRASI BISNIS</t>
  </si>
  <si>
    <t>3573055102930001</t>
  </si>
  <si>
    <t>JL SUMBERSARI III / 145 MALANG</t>
  </si>
  <si>
    <t>JL SUNAN MURIA II NO 7 MALANG</t>
  </si>
  <si>
    <t>MALANG - KCP SUHAT</t>
  </si>
  <si>
    <t>9920100147</t>
  </si>
  <si>
    <t>SARI NUGRAHANING GUSTI</t>
  </si>
  <si>
    <t>3573055506970003</t>
  </si>
  <si>
    <t>JL SENTAURUS NO 7 004/004 TLOGOMAS LOWOKWARU</t>
  </si>
  <si>
    <t>081217212828</t>
  </si>
  <si>
    <t>144-00-1527453-0</t>
  </si>
  <si>
    <t>MALANG - KCP MERDEKA</t>
  </si>
  <si>
    <t>sarinugra@gmail.com</t>
  </si>
  <si>
    <t>HANGESTIYA NURANI MAHARDIKA</t>
  </si>
  <si>
    <t>BLITAR</t>
  </si>
  <si>
    <t>KOMUNIKASI</t>
  </si>
  <si>
    <t>3505116201480003</t>
  </si>
  <si>
    <t>DSN SIDODADI 003/002 SIDODADI GARUM BLITAR</t>
  </si>
  <si>
    <t>9920100148</t>
  </si>
  <si>
    <t>DENNIS ARI FIRMANTO</t>
  </si>
  <si>
    <t>9920100149</t>
  </si>
  <si>
    <t>3524043006980003</t>
  </si>
  <si>
    <t>081218150626</t>
  </si>
  <si>
    <t>144-00-1980484-5</t>
  </si>
  <si>
    <t>144-00-1980486-0</t>
  </si>
  <si>
    <t>144-00-1980485-2</t>
  </si>
  <si>
    <t>144-00-1980487-8</t>
  </si>
  <si>
    <t>WENDY AUDRA</t>
  </si>
  <si>
    <t>STAFF LEGAL</t>
  </si>
  <si>
    <t>MANAGER ACCOUNTING</t>
  </si>
  <si>
    <t>MANAGER PENJUALAN</t>
  </si>
  <si>
    <t>RAHMAT ALI AZIZ</t>
  </si>
  <si>
    <t>117-00-0671743-3</t>
  </si>
  <si>
    <t>144-00-1920613-2</t>
  </si>
  <si>
    <t>144-00-1983150-9</t>
  </si>
  <si>
    <t>ANIK DWI ERNASARI</t>
  </si>
  <si>
    <t>DEVY PERMATASARI</t>
  </si>
  <si>
    <t>KATOLIK</t>
  </si>
  <si>
    <t>3505186602940002</t>
  </si>
  <si>
    <t>3573015012960004</t>
  </si>
  <si>
    <t>DSN PURWOREJO 003/003 RESAPOMBO DOKO BLITAR</t>
  </si>
  <si>
    <t>JL HAMID RUSDI 226 003/012 BUNULREJO BLIMBING, MALANG</t>
  </si>
  <si>
    <t>devypermata0@gmail.com</t>
  </si>
  <si>
    <t>ernasari208@gmail.com</t>
  </si>
  <si>
    <t>KHOIRUDIN ZAIN</t>
  </si>
  <si>
    <t>3525131708960002</t>
  </si>
  <si>
    <t>KEPATIHAN 003/002 MENGANTI GERSIK</t>
  </si>
  <si>
    <t>085785678038</t>
  </si>
  <si>
    <t>MOJOKERTO - MOJOSARI</t>
  </si>
  <si>
    <t>9920100151</t>
  </si>
  <si>
    <t>9920100152</t>
  </si>
  <si>
    <t>9920100153</t>
  </si>
  <si>
    <t>MIRZA HENDRAWAN</t>
  </si>
  <si>
    <t>MANAGER DEVELOPMENT</t>
  </si>
  <si>
    <t>3573052411860005</t>
  </si>
  <si>
    <t>JL. SIMPANG CANDI TROWULAN 5 002/003 MOJOLANGU LOWOKWARU</t>
  </si>
  <si>
    <t>9920110154</t>
  </si>
  <si>
    <t>MURYANTO EKO STYAWAN</t>
  </si>
  <si>
    <t>PPIC</t>
  </si>
  <si>
    <t>MAGISTER MANAGEMENT</t>
  </si>
  <si>
    <t>NGAGEL DADI 03/11 SURABAYA</t>
  </si>
  <si>
    <t>9920110155</t>
  </si>
  <si>
    <t>9920110156</t>
  </si>
  <si>
    <t>MOCH. ROFII</t>
  </si>
  <si>
    <t>NGANJUK</t>
  </si>
  <si>
    <t>RATNA FENI SANTOSO</t>
  </si>
  <si>
    <t>144-00-1985663-9</t>
  </si>
  <si>
    <t>MOCH ROFII</t>
  </si>
  <si>
    <t>087725786058</t>
  </si>
  <si>
    <t>ferro.alayubbi@gmail.com</t>
  </si>
  <si>
    <t>3518132610880000</t>
  </si>
  <si>
    <t>JL. ABDUL RAHMAN SALEH I NO. 13 KELURAHAN KAUMAN, NGANJUK</t>
  </si>
  <si>
    <t>JL. SAWOJAJAR 66. XV A-B NO. 42 SAWOJAJAR</t>
  </si>
  <si>
    <t>AR SALES</t>
  </si>
  <si>
    <t>IBNU MAULANA</t>
  </si>
  <si>
    <t>126-00-0777989-4</t>
  </si>
  <si>
    <t>9920100150</t>
  </si>
  <si>
    <t>171-00-0608663-4</t>
  </si>
  <si>
    <t>144-00-1985662-1</t>
  </si>
  <si>
    <t>152-00-1183402-1</t>
  </si>
  <si>
    <t>144-00-1955729-4</t>
  </si>
  <si>
    <t>66.640.955.2-609.000</t>
  </si>
  <si>
    <t>35.029.327.0-652.000</t>
  </si>
  <si>
    <t>Muhamad Subhan</t>
  </si>
  <si>
    <t>M syafik Ainul y</t>
  </si>
  <si>
    <t>Akbar ali nugraha</t>
  </si>
  <si>
    <t>Bayu Pandu Krisna</t>
  </si>
  <si>
    <t>Agus Saputra</t>
  </si>
  <si>
    <t>Calsa liulil albab</t>
  </si>
  <si>
    <t>Ahmad Ramadhan firansyah</t>
  </si>
  <si>
    <t>kusuma</t>
  </si>
  <si>
    <t>fauzan grs</t>
  </si>
  <si>
    <t>adi kris</t>
  </si>
  <si>
    <t>prambudi</t>
  </si>
  <si>
    <t>oni</t>
  </si>
  <si>
    <t>boby</t>
  </si>
  <si>
    <t>syaifudin gr</t>
  </si>
  <si>
    <t>fahrul</t>
  </si>
  <si>
    <t>SYAM GRS</t>
  </si>
  <si>
    <t>ARI GRS</t>
  </si>
  <si>
    <t>ABDI GRS</t>
  </si>
  <si>
    <t>SANDI GR</t>
  </si>
  <si>
    <t>MAUL GRS</t>
  </si>
  <si>
    <t>RISKY GRS</t>
  </si>
  <si>
    <t>FIKRI GRS</t>
  </si>
  <si>
    <t>APRI GRS</t>
  </si>
  <si>
    <t>MUZAKKY GRS</t>
  </si>
  <si>
    <t>ANDIK GRS</t>
  </si>
  <si>
    <t>Muhamad abbiyu afif</t>
  </si>
  <si>
    <t>Diandra widi p</t>
  </si>
  <si>
    <t>Vandi eka prayuga</t>
  </si>
  <si>
    <t>Dio tito firmansyah</t>
  </si>
  <si>
    <t>Afito maulana syahrul</t>
  </si>
  <si>
    <t>Adhim Al Rokhim</t>
  </si>
  <si>
    <t>Ardan maulana</t>
  </si>
  <si>
    <t>haris Mukhammad lutfi</t>
  </si>
  <si>
    <t>Izal Eryansyah</t>
  </si>
  <si>
    <t>Mochamad Ghufron</t>
  </si>
  <si>
    <t>Bagus putra sadewa</t>
  </si>
  <si>
    <t>Ahmad huzaini</t>
  </si>
  <si>
    <t>M Misbachul Ulum</t>
  </si>
  <si>
    <t>Zilfi Rusydiyana</t>
  </si>
  <si>
    <t>Iqvan setiawan</t>
  </si>
  <si>
    <t>Muhammad fahrur rozi</t>
  </si>
  <si>
    <t>Iska dhilla febianti</t>
  </si>
  <si>
    <t>Faisal ferdiansyah</t>
  </si>
  <si>
    <t>Candra Maulana</t>
  </si>
  <si>
    <t>M busrol mutik</t>
  </si>
  <si>
    <t>Suwarno</t>
  </si>
  <si>
    <t>Ni'matus sholihah</t>
  </si>
  <si>
    <t>Ade fernando putra</t>
  </si>
  <si>
    <t>Muhammad Dimas Faturohman</t>
  </si>
  <si>
    <t>Mayson jennyfer</t>
  </si>
  <si>
    <t>Naufal rahma daya</t>
  </si>
  <si>
    <t>Fathur rohman</t>
  </si>
  <si>
    <t>Ovi ogta viani</t>
  </si>
  <si>
    <t>Veny widyaningsih</t>
  </si>
  <si>
    <t>Julaiha Nur Alvida</t>
  </si>
  <si>
    <t>Alivia dwi yanuar</t>
  </si>
  <si>
    <t>Abdhanny haries m.i</t>
  </si>
  <si>
    <t>Setyo Yahya Pramugara</t>
  </si>
  <si>
    <t>M. Okik Saputra</t>
  </si>
  <si>
    <t>Agus reni ambarwati</t>
  </si>
  <si>
    <t>Ami cipta wardani</t>
  </si>
  <si>
    <t>Muhammad anang ma'ruf</t>
  </si>
  <si>
    <t>Muchammad Qasif</t>
  </si>
  <si>
    <t>Arif safrianto</t>
  </si>
  <si>
    <t xml:space="preserve">Alif grynakdi aditya effendi </t>
  </si>
  <si>
    <t>Nuril maulid diyah</t>
  </si>
  <si>
    <t>Radityo Imantoko</t>
  </si>
  <si>
    <t xml:space="preserve">Yolania Putri meilia </t>
  </si>
  <si>
    <t>Kulfaur</t>
  </si>
  <si>
    <t>AGAM SUNANTO</t>
  </si>
  <si>
    <t>DESIGN PRODUCT</t>
  </si>
  <si>
    <t>3507311206950001</t>
  </si>
  <si>
    <t>DSN KRAJAN 003/001 JAMBUWER KROMENGAN  MALANG</t>
  </si>
  <si>
    <t>082131931669</t>
  </si>
  <si>
    <t>agam.sunanto@gmail.com</t>
  </si>
  <si>
    <t>TALITA IVADAH</t>
  </si>
  <si>
    <t>5101016710940003</t>
  </si>
  <si>
    <t>PERUM GRIYA GIRI MULYAR 06 003/005 KLATAK KALIPURO</t>
  </si>
  <si>
    <t>081333055542</t>
  </si>
  <si>
    <t>talitaivadah@gmail.com</t>
  </si>
  <si>
    <t>9920110158</t>
  </si>
  <si>
    <t>9920110159</t>
  </si>
  <si>
    <t>9920100157</t>
  </si>
  <si>
    <t>HARRYS APRILIAN</t>
  </si>
  <si>
    <t>FOREMAN PRODUKSI</t>
  </si>
  <si>
    <t>ILMU KOMPUTER</t>
  </si>
  <si>
    <t>3507251504910006</t>
  </si>
  <si>
    <t>JL MADUKORO NO 216 03/04 LAWANG MALANG</t>
  </si>
  <si>
    <t>085815232056</t>
  </si>
  <si>
    <t>9920110160</t>
  </si>
  <si>
    <t>BPJS TK</t>
  </si>
  <si>
    <t>HIRAS JOSEP</t>
  </si>
  <si>
    <t>3D ANIMATOR</t>
  </si>
  <si>
    <t>KATHOLIK</t>
  </si>
  <si>
    <t>BANDUNG</t>
  </si>
  <si>
    <t>BAHASA INGGRIS</t>
  </si>
  <si>
    <t>3273201109910003</t>
  </si>
  <si>
    <t>JL. TANJUNGSARI 4 NO. 37 ANTAPANI BANDUNG</t>
  </si>
  <si>
    <t>JL. ABDUL QODIR JAELANI GG 4 NO. 7 KEDUNGKANDANG</t>
  </si>
  <si>
    <t>hirasjosep@rocketmail.com</t>
  </si>
  <si>
    <t>0895422508988</t>
  </si>
  <si>
    <t>ROZI RIKZA AKBAR</t>
  </si>
  <si>
    <t>SISTEM INFORMATIKA</t>
  </si>
  <si>
    <t>SALMA MUFIDAH</t>
  </si>
  <si>
    <t>3511081611920001</t>
  </si>
  <si>
    <t xml:space="preserve">SELATAN SAWAH RT.13 RW.05 DS. DAWUHAN KEC. TENGGARANG </t>
  </si>
  <si>
    <t xml:space="preserve">ROZI RIKZA AKBAR </t>
  </si>
  <si>
    <t xml:space="preserve">MOHAMMAD VICKY AGASSI </t>
  </si>
  <si>
    <t>TULUNGAGUNG</t>
  </si>
  <si>
    <t>3504051808920002</t>
  </si>
  <si>
    <t>JL. WILIS GG. POTROJOYO NO.19 RT.03 RW.04 DS. KALANGBRET KAUMAN TULUNGAGUNG</t>
  </si>
  <si>
    <t>SULFAT</t>
  </si>
  <si>
    <t>081221233255</t>
  </si>
  <si>
    <t>085862119872</t>
  </si>
  <si>
    <t>vickyagassi996@gmail.com</t>
  </si>
  <si>
    <t>142-00-1403476-2</t>
  </si>
  <si>
    <t>144-00-1997247-7</t>
  </si>
  <si>
    <t>144-00-1997246-9</t>
  </si>
  <si>
    <t>144-00-1980149-4</t>
  </si>
  <si>
    <t>ACHMAD SISKO HADIYANTO</t>
  </si>
  <si>
    <t>JAKARTA</t>
  </si>
  <si>
    <t>3201130211950003</t>
  </si>
  <si>
    <t>KOMP, DEP AGAMA BLOK D/41 006/015 BOJONG GEDE</t>
  </si>
  <si>
    <t>142-00-1472886-8</t>
  </si>
  <si>
    <t>RAISA KARINA PUTRI</t>
  </si>
  <si>
    <t>MANAGEMENT MARKETING</t>
  </si>
  <si>
    <t>3578054505930002</t>
  </si>
  <si>
    <t>DINOYO LOR 5 NO. 5 KEC. TEGALSARI KEL. KEPUTRAN RT.01 RW.03 SURABAYA</t>
  </si>
  <si>
    <t>085731545593</t>
  </si>
  <si>
    <t>142-00-101879-3</t>
  </si>
  <si>
    <t>raisakp05@gmail.com</t>
  </si>
  <si>
    <t>MARKETING MS SLIM</t>
  </si>
  <si>
    <t>3507181904990001</t>
  </si>
  <si>
    <t>3507232802980005</t>
  </si>
  <si>
    <t>3573050202990003</t>
  </si>
  <si>
    <t>adi kristanto</t>
  </si>
  <si>
    <t>3573031606940006</t>
  </si>
  <si>
    <t>3057232206060001</t>
  </si>
  <si>
    <t>3507186508940004</t>
  </si>
  <si>
    <t>3573012208910003</t>
  </si>
  <si>
    <t>3507151501010003</t>
  </si>
  <si>
    <t>3573012011010002</t>
  </si>
  <si>
    <t>3201132307950006</t>
  </si>
  <si>
    <t>Muhamad alfan S</t>
  </si>
  <si>
    <t>3573030703000007</t>
  </si>
  <si>
    <t>3573045801010001</t>
  </si>
  <si>
    <t>3507186104950010</t>
  </si>
  <si>
    <t>Anjartono</t>
  </si>
  <si>
    <t>3517123009990002</t>
  </si>
  <si>
    <t>APRI Tri Sandi GRS</t>
  </si>
  <si>
    <t>3573031704990002</t>
  </si>
  <si>
    <t>3507140210030001</t>
  </si>
  <si>
    <t>3573052607980004</t>
  </si>
  <si>
    <t>aristi wulandari</t>
  </si>
  <si>
    <t>3508045304970002</t>
  </si>
  <si>
    <t>3579031811970002</t>
  </si>
  <si>
    <t>3578282409980001</t>
  </si>
  <si>
    <t>3507242711990009</t>
  </si>
  <si>
    <t>3508022003020003</t>
  </si>
  <si>
    <t>3573031312990001</t>
  </si>
  <si>
    <t>Daffa Rizal Kusuma</t>
  </si>
  <si>
    <t>3573043003000001</t>
  </si>
  <si>
    <t>3573030101950003</t>
  </si>
  <si>
    <t>30/20/2001</t>
  </si>
  <si>
    <t>3507193001010005</t>
  </si>
  <si>
    <t>fahrul Aditya</t>
  </si>
  <si>
    <t>3573020406000005</t>
  </si>
  <si>
    <t>3573032802020007</t>
  </si>
  <si>
    <t>3573030204040004</t>
  </si>
  <si>
    <t>3507182803960003</t>
  </si>
  <si>
    <t xml:space="preserve">Hafis alamsyah </t>
  </si>
  <si>
    <t>3573052306960003</t>
  </si>
  <si>
    <t>3507180307970001</t>
  </si>
  <si>
    <t>Bagus Indrayani</t>
  </si>
  <si>
    <t>3507234905960006</t>
  </si>
  <si>
    <t>Muhammad iqbal Ardiansyah</t>
  </si>
  <si>
    <t>3507142310000000</t>
  </si>
  <si>
    <t>muhammad irwanto gr</t>
  </si>
  <si>
    <t>3507142204940000</t>
  </si>
  <si>
    <t>3573044902020001</t>
  </si>
  <si>
    <t>3573051708970002</t>
  </si>
  <si>
    <t>3507194507020003</t>
  </si>
  <si>
    <t>Khulafaur</t>
  </si>
  <si>
    <t>3507181704000008</t>
  </si>
  <si>
    <t>Candra kusuma Irawan</t>
  </si>
  <si>
    <t>3507251806950003</t>
  </si>
  <si>
    <t>3573030607020004</t>
  </si>
  <si>
    <t>3573030301930005</t>
  </si>
  <si>
    <t>3573050810980006</t>
  </si>
  <si>
    <t>3507232601000002</t>
  </si>
  <si>
    <t>3573051609930006</t>
  </si>
  <si>
    <t>3507130602960005</t>
  </si>
  <si>
    <t>3173072104020002</t>
  </si>
  <si>
    <t>3573032311970003</t>
  </si>
  <si>
    <t>3507181606010004</t>
  </si>
  <si>
    <t>3573050810010005</t>
  </si>
  <si>
    <t>3573031710960004</t>
  </si>
  <si>
    <t>3507180905980001</t>
  </si>
  <si>
    <t>3507234805010003</t>
  </si>
  <si>
    <t>oni setyawan</t>
  </si>
  <si>
    <t>3573022903010004</t>
  </si>
  <si>
    <t>Veri ragil</t>
  </si>
  <si>
    <t>3507302710010001</t>
  </si>
  <si>
    <t xml:space="preserve">Rochmanda imam syahputra </t>
  </si>
  <si>
    <t>3507181201010002</t>
  </si>
  <si>
    <t>satriyo Dodi Prayogo</t>
  </si>
  <si>
    <t>3507191212000002</t>
  </si>
  <si>
    <t>3526040708000006</t>
  </si>
  <si>
    <t>3573010407020002</t>
  </si>
  <si>
    <t>3507250306970003</t>
  </si>
  <si>
    <t>3507224107990004</t>
  </si>
  <si>
    <t>Moch vicky Affandi</t>
  </si>
  <si>
    <t>3507141407970001</t>
  </si>
  <si>
    <t>Jumrotul Nuriati</t>
  </si>
  <si>
    <t>3507247004930003</t>
  </si>
  <si>
    <t>Erwin siswanto</t>
  </si>
  <si>
    <t>Bagas Setyawan</t>
  </si>
  <si>
    <t>3573040411010006</t>
  </si>
  <si>
    <t>Teguh</t>
  </si>
  <si>
    <t>Alfa afandi</t>
  </si>
  <si>
    <t>Yulia SATRIA Dwi yudha</t>
  </si>
  <si>
    <t>3507242307030000</t>
  </si>
  <si>
    <t>Sunardi</t>
  </si>
  <si>
    <t>Nanang</t>
  </si>
  <si>
    <t>Yanuar Nanda Arisma</t>
  </si>
  <si>
    <t>3573052401980004</t>
  </si>
  <si>
    <t>Eka kurniawan</t>
  </si>
  <si>
    <t>3573040111900003</t>
  </si>
  <si>
    <t>Tri Purwaning Ayu</t>
  </si>
  <si>
    <t>3573056405970001</t>
  </si>
  <si>
    <t>3573030311990002</t>
  </si>
  <si>
    <t>Arif burhannudin</t>
  </si>
  <si>
    <t>3507230905980003</t>
  </si>
  <si>
    <t>Risky dian Kurniawan</t>
  </si>
  <si>
    <t>3507180103960003</t>
  </si>
  <si>
    <t>Agnes dwi irfana</t>
  </si>
  <si>
    <t>3507186605000001</t>
  </si>
  <si>
    <t>Yulita Veronica</t>
  </si>
  <si>
    <t>3507184308950001</t>
  </si>
  <si>
    <t>Moch Tharyandy  Buono Husodo</t>
  </si>
  <si>
    <t>3573051407020001</t>
  </si>
  <si>
    <t>Irfatul Alifiyah</t>
  </si>
  <si>
    <t xml:space="preserve">Evi Nurhalimah </t>
  </si>
  <si>
    <t>bobi Kurniawan</t>
  </si>
  <si>
    <t xml:space="preserve">Candra Maulana </t>
  </si>
  <si>
    <t>Mochamad MAULudin GRS</t>
  </si>
  <si>
    <t>Moh. MUZAKKY GRS</t>
  </si>
  <si>
    <t>Kasianto</t>
  </si>
  <si>
    <t>3507082805960000</t>
  </si>
  <si>
    <t>Widianto</t>
  </si>
  <si>
    <t>Tehaeo martin wahyu putra</t>
  </si>
  <si>
    <t>3573051110930000</t>
  </si>
  <si>
    <t>Achmad Zulhailmino</t>
  </si>
  <si>
    <t>3573042706990000</t>
  </si>
  <si>
    <t>3573051002990003</t>
  </si>
  <si>
    <t>Agus Setiawan</t>
  </si>
  <si>
    <t>3507181708010002</t>
  </si>
  <si>
    <t>M. Nofan Saputra</t>
  </si>
  <si>
    <t>3507142411990004</t>
  </si>
  <si>
    <t>Rendis Pramana</t>
  </si>
  <si>
    <t>3507180804930002</t>
  </si>
  <si>
    <t>Yoga Adi prasetyo</t>
  </si>
  <si>
    <t>3573012006000001</t>
  </si>
  <si>
    <t>Ken Aulia Azizi M. Akhmad Almachzumi</t>
  </si>
  <si>
    <t>3573012909010001</t>
  </si>
  <si>
    <t>ALFAN GRS</t>
  </si>
  <si>
    <t>Eni</t>
  </si>
  <si>
    <t>ifan</t>
  </si>
  <si>
    <t>NAMA ABSEN</t>
  </si>
  <si>
    <t>NAMA ASLI</t>
  </si>
  <si>
    <t>TANGGAL LAHIR</t>
  </si>
  <si>
    <t>NIK</t>
  </si>
  <si>
    <t>ARY 2 GRS</t>
  </si>
  <si>
    <t>ARI Alfiansyah</t>
  </si>
  <si>
    <t>Muhammad AsyARI</t>
  </si>
  <si>
    <t>Syamsudin</t>
  </si>
  <si>
    <t>Udi Nurwanto</t>
  </si>
  <si>
    <t>Rizal</t>
  </si>
  <si>
    <t>Andika Muhammad Al-FIKRI</t>
  </si>
  <si>
    <t>DATA KARYAWAN MS GLOW OFFICE 2020</t>
  </si>
  <si>
    <t>Miranda</t>
  </si>
  <si>
    <t>agnes</t>
  </si>
  <si>
    <t>Dafa</t>
  </si>
  <si>
    <t>Dio</t>
  </si>
  <si>
    <t>Dimas</t>
  </si>
  <si>
    <t>Dani</t>
  </si>
  <si>
    <t>Qashif</t>
  </si>
  <si>
    <t>Pandu</t>
  </si>
  <si>
    <t>Warno</t>
  </si>
  <si>
    <t>Setyo</t>
  </si>
  <si>
    <t>Hapis PHL</t>
  </si>
  <si>
    <t>Arif</t>
  </si>
  <si>
    <t>Yulita</t>
  </si>
  <si>
    <t>Evi</t>
  </si>
  <si>
    <t>Aad</t>
  </si>
  <si>
    <t>Halim</t>
  </si>
  <si>
    <t>Ramadhan</t>
  </si>
  <si>
    <t>Calsa</t>
  </si>
  <si>
    <t>Zilfi</t>
  </si>
  <si>
    <t>Yanuar</t>
  </si>
  <si>
    <t>Eka</t>
  </si>
  <si>
    <t>Naufal</t>
  </si>
  <si>
    <t>Busrol</t>
  </si>
  <si>
    <t>Anjar</t>
  </si>
  <si>
    <t>Fathur WRN</t>
  </si>
  <si>
    <t>Faisal f</t>
  </si>
  <si>
    <t>Okik s</t>
  </si>
  <si>
    <t>Misbahul Ulum</t>
  </si>
  <si>
    <t>Huzaini</t>
  </si>
  <si>
    <t>Rochmanda</t>
  </si>
  <si>
    <t>Vandi</t>
  </si>
  <si>
    <t>Gufron</t>
  </si>
  <si>
    <t>Syafik</t>
  </si>
  <si>
    <t>Bagus putra</t>
  </si>
  <si>
    <t>Ami</t>
  </si>
  <si>
    <t>Subhan</t>
  </si>
  <si>
    <t>Syarifuddin</t>
  </si>
  <si>
    <t>Safrianto</t>
  </si>
  <si>
    <t>Ade</t>
  </si>
  <si>
    <t>Veni</t>
  </si>
  <si>
    <t>Via</t>
  </si>
  <si>
    <t>Alif</t>
  </si>
  <si>
    <t>Julaiha</t>
  </si>
  <si>
    <t>Alivia</t>
  </si>
  <si>
    <t>Nuril</t>
  </si>
  <si>
    <t>Anang</t>
  </si>
  <si>
    <t>Afito</t>
  </si>
  <si>
    <t>Reni</t>
  </si>
  <si>
    <t>Akbar</t>
  </si>
  <si>
    <t>Rozii</t>
  </si>
  <si>
    <t>Andra GRS</t>
  </si>
  <si>
    <t>Abbiyu GRS</t>
  </si>
  <si>
    <t>Bagas Setya</t>
  </si>
  <si>
    <t>Ardan GBL</t>
  </si>
  <si>
    <t>Teguh GBL</t>
  </si>
  <si>
    <t>Adim GBL</t>
  </si>
  <si>
    <t>Eryan GBL</t>
  </si>
  <si>
    <t>Lutvi</t>
  </si>
  <si>
    <t>Yolania</t>
  </si>
  <si>
    <t>wahyudin</t>
  </si>
  <si>
    <t>Alfa.afandi</t>
  </si>
  <si>
    <t>satriyo</t>
  </si>
  <si>
    <t>Achmad fauzan</t>
  </si>
  <si>
    <t>SANDI</t>
  </si>
  <si>
    <t>vicky</t>
  </si>
  <si>
    <t>Iqbal</t>
  </si>
  <si>
    <t>irwanto grs</t>
  </si>
  <si>
    <t>Syaifudin grs</t>
  </si>
  <si>
    <t>Ragil</t>
  </si>
  <si>
    <t>indra</t>
  </si>
  <si>
    <t>RIZAL GRS</t>
  </si>
  <si>
    <t>Aristi</t>
  </si>
  <si>
    <t>UDI GRS</t>
  </si>
  <si>
    <t>Jumrotul</t>
  </si>
  <si>
    <t>Ayu.tri</t>
  </si>
  <si>
    <t>Satria GRS</t>
  </si>
  <si>
    <t>Sunardi GR</t>
  </si>
  <si>
    <t>Febri.ph</t>
  </si>
  <si>
    <t>Irvatu</t>
  </si>
  <si>
    <t>Ary.fidhiant</t>
  </si>
  <si>
    <t>Ary fidhianto</t>
  </si>
  <si>
    <t>Theo</t>
  </si>
  <si>
    <t>Agus.phl</t>
  </si>
  <si>
    <t>Kasianto.phl</t>
  </si>
  <si>
    <t>Widianto.phl</t>
  </si>
  <si>
    <t>Helmi.phl</t>
  </si>
  <si>
    <t>Rendis.phl</t>
  </si>
  <si>
    <t>Nova</t>
  </si>
  <si>
    <t>nanang.s</t>
  </si>
  <si>
    <t>ANDIK FIRMANTO</t>
  </si>
  <si>
    <t>Rian GRS</t>
  </si>
  <si>
    <t>ADILAH KUSUMA DEWI</t>
  </si>
  <si>
    <t>SUMEDANG</t>
  </si>
  <si>
    <t>TEKNIK INDUSTRI</t>
  </si>
  <si>
    <t>3604056807980006</t>
  </si>
  <si>
    <t>BKP BLOK 6 A NO 12 002/008 MARGATANI KRAMATWATU SUMEDANG</t>
  </si>
  <si>
    <t>9920120161</t>
  </si>
  <si>
    <t>HERRY CHOIRIL ANWAR</t>
  </si>
  <si>
    <t>PENJASKESREK</t>
  </si>
  <si>
    <t>NURUL RINTYANA</t>
  </si>
  <si>
    <t>FALIHAH RAMADHANI A</t>
  </si>
  <si>
    <t>3517090412840004</t>
  </si>
  <si>
    <t>JL KAPTEN TENDEAN VI C3 DS SENGON JOMBANG</t>
  </si>
  <si>
    <t>SUKOHARJO KEPANJEN KAB MALANG</t>
  </si>
  <si>
    <t>081331319896</t>
  </si>
  <si>
    <t>142-00-1880566-2</t>
  </si>
  <si>
    <t>JOMBANG - KCP ABDURAHMAN WAHID</t>
  </si>
  <si>
    <t>fongsihong@gmail.com</t>
  </si>
  <si>
    <t>9920120162</t>
  </si>
  <si>
    <t>ALIAS</t>
  </si>
  <si>
    <t>TGL LAHIR</t>
  </si>
  <si>
    <t>NO KTP</t>
  </si>
  <si>
    <t>Ahmad Adha Rohman</t>
  </si>
  <si>
    <t>KEMASAN</t>
  </si>
  <si>
    <t>Halim Mahrobby</t>
  </si>
  <si>
    <t>Syarifudin Halim</t>
  </si>
  <si>
    <t>Risky Wahyudin</t>
  </si>
  <si>
    <t>ROZAQI KHAKIM ABDILLAH</t>
  </si>
  <si>
    <t>3507240604950001</t>
  </si>
  <si>
    <t>MAHMUD HADI KUNCORO</t>
  </si>
  <si>
    <t>6371051005950005</t>
  </si>
  <si>
    <t>JIMI SYAH NAKRY</t>
  </si>
  <si>
    <t>3507221712990001</t>
  </si>
  <si>
    <t>ACHMAD CHAFID</t>
  </si>
  <si>
    <t>3573032403950003</t>
  </si>
  <si>
    <t>DHONI EKA CRISTIAN</t>
  </si>
  <si>
    <t>3573030106920003</t>
  </si>
  <si>
    <t xml:space="preserve">Febri </t>
  </si>
  <si>
    <t>Achmad KL</t>
  </si>
  <si>
    <t>Dhoni Chris</t>
  </si>
  <si>
    <t>Jimi</t>
  </si>
  <si>
    <t>Rozaqi.PHL</t>
  </si>
  <si>
    <t>144-00-2002586-9</t>
  </si>
  <si>
    <t>144-00-2002584-4</t>
  </si>
  <si>
    <t>144-00-2002587-7</t>
  </si>
  <si>
    <t>144-00-2002585-1</t>
  </si>
  <si>
    <t>Mahmud wrn</t>
  </si>
  <si>
    <t>3522082008960005</t>
  </si>
  <si>
    <t>3573034506010004</t>
  </si>
  <si>
    <t>3522090909910000</t>
  </si>
  <si>
    <t>0+</t>
  </si>
  <si>
    <t>A RH+</t>
  </si>
  <si>
    <t>FARID WAHYU FIRMANSYAH</t>
  </si>
  <si>
    <t>FARID</t>
  </si>
  <si>
    <t>3573050104920001</t>
  </si>
  <si>
    <t>KRISNA FADLIANSA</t>
  </si>
  <si>
    <t>KRISNA</t>
  </si>
  <si>
    <t>3573041704010001</t>
  </si>
  <si>
    <t>FILAN</t>
  </si>
  <si>
    <t>RIZOAF AL HAFNI FILAN</t>
  </si>
  <si>
    <t>3573011306010006</t>
  </si>
  <si>
    <t>DERMAWAN</t>
  </si>
  <si>
    <t>ADE DERMAWAN</t>
  </si>
  <si>
    <t>3507182505980003</t>
  </si>
  <si>
    <t>DAMAN</t>
  </si>
  <si>
    <t>DAMAN HURI</t>
  </si>
  <si>
    <t>3573032912010009</t>
  </si>
  <si>
    <t>081231919481</t>
  </si>
  <si>
    <t>ARISMA LULI DIANA</t>
  </si>
  <si>
    <t>3525036204960001</t>
  </si>
  <si>
    <t>JL CANDI 2 GANG BAKUNG INDAH NO 135 KARANGBESUKI SUKUN MALANG</t>
  </si>
  <si>
    <t>LINGKUNGAN NENGGALAH RT/RW 006/002 DALEGAN KEC PANCENG GRESIK</t>
  </si>
  <si>
    <t>085646475519</t>
  </si>
  <si>
    <t>178-00-0331248-1</t>
  </si>
  <si>
    <t>arisma.lulidiana@gamil.com</t>
  </si>
  <si>
    <t>RYAN ANDRIA NUGROHO</t>
  </si>
  <si>
    <t>GRAPHIC DESIGN</t>
  </si>
  <si>
    <t>PATI</t>
  </si>
  <si>
    <t>INFORMATIKA</t>
  </si>
  <si>
    <t>3318051002980003</t>
  </si>
  <si>
    <t>JETAK RT/RW 003/001 PUCAKWANGI PATI JAWA TENGAH</t>
  </si>
  <si>
    <t>GG XI NO 85B RT/RW 005/002 SAWOJAJAR KEDUNGKANDANG MALANG</t>
  </si>
  <si>
    <t>081393103838</t>
  </si>
  <si>
    <t>184-00-0232835-7</t>
  </si>
  <si>
    <t>nugrohoandria@gmail.com</t>
  </si>
  <si>
    <t>9920120163</t>
  </si>
  <si>
    <t>9920120164</t>
  </si>
  <si>
    <t>JULIAN DWIKI RIFALDI</t>
  </si>
  <si>
    <t>julian grs</t>
  </si>
  <si>
    <t>3573032807940005</t>
  </si>
  <si>
    <t>sila KL</t>
  </si>
  <si>
    <t>SILA NOVIANTI</t>
  </si>
  <si>
    <t>3507184611000006</t>
  </si>
  <si>
    <t>abdul KL</t>
  </si>
  <si>
    <t>MOHAMMAD ABDUL ROHMAN</t>
  </si>
  <si>
    <t>3573033103020005</t>
  </si>
  <si>
    <t>Rendi KL</t>
  </si>
  <si>
    <t>MUHAMMAD RENDI HAKIM</t>
  </si>
  <si>
    <t>3573031310010001</t>
  </si>
  <si>
    <t>NIZAM MAULANA</t>
  </si>
  <si>
    <t>nizam maulana KL</t>
  </si>
  <si>
    <t>3578020505950002</t>
  </si>
  <si>
    <t>ADMIN PENJUALAN (vape)</t>
  </si>
  <si>
    <t>GRAPHIC DESIGN (vape)</t>
  </si>
  <si>
    <t>992030105</t>
  </si>
  <si>
    <t>992040112</t>
  </si>
  <si>
    <t>992030106</t>
  </si>
  <si>
    <t>992030104</t>
  </si>
  <si>
    <t>9919120055</t>
  </si>
  <si>
    <t>9919120056</t>
  </si>
  <si>
    <t>9919120069</t>
  </si>
  <si>
    <t>9919120071</t>
  </si>
  <si>
    <t>9919120070</t>
  </si>
  <si>
    <t>9919060024</t>
  </si>
  <si>
    <t>9919120059</t>
  </si>
  <si>
    <t>992010100</t>
  </si>
  <si>
    <t>992010102</t>
  </si>
  <si>
    <t>9919120061</t>
  </si>
  <si>
    <t>9919120073</t>
  </si>
  <si>
    <t>9919120067</t>
  </si>
  <si>
    <t>992010101</t>
  </si>
  <si>
    <t>992040111</t>
  </si>
  <si>
    <t>992040110</t>
  </si>
  <si>
    <t>991240114</t>
  </si>
  <si>
    <t>991240115</t>
  </si>
  <si>
    <t>991770116</t>
  </si>
  <si>
    <t>991970113</t>
  </si>
  <si>
    <t>9914100118</t>
  </si>
  <si>
    <t>9919120064</t>
  </si>
  <si>
    <t>9919120068</t>
  </si>
  <si>
    <t>9919120075</t>
  </si>
  <si>
    <t>9919120076</t>
  </si>
  <si>
    <t>9919120082</t>
  </si>
  <si>
    <t>9919120083</t>
  </si>
  <si>
    <t>9919120088</t>
  </si>
  <si>
    <t>9919120089</t>
  </si>
  <si>
    <t>9919120090</t>
  </si>
  <si>
    <t>9919120092</t>
  </si>
  <si>
    <t>9919120093</t>
  </si>
  <si>
    <t>9919120095</t>
  </si>
  <si>
    <t>992010097</t>
  </si>
  <si>
    <t>992010098</t>
  </si>
  <si>
    <t>PENJUALAN</t>
  </si>
  <si>
    <t>BISNIS DEVELOPMENT</t>
  </si>
  <si>
    <t>Roihatul Azizah</t>
  </si>
  <si>
    <t>3507234205020000</t>
  </si>
  <si>
    <t>3507181603950002</t>
  </si>
  <si>
    <t>PERUM PESONA GRIYA ASRI B-5 DUSUN KRAJAN RT.005 RW. 001 KEL. ASRIKATON KEC. PAKIS KAB. MALANG</t>
  </si>
  <si>
    <t>081281784527</t>
  </si>
  <si>
    <t>3522091306880002</t>
  </si>
  <si>
    <t>JL. TRUNOJOYO RT. 034 RW. 004 KEL. GONDANGLEGIKULON KEC. GONDANGLEGI MALANG</t>
  </si>
  <si>
    <t>3507222207980000</t>
  </si>
  <si>
    <t>AULIYA</t>
  </si>
  <si>
    <t>KARINA CALYA APRILIA RASHIDA</t>
  </si>
  <si>
    <t>85.760.065.4-657.000</t>
  </si>
  <si>
    <t>Azizah KL</t>
  </si>
  <si>
    <t>EKSTERNAL</t>
  </si>
  <si>
    <t>139-00-2155329-6</t>
  </si>
  <si>
    <t>ACHMAD FAREZA</t>
  </si>
  <si>
    <t>3573011703990004</t>
  </si>
  <si>
    <t>MOCH NOVAL ALFAROZI</t>
  </si>
  <si>
    <t>3573030904030007</t>
  </si>
  <si>
    <t>alfarozi GRS</t>
  </si>
  <si>
    <t>MUHAMMAD SYAMSUL BAHRI</t>
  </si>
  <si>
    <t>TANGERANG</t>
  </si>
  <si>
    <t>ARI WAHYUNI PUJI LESTARI</t>
  </si>
  <si>
    <t>RINDU CALISTA PUTRI</t>
  </si>
  <si>
    <t>3573023112890001</t>
  </si>
  <si>
    <t>JL SUDIMORO NO 7A RT/RW 05/07 MOJOLANGU LOWOKWARU MALANG</t>
  </si>
  <si>
    <t>082244300213</t>
  </si>
  <si>
    <t>azamrindu8@gmail.com</t>
  </si>
  <si>
    <t>KORLAP DRIVER</t>
  </si>
  <si>
    <t>ahmad kl</t>
  </si>
  <si>
    <t>9918040165</t>
  </si>
  <si>
    <t>USWATUN KHASANAH</t>
  </si>
  <si>
    <t>ACHMAD NATHAN PRATAMA</t>
  </si>
  <si>
    <t>DS JATIPAYAK KECMATAN MODO BOJONEGORO</t>
  </si>
  <si>
    <t>085791258384</t>
  </si>
  <si>
    <t>DATA IKUT TUKAR KADO TAHUN 2020</t>
  </si>
  <si>
    <t>MEYLIA RAHAYU</t>
  </si>
  <si>
    <t>LEIA SKYWALKER AMADEA</t>
  </si>
  <si>
    <t>DYAN PERMATA SARI</t>
  </si>
  <si>
    <t>RENAYLA NOURRIVIRDEEZ</t>
  </si>
  <si>
    <t>RAYHAN ZAFA HENDRAWAN</t>
  </si>
  <si>
    <t>RAKHA FAZA HENDRAWAN</t>
  </si>
  <si>
    <t>LOADING …</t>
  </si>
  <si>
    <t>3573036209980000</t>
  </si>
  <si>
    <t>SABILA ALMIRANDA</t>
  </si>
  <si>
    <t>ADMIN PRODUCT</t>
  </si>
  <si>
    <t>3573035301960003</t>
  </si>
  <si>
    <t>JL SELAT SUNDA V D5 NO 58 RT/RW 008/011 KEL LESANPURO KEC KEDUNGKANDANG</t>
  </si>
  <si>
    <t>0811320845</t>
  </si>
  <si>
    <t>144-00-2006176-5</t>
  </si>
  <si>
    <t>sabilalmiranda1@gmail.com</t>
  </si>
  <si>
    <t>RISKA OCTAVIA DWIPAYANTI</t>
  </si>
  <si>
    <t>BONTANG</t>
  </si>
  <si>
    <t>D4</t>
  </si>
  <si>
    <t>ADMINISTRASI NIAGA</t>
  </si>
  <si>
    <t>6474015110970004</t>
  </si>
  <si>
    <t xml:space="preserve"> JL DUKU BLOK N NO 1A BTN PKT KEL BELIMBING KEC BONTANG BARAT KOTA BONTANG KALTIM</t>
  </si>
  <si>
    <t>JL KESUMBA DALAM NO 13 JATIMULYO LOWOKWARI KOTA MALANG</t>
  </si>
  <si>
    <t>082234560623</t>
  </si>
  <si>
    <t>dp.riskaoctavia@gmail.com</t>
  </si>
  <si>
    <t>RIZKI PUTRI UTAMI</t>
  </si>
  <si>
    <t>3514175210990002</t>
  </si>
  <si>
    <t>SUSUKANREJO RT/RW 002/001 KEC POHJENTREK KAB PASURUAN</t>
  </si>
  <si>
    <t>082330001736</t>
  </si>
  <si>
    <t>144-00-1688601-9</t>
  </si>
  <si>
    <t>MALANG - UNIV BRAWIJAYA</t>
  </si>
  <si>
    <t>rizkiputriutami.rpu@gmail.com</t>
  </si>
  <si>
    <t>9920110167</t>
  </si>
  <si>
    <t>1</t>
  </si>
  <si>
    <t>21</t>
  </si>
  <si>
    <t>992110168</t>
  </si>
  <si>
    <t>992110169</t>
  </si>
  <si>
    <t>AVILLA FLORENCIA GITAVIONNI</t>
  </si>
  <si>
    <t>ADM SOSMED (men)</t>
  </si>
  <si>
    <t>3504114410960004</t>
  </si>
  <si>
    <t>PULOSARI, RT/RW 002/009 PULOSARI, NGUNUT KAB TULUNGAGUNG</t>
  </si>
  <si>
    <t>JL BENDUNGAN SEMPUR NO 27 SUMBERSARI MALANG</t>
  </si>
  <si>
    <t>081330858957</t>
  </si>
  <si>
    <t>vvionna12@gmail.com</t>
  </si>
  <si>
    <t>DIRGANTARA GRAHITA NUSANTARA</t>
  </si>
  <si>
    <t>WENNI RACHMAYANTI</t>
  </si>
  <si>
    <t>SAKABRAWIGA FATIH NUSANTARA</t>
  </si>
  <si>
    <t>AISHA CITYA MYESHA NUSANTARA</t>
  </si>
  <si>
    <t>FATHYA AISHAKARIN NUSANTARA</t>
  </si>
  <si>
    <t>3577032808860002</t>
  </si>
  <si>
    <t>JL. JOIRANAN NO. 7, MOJOREJO, TAMAN MADIUN</t>
  </si>
  <si>
    <t>grahitanusantara@gmail.com</t>
  </si>
  <si>
    <t>081334499998</t>
  </si>
  <si>
    <t>ADM PRODUCT</t>
  </si>
  <si>
    <t>PIC PRODUCT</t>
  </si>
  <si>
    <t>ADSOS MEN</t>
  </si>
  <si>
    <t>992110170</t>
  </si>
  <si>
    <t>AKUNTING</t>
  </si>
  <si>
    <t>992110171</t>
  </si>
  <si>
    <t>992110172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</si>
</sst>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7">
    <numFmt numFmtId="42" formatCode="_-&quot;Rp&quot;* #,##0_-;\-&quot;Rp&quot;* #,##0_-;_-&quot;Rp&quot;* &quot;-&quot;_-;_-@_-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_);_(* \(#,##0\);_(* &quot;-&quot;_);_(@_)"/>
    <numFmt numFmtId="165" formatCode="_(&quot;Rp&quot;* #,##0.00_);_(&quot;Rp&quot;* \(#,##0.00\);_(&quot;Rp&quot;* &quot;-&quot;??_);_(@_)"/>
    <numFmt numFmtId="166" formatCode="_(* #,##0.00_);_(* \(#,##0.00\);_(* &quot;-&quot;??_);_(@_)"/>
    <numFmt numFmtId="167" formatCode="_(&quot;$&quot;* #,##0.00_);_(&quot;$&quot;* \(#,##0.00\);_(&quot;$&quot;* &quot;-&quot;??_);_(@_)"/>
    <numFmt numFmtId="168" formatCode="[$-409]d\-mmm\-yy;@"/>
    <numFmt numFmtId="169" formatCode="_([$Rp-421]* #,##0_);_([$Rp-421]* \(#,##0\);_([$Rp-421]* &quot;-&quot;_);_(@_)"/>
    <numFmt numFmtId="170" formatCode="[$-F800]dddd\,\ mmmm\ dd\,\ yyyy"/>
    <numFmt numFmtId="171" formatCode="[$-421]dd\ mmmm\ yyyy;@"/>
    <numFmt numFmtId="172" formatCode="[$-409]dd\-mmm\-yy;@"/>
    <numFmt numFmtId="173" formatCode="dd/mm/yy;@"/>
    <numFmt numFmtId="174" formatCode="0;[Red]0"/>
    <numFmt numFmtId="175" formatCode="_(* #,##0.00_);_(* \(#,##0.00\);_(* \-??_);_(@_)"/>
    <numFmt numFmtId="176" formatCode="0.00000"/>
    <numFmt numFmtId="177" formatCode="&quot;$&quot;#,##0.00;[Red]\-&quot;$&quot;#,##0.00"/>
    <numFmt numFmtId="178" formatCode="_(\$* #,##0.00_);_(\$* \(#,##0.00\);_(\$* \-??_);_(@_)"/>
    <numFmt numFmtId="179" formatCode="_(* #,##0,,_);_(* \(#,##0,,\);_(* &quot;-&quot;_)"/>
    <numFmt numFmtId="180" formatCode="[$-409]d/mmm/yy;@"/>
    <numFmt numFmtId="181" formatCode="0%;\(0%\)"/>
    <numFmt numFmtId="182" formatCode="_-&quot;£&quot;* #,##0_-;\-&quot;£&quot;* #,##0_-;_-&quot;£&quot;* &quot;-&quot;_-;_-@_-"/>
    <numFmt numFmtId="183" formatCode="_-&quot;£&quot;* #,##0.00_-;\-&quot;£&quot;* #,##0.00_-;_-&quot;£&quot;* &quot;-&quot;??_-;_-@_-"/>
    <numFmt numFmtId="184" formatCode="#"/>
    <numFmt numFmtId="185" formatCode="mm"/>
    <numFmt numFmtId="186" formatCode="_-[$Rp-421]* #,##0.00_-;\-[$Rp-421]* #,##0.00_-;_-[$Rp-421]* &quot;-&quot;??_-;_-@_-"/>
  </numFmts>
  <fonts count="11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8"/>
      <color indexed="8"/>
      <name val="Calibri"/>
      <family val="2"/>
    </font>
    <font>
      <sz val="12"/>
      <color indexed="8"/>
      <name val="Calibri"/>
      <family val="2"/>
    </font>
    <font>
      <sz val="12"/>
      <name val="Calibri"/>
      <family val="2"/>
    </font>
    <font>
      <sz val="12"/>
      <color indexed="10"/>
      <name val="Calibri"/>
      <family val="2"/>
    </font>
    <font>
      <b/>
      <sz val="12"/>
      <color indexed="8"/>
      <name val="Calibri"/>
      <family val="2"/>
    </font>
    <font>
      <sz val="11"/>
      <color indexed="8"/>
      <name val="Calibri"/>
      <family val="2"/>
    </font>
    <font>
      <b/>
      <sz val="16"/>
      <color indexed="8"/>
      <name val="Calibri"/>
      <family val="2"/>
    </font>
    <font>
      <u/>
      <sz val="7.5"/>
      <color theme="10"/>
      <name val="Calibri"/>
      <family val="2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4"/>
      <color rgb="FF0000FF"/>
      <name val="Calibri"/>
      <family val="2"/>
    </font>
    <font>
      <b/>
      <sz val="14"/>
      <color rgb="FF0000FF"/>
      <name val="Calibri"/>
      <family val="2"/>
      <scheme val="minor"/>
    </font>
    <font>
      <u/>
      <sz val="14"/>
      <color rgb="FF0000FF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color indexed="9"/>
      <name val="Calibri"/>
      <family val="2"/>
      <charset val="1"/>
    </font>
    <font>
      <sz val="11"/>
      <color indexed="20"/>
      <name val="Calibri"/>
      <family val="2"/>
    </font>
    <font>
      <sz val="11"/>
      <color indexed="20"/>
      <name val="Calibri"/>
      <family val="2"/>
      <charset val="1"/>
    </font>
    <font>
      <sz val="10"/>
      <color indexed="8"/>
      <name val="Arial"/>
      <family val="2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b/>
      <sz val="9.9499999999999993"/>
      <color indexed="8"/>
      <name val="Arial"/>
      <family val="2"/>
    </font>
    <font>
      <sz val="12"/>
      <name val="Courier"/>
      <family val="3"/>
    </font>
    <font>
      <sz val="9"/>
      <color theme="1"/>
      <name val="Franklin Gothic Book"/>
      <family val="2"/>
    </font>
    <font>
      <sz val="9"/>
      <color indexed="8"/>
      <name val="Franklin Gothic Book"/>
      <family val="2"/>
    </font>
    <font>
      <sz val="11"/>
      <color indexed="8"/>
      <name val="Arial"/>
      <family val="2"/>
    </font>
    <font>
      <sz val="10"/>
      <color indexed="24"/>
      <name val="Courier New"/>
      <family val="3"/>
    </font>
    <font>
      <sz val="12"/>
      <name val="Tms Rmn"/>
    </font>
    <font>
      <sz val="10"/>
      <name val="MS Sans Serif"/>
      <family val="2"/>
    </font>
    <font>
      <i/>
      <sz val="11"/>
      <color indexed="23"/>
      <name val="Calibri"/>
      <family val="2"/>
    </font>
    <font>
      <i/>
      <sz val="11"/>
      <color indexed="23"/>
      <name val="Calibri"/>
      <family val="2"/>
      <charset val="1"/>
    </font>
    <font>
      <sz val="11"/>
      <color indexed="17"/>
      <name val="Calibri"/>
      <family val="2"/>
    </font>
    <font>
      <sz val="11"/>
      <color indexed="17"/>
      <name val="Calibri"/>
      <family val="2"/>
      <charset val="1"/>
    </font>
    <font>
      <sz val="8"/>
      <name val="Arial"/>
      <family val="2"/>
    </font>
    <font>
      <b/>
      <sz val="16"/>
      <name val="Times New Roman"/>
      <family val="1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Calibri"/>
      <family val="2"/>
      <charset val="1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56"/>
      <name val="Calibri"/>
      <family val="2"/>
      <charset val="1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56"/>
      <name val="Calibri"/>
      <family val="2"/>
      <charset val="1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62"/>
      <name val="Calibri"/>
      <family val="2"/>
      <charset val="1"/>
    </font>
    <font>
      <sz val="11"/>
      <color indexed="52"/>
      <name val="Calibri"/>
      <family val="2"/>
    </font>
    <font>
      <sz val="11"/>
      <color indexed="52"/>
      <name val="Calibri"/>
      <family val="2"/>
      <charset val="1"/>
    </font>
    <font>
      <sz val="11"/>
      <color indexed="60"/>
      <name val="Calibri"/>
      <family val="2"/>
    </font>
    <font>
      <sz val="11"/>
      <color indexed="60"/>
      <name val="Calibri"/>
      <family val="2"/>
      <charset val="1"/>
    </font>
    <font>
      <sz val="10"/>
      <color indexed="8"/>
      <name val="MS Sans Serif"/>
      <family val="2"/>
    </font>
    <font>
      <sz val="12"/>
      <name val="Times New Roman"/>
      <family val="1"/>
    </font>
    <font>
      <sz val="10"/>
      <name val="Trebuchet MS"/>
      <family val="2"/>
    </font>
    <font>
      <b/>
      <sz val="11"/>
      <color indexed="63"/>
      <name val="Calibri"/>
      <family val="2"/>
    </font>
    <font>
      <b/>
      <sz val="11"/>
      <color indexed="63"/>
      <name val="Calibri"/>
      <family val="2"/>
      <charset val="1"/>
    </font>
    <font>
      <b/>
      <i/>
      <sz val="8"/>
      <name val="Arial"/>
      <family val="2"/>
    </font>
    <font>
      <b/>
      <sz val="12"/>
      <name val="Calibri"/>
      <family val="2"/>
      <charset val="1"/>
    </font>
    <font>
      <b/>
      <sz val="9"/>
      <name val="Arial"/>
      <family val="2"/>
    </font>
    <font>
      <b/>
      <sz val="18"/>
      <color indexed="56"/>
      <name val="Cambria"/>
      <family val="2"/>
    </font>
    <font>
      <b/>
      <sz val="18"/>
      <color indexed="56"/>
      <name val="Cambria"/>
      <family val="2"/>
      <charset val="1"/>
    </font>
    <font>
      <b/>
      <sz val="18"/>
      <color indexed="62"/>
      <name val="Cambria"/>
      <family val="2"/>
    </font>
    <font>
      <b/>
      <sz val="11"/>
      <color indexed="8"/>
      <name val="Calibri"/>
      <family val="2"/>
      <charset val="1"/>
    </font>
    <font>
      <sz val="11"/>
      <color indexed="10"/>
      <name val="Calibri"/>
      <family val="2"/>
    </font>
    <font>
      <sz val="11"/>
      <color indexed="10"/>
      <name val="Calibri"/>
      <family val="2"/>
      <charset val="1"/>
    </font>
    <font>
      <u/>
      <sz val="12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b/>
      <sz val="18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rgb="FF0000FF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0000FF"/>
      <name val="Calibri"/>
      <family val="2"/>
    </font>
    <font>
      <sz val="10"/>
      <color indexed="8"/>
      <name val="Calibri"/>
      <family val="2"/>
    </font>
    <font>
      <u/>
      <sz val="10"/>
      <color theme="10"/>
      <name val="Calibri"/>
      <family val="2"/>
    </font>
    <font>
      <u/>
      <sz val="10"/>
      <color rgb="FF0000FF"/>
      <name val="Calibri"/>
      <family val="2"/>
    </font>
    <font>
      <b/>
      <sz val="28"/>
      <color indexed="8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u/>
      <sz val="9"/>
      <color theme="10"/>
      <name val="Calibri"/>
      <family val="2"/>
    </font>
    <font>
      <sz val="10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9"/>
      <color indexed="81"/>
      <name val="Tahoma"/>
      <family val="2"/>
    </font>
  </fonts>
  <fills count="47">
    <fill>
      <patternFill patternType="none"/>
    </fill>
    <fill>
      <patternFill patternType="gray125"/>
    </fill>
    <fill>
      <patternFill patternType="solid">
        <fgColor indexed="65"/>
        <bgColor theme="0"/>
      </patternFill>
    </fill>
    <fill>
      <patternFill patternType="solid">
        <fgColor theme="0"/>
        <bgColor theme="0"/>
      </patternFill>
    </fill>
    <fill>
      <patternFill patternType="solid">
        <fgColor indexed="9"/>
        <bgColor theme="0"/>
      </patternFill>
    </fill>
    <fill>
      <patternFill patternType="solid">
        <fgColor rgb="FF92D050"/>
        <bgColor theme="0"/>
      </patternFill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8"/>
        <bgColor indexed="64"/>
      </patternFill>
    </fill>
    <fill>
      <patternFill patternType="gray125">
        <bgColor theme="9" tint="0.59999389629810485"/>
      </patternFill>
    </fill>
    <fill>
      <patternFill patternType="solid">
        <fgColor theme="9" tint="0.59999389629810485"/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0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004">
    <xf numFmtId="0" fontId="0" fillId="0" borderId="0"/>
    <xf numFmtId="0" fontId="4" fillId="0" borderId="0"/>
    <xf numFmtId="166" fontId="4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10" fillId="0" borderId="0"/>
    <xf numFmtId="0" fontId="13" fillId="0" borderId="0"/>
    <xf numFmtId="0" fontId="13" fillId="0" borderId="0"/>
    <xf numFmtId="0" fontId="4" fillId="0" borderId="0"/>
    <xf numFmtId="0" fontId="23" fillId="0" borderId="0"/>
    <xf numFmtId="166" fontId="4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22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2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2" fillId="16" borderId="0" applyNumberFormat="0" applyBorder="0" applyAlignment="0" applyProtection="0"/>
    <xf numFmtId="0" fontId="24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2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2" fillId="17" borderId="0" applyNumberFormat="0" applyBorder="0" applyAlignment="0" applyProtection="0"/>
    <xf numFmtId="0" fontId="24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2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2" fillId="15" borderId="0" applyNumberFormat="0" applyBorder="0" applyAlignment="0" applyProtection="0"/>
    <xf numFmtId="0" fontId="22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2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2" fillId="21" borderId="0" applyNumberFormat="0" applyBorder="0" applyAlignment="0" applyProtection="0"/>
    <xf numFmtId="0" fontId="24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2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2" fillId="9" borderId="0" applyNumberFormat="0" applyBorder="0" applyAlignment="0" applyProtection="0"/>
    <xf numFmtId="0" fontId="22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2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2" fillId="21" borderId="0" applyNumberFormat="0" applyBorder="0" applyAlignment="0" applyProtection="0"/>
    <xf numFmtId="0" fontId="22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2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22" fillId="25" borderId="0" applyNumberFormat="0" applyBorder="0" applyAlignment="0" applyProtection="0"/>
    <xf numFmtId="0" fontId="24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22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2" fillId="17" borderId="0" applyNumberFormat="0" applyBorder="0" applyAlignment="0" applyProtection="0"/>
    <xf numFmtId="0" fontId="22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6" borderId="0" applyNumberFormat="0" applyBorder="0" applyAlignment="0" applyProtection="0"/>
    <xf numFmtId="0" fontId="22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2" fillId="27" borderId="0" applyNumberFormat="0" applyBorder="0" applyAlignment="0" applyProtection="0"/>
    <xf numFmtId="0" fontId="22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2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2" fillId="21" borderId="0" applyNumberFormat="0" applyBorder="0" applyAlignment="0" applyProtection="0"/>
    <xf numFmtId="0" fontId="24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2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2" fillId="16" borderId="0" applyNumberFormat="0" applyBorder="0" applyAlignment="0" applyProtection="0"/>
    <xf numFmtId="0" fontId="22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4" fillId="28" borderId="0" applyNumberFormat="0" applyBorder="0" applyAlignment="0" applyProtection="0"/>
    <xf numFmtId="0" fontId="25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5" fillId="8" borderId="0" applyNumberFormat="0" applyBorder="0" applyAlignment="0" applyProtection="0"/>
    <xf numFmtId="0" fontId="26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7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28" fillId="15" borderId="14" applyNumberFormat="0" applyAlignment="0" applyProtection="0"/>
    <xf numFmtId="0" fontId="29" fillId="15" borderId="14" applyNumberFormat="0" applyAlignment="0" applyProtection="0"/>
    <xf numFmtId="0" fontId="29" fillId="15" borderId="14" applyNumberFormat="0" applyAlignment="0" applyProtection="0"/>
    <xf numFmtId="0" fontId="29" fillId="15" borderId="14" applyNumberFormat="0" applyAlignment="0" applyProtection="0"/>
    <xf numFmtId="0" fontId="28" fillId="15" borderId="14" applyNumberFormat="0" applyAlignment="0" applyProtection="0"/>
    <xf numFmtId="0" fontId="28" fillId="15" borderId="14" applyNumberFormat="0" applyAlignment="0" applyProtection="0"/>
    <xf numFmtId="0" fontId="28" fillId="15" borderId="14" applyNumberFormat="0" applyAlignment="0" applyProtection="0"/>
    <xf numFmtId="0" fontId="28" fillId="15" borderId="14" applyNumberFormat="0" applyAlignment="0" applyProtection="0"/>
    <xf numFmtId="0" fontId="28" fillId="15" borderId="14" applyNumberFormat="0" applyAlignment="0" applyProtection="0"/>
    <xf numFmtId="0" fontId="28" fillId="15" borderId="14" applyNumberFormat="0" applyAlignment="0" applyProtection="0"/>
    <xf numFmtId="0" fontId="29" fillId="15" borderId="14" applyNumberFormat="0" applyAlignment="0" applyProtection="0"/>
    <xf numFmtId="0" fontId="29" fillId="15" borderId="14" applyNumberFormat="0" applyAlignment="0" applyProtection="0"/>
    <xf numFmtId="0" fontId="29" fillId="15" borderId="14" applyNumberFormat="0" applyAlignment="0" applyProtection="0"/>
    <xf numFmtId="0" fontId="29" fillId="15" borderId="14" applyNumberFormat="0" applyAlignment="0" applyProtection="0"/>
    <xf numFmtId="0" fontId="29" fillId="15" borderId="14" applyNumberFormat="0" applyAlignment="0" applyProtection="0"/>
    <xf numFmtId="0" fontId="29" fillId="15" borderId="14" applyNumberFormat="0" applyAlignment="0" applyProtection="0"/>
    <xf numFmtId="0" fontId="28" fillId="7" borderId="14" applyNumberFormat="0" applyAlignment="0" applyProtection="0"/>
    <xf numFmtId="0" fontId="28" fillId="15" borderId="14" applyNumberFormat="0" applyAlignment="0" applyProtection="0"/>
    <xf numFmtId="0" fontId="29" fillId="15" borderId="14" applyNumberFormat="0" applyAlignment="0" applyProtection="0"/>
    <xf numFmtId="0" fontId="29" fillId="15" borderId="14" applyNumberFormat="0" applyAlignment="0" applyProtection="0"/>
    <xf numFmtId="0" fontId="29" fillId="15" borderId="14" applyNumberFormat="0" applyAlignment="0" applyProtection="0"/>
    <xf numFmtId="0" fontId="29" fillId="15" borderId="14" applyNumberFormat="0" applyAlignment="0" applyProtection="0"/>
    <xf numFmtId="0" fontId="28" fillId="15" borderId="14" applyNumberFormat="0" applyAlignment="0" applyProtection="0"/>
    <xf numFmtId="0" fontId="28" fillId="15" borderId="14" applyNumberFormat="0" applyAlignment="0" applyProtection="0"/>
    <xf numFmtId="0" fontId="29" fillId="15" borderId="14" applyNumberFormat="0" applyAlignment="0" applyProtection="0"/>
    <xf numFmtId="0" fontId="28" fillId="15" borderId="14" applyNumberFormat="0" applyAlignment="0" applyProtection="0"/>
    <xf numFmtId="0" fontId="29" fillId="15" borderId="14" applyNumberFormat="0" applyAlignment="0" applyProtection="0"/>
    <xf numFmtId="0" fontId="28" fillId="15" borderId="14" applyNumberFormat="0" applyAlignment="0" applyProtection="0"/>
    <xf numFmtId="0" fontId="29" fillId="15" borderId="14" applyNumberFormat="0" applyAlignment="0" applyProtection="0"/>
    <xf numFmtId="0" fontId="28" fillId="15" borderId="14" applyNumberFormat="0" applyAlignment="0" applyProtection="0"/>
    <xf numFmtId="0" fontId="29" fillId="15" borderId="14" applyNumberFormat="0" applyAlignment="0" applyProtection="0"/>
    <xf numFmtId="0" fontId="28" fillId="15" borderId="14" applyNumberFormat="0" applyAlignment="0" applyProtection="0"/>
    <xf numFmtId="0" fontId="29" fillId="15" borderId="14" applyNumberFormat="0" applyAlignment="0" applyProtection="0"/>
    <xf numFmtId="0" fontId="29" fillId="15" borderId="14" applyNumberFormat="0" applyAlignment="0" applyProtection="0"/>
    <xf numFmtId="0" fontId="29" fillId="15" borderId="14" applyNumberFormat="0" applyAlignment="0" applyProtection="0"/>
    <xf numFmtId="0" fontId="21" fillId="29" borderId="15" applyNumberFormat="0" applyAlignment="0" applyProtection="0"/>
    <xf numFmtId="0" fontId="30" fillId="29" borderId="15" applyNumberFormat="0" applyAlignment="0" applyProtection="0"/>
    <xf numFmtId="0" fontId="30" fillId="29" borderId="15" applyNumberFormat="0" applyAlignment="0" applyProtection="0"/>
    <xf numFmtId="0" fontId="30" fillId="29" borderId="15" applyNumberFormat="0" applyAlignment="0" applyProtection="0"/>
    <xf numFmtId="0" fontId="21" fillId="29" borderId="15" applyNumberFormat="0" applyAlignment="0" applyProtection="0"/>
    <xf numFmtId="0" fontId="21" fillId="29" borderId="15" applyNumberFormat="0" applyAlignment="0" applyProtection="0"/>
    <xf numFmtId="0" fontId="21" fillId="29" borderId="15" applyNumberFormat="0" applyAlignment="0" applyProtection="0"/>
    <xf numFmtId="0" fontId="21" fillId="29" borderId="15" applyNumberFormat="0" applyAlignment="0" applyProtection="0"/>
    <xf numFmtId="0" fontId="21" fillId="29" borderId="15" applyNumberFormat="0" applyAlignment="0" applyProtection="0"/>
    <xf numFmtId="0" fontId="21" fillId="29" borderId="15" applyNumberFormat="0" applyAlignment="0" applyProtection="0"/>
    <xf numFmtId="0" fontId="30" fillId="29" borderId="15" applyNumberFormat="0" applyAlignment="0" applyProtection="0"/>
    <xf numFmtId="0" fontId="30" fillId="29" borderId="15" applyNumberFormat="0" applyAlignment="0" applyProtection="0"/>
    <xf numFmtId="0" fontId="30" fillId="29" borderId="15" applyNumberFormat="0" applyAlignment="0" applyProtection="0"/>
    <xf numFmtId="0" fontId="30" fillId="29" borderId="15" applyNumberFormat="0" applyAlignment="0" applyProtection="0"/>
    <xf numFmtId="0" fontId="21" fillId="29" borderId="15" applyNumberFormat="0" applyAlignment="0" applyProtection="0"/>
    <xf numFmtId="0" fontId="30" fillId="29" borderId="15" applyNumberFormat="0" applyAlignment="0" applyProtection="0"/>
    <xf numFmtId="0" fontId="21" fillId="29" borderId="15" applyNumberFormat="0" applyAlignment="0" applyProtection="0"/>
    <xf numFmtId="0" fontId="21" fillId="29" borderId="15" applyNumberFormat="0" applyAlignment="0" applyProtection="0"/>
    <xf numFmtId="0" fontId="30" fillId="29" borderId="15" applyNumberFormat="0" applyAlignment="0" applyProtection="0"/>
    <xf numFmtId="0" fontId="30" fillId="29" borderId="15" applyNumberFormat="0" applyAlignment="0" applyProtection="0"/>
    <xf numFmtId="0" fontId="30" fillId="29" borderId="15" applyNumberFormat="0" applyAlignment="0" applyProtection="0"/>
    <xf numFmtId="0" fontId="30" fillId="29" borderId="15" applyNumberFormat="0" applyAlignment="0" applyProtection="0"/>
    <xf numFmtId="0" fontId="30" fillId="29" borderId="15" applyNumberFormat="0" applyAlignment="0" applyProtection="0"/>
    <xf numFmtId="0" fontId="30" fillId="29" borderId="15" applyNumberFormat="0" applyAlignment="0" applyProtection="0"/>
    <xf numFmtId="0" fontId="30" fillId="29" borderId="15" applyNumberFormat="0" applyAlignment="0" applyProtection="0"/>
    <xf numFmtId="164" fontId="13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75" fontId="13" fillId="0" borderId="0" applyFill="0" applyBorder="0" applyAlignment="0" applyProtection="0"/>
    <xf numFmtId="174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35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3" fillId="0" borderId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ill="0" applyBorder="0" applyAlignment="0" applyProtection="0"/>
    <xf numFmtId="166" fontId="13" fillId="0" borderId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ill="0" applyBorder="0" applyAlignment="0" applyProtection="0"/>
    <xf numFmtId="0" fontId="13" fillId="0" borderId="0" applyFill="0" applyBorder="0" applyAlignment="0" applyProtection="0"/>
    <xf numFmtId="166" fontId="13" fillId="0" borderId="0" applyFill="0" applyBorder="0" applyAlignment="0" applyProtection="0"/>
    <xf numFmtId="166" fontId="4" fillId="0" borderId="0" applyFont="0" applyFill="0" applyBorder="0" applyAlignment="0" applyProtection="0"/>
    <xf numFmtId="166" fontId="13" fillId="0" borderId="0" applyFill="0" applyBorder="0" applyAlignment="0" applyProtection="0"/>
    <xf numFmtId="166" fontId="13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3" fillId="0" borderId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3" fontId="36" fillId="0" borderId="0" applyFont="0" applyFill="0" applyBorder="0" applyAlignment="0" applyProtection="0"/>
    <xf numFmtId="177" fontId="37" fillId="0" borderId="4"/>
    <xf numFmtId="177" fontId="37" fillId="0" borderId="4"/>
    <xf numFmtId="177" fontId="37" fillId="0" borderId="4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78" fontId="13" fillId="0" borderId="0" applyFill="0" applyBorder="0" applyAlignment="0" applyProtection="0"/>
    <xf numFmtId="167" fontId="13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6" fillId="0" borderId="0" applyFont="0" applyFill="0" applyBorder="0" applyAlignment="0" applyProtection="0"/>
    <xf numFmtId="14" fontId="27" fillId="0" borderId="0" applyFill="0" applyBorder="0" applyAlignment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2" fontId="36" fillId="0" borderId="0" applyFont="0" applyFill="0" applyBorder="0" applyAlignment="0" applyProtection="0"/>
    <xf numFmtId="0" fontId="41" fillId="10" borderId="0" applyNumberFormat="0" applyBorder="0" applyAlignment="0" applyProtection="0"/>
    <xf numFmtId="0" fontId="42" fillId="10" borderId="0" applyNumberFormat="0" applyBorder="0" applyAlignment="0" applyProtection="0"/>
    <xf numFmtId="0" fontId="42" fillId="10" borderId="0" applyNumberFormat="0" applyBorder="0" applyAlignment="0" applyProtection="0"/>
    <xf numFmtId="0" fontId="42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2" fillId="10" borderId="0" applyNumberFormat="0" applyBorder="0" applyAlignment="0" applyProtection="0"/>
    <xf numFmtId="0" fontId="42" fillId="10" borderId="0" applyNumberFormat="0" applyBorder="0" applyAlignment="0" applyProtection="0"/>
    <xf numFmtId="0" fontId="42" fillId="10" borderId="0" applyNumberFormat="0" applyBorder="0" applyAlignment="0" applyProtection="0"/>
    <xf numFmtId="0" fontId="42" fillId="10" borderId="0" applyNumberFormat="0" applyBorder="0" applyAlignment="0" applyProtection="0"/>
    <xf numFmtId="0" fontId="41" fillId="10" borderId="0" applyNumberFormat="0" applyBorder="0" applyAlignment="0" applyProtection="0"/>
    <xf numFmtId="0" fontId="42" fillId="10" borderId="0" applyNumberFormat="0" applyBorder="0" applyAlignment="0" applyProtection="0"/>
    <xf numFmtId="0" fontId="41" fillId="10" borderId="0" applyNumberFormat="0" applyBorder="0" applyAlignment="0" applyProtection="0"/>
    <xf numFmtId="0" fontId="41" fillId="10" borderId="0" applyNumberFormat="0" applyBorder="0" applyAlignment="0" applyProtection="0"/>
    <xf numFmtId="0" fontId="42" fillId="10" borderId="0" applyNumberFormat="0" applyBorder="0" applyAlignment="0" applyProtection="0"/>
    <xf numFmtId="0" fontId="42" fillId="10" borderId="0" applyNumberFormat="0" applyBorder="0" applyAlignment="0" applyProtection="0"/>
    <xf numFmtId="0" fontId="42" fillId="10" borderId="0" applyNumberFormat="0" applyBorder="0" applyAlignment="0" applyProtection="0"/>
    <xf numFmtId="0" fontId="42" fillId="10" borderId="0" applyNumberFormat="0" applyBorder="0" applyAlignment="0" applyProtection="0"/>
    <xf numFmtId="0" fontId="42" fillId="10" borderId="0" applyNumberFormat="0" applyBorder="0" applyAlignment="0" applyProtection="0"/>
    <xf numFmtId="0" fontId="42" fillId="10" borderId="0" applyNumberFormat="0" applyBorder="0" applyAlignment="0" applyProtection="0"/>
    <xf numFmtId="0" fontId="42" fillId="10" borderId="0" applyNumberFormat="0" applyBorder="0" applyAlignment="0" applyProtection="0"/>
    <xf numFmtId="38" fontId="43" fillId="30" borderId="0" applyNumberFormat="0" applyBorder="0" applyAlignment="0" applyProtection="0"/>
    <xf numFmtId="0" fontId="44" fillId="0" borderId="0"/>
    <xf numFmtId="0" fontId="45" fillId="0" borderId="16" applyNumberFormat="0" applyAlignment="0" applyProtection="0">
      <alignment horizontal="left" vertical="center"/>
    </xf>
    <xf numFmtId="0" fontId="45" fillId="0" borderId="8">
      <alignment horizontal="left" vertical="center"/>
    </xf>
    <xf numFmtId="0" fontId="45" fillId="0" borderId="8">
      <alignment horizontal="left" vertical="center"/>
    </xf>
    <xf numFmtId="0" fontId="45" fillId="0" borderId="8">
      <alignment horizontal="left" vertical="center"/>
    </xf>
    <xf numFmtId="0" fontId="45" fillId="0" borderId="8">
      <alignment horizontal="left" vertical="center"/>
    </xf>
    <xf numFmtId="0" fontId="45" fillId="0" borderId="8">
      <alignment horizontal="left" vertical="center"/>
    </xf>
    <xf numFmtId="0" fontId="45" fillId="0" borderId="8">
      <alignment horizontal="left" vertical="center"/>
    </xf>
    <xf numFmtId="0" fontId="46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8" fillId="0" borderId="18" applyNumberFormat="0" applyFill="0" applyAlignment="0" applyProtection="0"/>
    <xf numFmtId="0" fontId="46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9" fillId="0" borderId="19" applyNumberFormat="0" applyFill="0" applyAlignment="0" applyProtection="0"/>
    <xf numFmtId="0" fontId="50" fillId="0" borderId="19" applyNumberFormat="0" applyFill="0" applyAlignment="0" applyProtection="0"/>
    <xf numFmtId="0" fontId="50" fillId="0" borderId="19" applyNumberFormat="0" applyFill="0" applyAlignment="0" applyProtection="0"/>
    <xf numFmtId="0" fontId="50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50" fillId="0" borderId="19" applyNumberFormat="0" applyFill="0" applyAlignment="0" applyProtection="0"/>
    <xf numFmtId="0" fontId="50" fillId="0" borderId="19" applyNumberFormat="0" applyFill="0" applyAlignment="0" applyProtection="0"/>
    <xf numFmtId="0" fontId="50" fillId="0" borderId="19" applyNumberFormat="0" applyFill="0" applyAlignment="0" applyProtection="0"/>
    <xf numFmtId="0" fontId="50" fillId="0" borderId="19" applyNumberFormat="0" applyFill="0" applyAlignment="0" applyProtection="0"/>
    <xf numFmtId="0" fontId="50" fillId="0" borderId="19" applyNumberFormat="0" applyFill="0" applyAlignment="0" applyProtection="0"/>
    <xf numFmtId="0" fontId="50" fillId="0" borderId="19" applyNumberFormat="0" applyFill="0" applyAlignment="0" applyProtection="0"/>
    <xf numFmtId="0" fontId="51" fillId="0" borderId="19" applyNumberFormat="0" applyFill="0" applyAlignment="0" applyProtection="0"/>
    <xf numFmtId="0" fontId="49" fillId="0" borderId="19" applyNumberFormat="0" applyFill="0" applyAlignment="0" applyProtection="0"/>
    <xf numFmtId="0" fontId="50" fillId="0" borderId="19" applyNumberFormat="0" applyFill="0" applyAlignment="0" applyProtection="0"/>
    <xf numFmtId="0" fontId="50" fillId="0" borderId="19" applyNumberFormat="0" applyFill="0" applyAlignment="0" applyProtection="0"/>
    <xf numFmtId="0" fontId="50" fillId="0" borderId="19" applyNumberFormat="0" applyFill="0" applyAlignment="0" applyProtection="0"/>
    <xf numFmtId="0" fontId="50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50" fillId="0" borderId="19" applyNumberFormat="0" applyFill="0" applyAlignment="0" applyProtection="0"/>
    <xf numFmtId="0" fontId="50" fillId="0" borderId="19" applyNumberFormat="0" applyFill="0" applyAlignment="0" applyProtection="0"/>
    <xf numFmtId="0" fontId="50" fillId="0" borderId="19" applyNumberFormat="0" applyFill="0" applyAlignment="0" applyProtection="0"/>
    <xf numFmtId="0" fontId="50" fillId="0" borderId="19" applyNumberFormat="0" applyFill="0" applyAlignment="0" applyProtection="0"/>
    <xf numFmtId="0" fontId="50" fillId="0" borderId="19" applyNumberFormat="0" applyFill="0" applyAlignment="0" applyProtection="0"/>
    <xf numFmtId="0" fontId="50" fillId="0" borderId="19" applyNumberFormat="0" applyFill="0" applyAlignment="0" applyProtection="0"/>
    <xf numFmtId="0" fontId="50" fillId="0" borderId="19" applyNumberFormat="0" applyFill="0" applyAlignment="0" applyProtection="0"/>
    <xf numFmtId="0" fontId="52" fillId="0" borderId="20" applyNumberFormat="0" applyFill="0" applyAlignment="0" applyProtection="0"/>
    <xf numFmtId="0" fontId="53" fillId="0" borderId="20" applyNumberFormat="0" applyFill="0" applyAlignment="0" applyProtection="0"/>
    <xf numFmtId="0" fontId="53" fillId="0" borderId="20" applyNumberFormat="0" applyFill="0" applyAlignment="0" applyProtection="0"/>
    <xf numFmtId="0" fontId="53" fillId="0" borderId="20" applyNumberFormat="0" applyFill="0" applyAlignment="0" applyProtection="0"/>
    <xf numFmtId="0" fontId="52" fillId="0" borderId="20" applyNumberFormat="0" applyFill="0" applyAlignment="0" applyProtection="0"/>
    <xf numFmtId="0" fontId="52" fillId="0" borderId="20" applyNumberFormat="0" applyFill="0" applyAlignment="0" applyProtection="0"/>
    <xf numFmtId="0" fontId="52" fillId="0" borderId="20" applyNumberFormat="0" applyFill="0" applyAlignment="0" applyProtection="0"/>
    <xf numFmtId="0" fontId="52" fillId="0" borderId="20" applyNumberFormat="0" applyFill="0" applyAlignment="0" applyProtection="0"/>
    <xf numFmtId="0" fontId="52" fillId="0" borderId="20" applyNumberFormat="0" applyFill="0" applyAlignment="0" applyProtection="0"/>
    <xf numFmtId="0" fontId="52" fillId="0" borderId="20" applyNumberFormat="0" applyFill="0" applyAlignment="0" applyProtection="0"/>
    <xf numFmtId="0" fontId="53" fillId="0" borderId="20" applyNumberFormat="0" applyFill="0" applyAlignment="0" applyProtection="0"/>
    <xf numFmtId="0" fontId="53" fillId="0" borderId="20" applyNumberFormat="0" applyFill="0" applyAlignment="0" applyProtection="0"/>
    <xf numFmtId="0" fontId="53" fillId="0" borderId="20" applyNumberFormat="0" applyFill="0" applyAlignment="0" applyProtection="0"/>
    <xf numFmtId="0" fontId="53" fillId="0" borderId="20" applyNumberFormat="0" applyFill="0" applyAlignment="0" applyProtection="0"/>
    <xf numFmtId="0" fontId="53" fillId="0" borderId="20" applyNumberFormat="0" applyFill="0" applyAlignment="0" applyProtection="0"/>
    <xf numFmtId="0" fontId="53" fillId="0" borderId="20" applyNumberFormat="0" applyFill="0" applyAlignment="0" applyProtection="0"/>
    <xf numFmtId="0" fontId="54" fillId="0" borderId="21" applyNumberFormat="0" applyFill="0" applyAlignment="0" applyProtection="0"/>
    <xf numFmtId="0" fontId="52" fillId="0" borderId="20" applyNumberFormat="0" applyFill="0" applyAlignment="0" applyProtection="0"/>
    <xf numFmtId="0" fontId="53" fillId="0" borderId="20" applyNumberFormat="0" applyFill="0" applyAlignment="0" applyProtection="0"/>
    <xf numFmtId="0" fontId="53" fillId="0" borderId="20" applyNumberFormat="0" applyFill="0" applyAlignment="0" applyProtection="0"/>
    <xf numFmtId="0" fontId="53" fillId="0" borderId="20" applyNumberFormat="0" applyFill="0" applyAlignment="0" applyProtection="0"/>
    <xf numFmtId="0" fontId="53" fillId="0" borderId="20" applyNumberFormat="0" applyFill="0" applyAlignment="0" applyProtection="0"/>
    <xf numFmtId="0" fontId="52" fillId="0" borderId="20" applyNumberFormat="0" applyFill="0" applyAlignment="0" applyProtection="0"/>
    <xf numFmtId="0" fontId="52" fillId="0" borderId="20" applyNumberFormat="0" applyFill="0" applyAlignment="0" applyProtection="0"/>
    <xf numFmtId="0" fontId="53" fillId="0" borderId="20" applyNumberFormat="0" applyFill="0" applyAlignment="0" applyProtection="0"/>
    <xf numFmtId="0" fontId="53" fillId="0" borderId="20" applyNumberFormat="0" applyFill="0" applyAlignment="0" applyProtection="0"/>
    <xf numFmtId="0" fontId="53" fillId="0" borderId="20" applyNumberFormat="0" applyFill="0" applyAlignment="0" applyProtection="0"/>
    <xf numFmtId="0" fontId="53" fillId="0" borderId="20" applyNumberFormat="0" applyFill="0" applyAlignment="0" applyProtection="0"/>
    <xf numFmtId="0" fontId="53" fillId="0" borderId="20" applyNumberFormat="0" applyFill="0" applyAlignment="0" applyProtection="0"/>
    <xf numFmtId="0" fontId="53" fillId="0" borderId="20" applyNumberFormat="0" applyFill="0" applyAlignment="0" applyProtection="0"/>
    <xf numFmtId="0" fontId="53" fillId="0" borderId="20" applyNumberFormat="0" applyFill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10" fontId="43" fillId="31" borderId="4" applyNumberFormat="0" applyBorder="0" applyAlignment="0" applyProtection="0"/>
    <xf numFmtId="10" fontId="43" fillId="31" borderId="4" applyNumberFormat="0" applyBorder="0" applyAlignment="0" applyProtection="0"/>
    <xf numFmtId="10" fontId="43" fillId="31" borderId="4" applyNumberFormat="0" applyBorder="0" applyAlignment="0" applyProtection="0"/>
    <xf numFmtId="0" fontId="56" fillId="9" borderId="14" applyNumberFormat="0" applyAlignment="0" applyProtection="0"/>
    <xf numFmtId="0" fontId="57" fillId="9" borderId="14" applyNumberFormat="0" applyAlignment="0" applyProtection="0"/>
    <xf numFmtId="0" fontId="57" fillId="9" borderId="14" applyNumberFormat="0" applyAlignment="0" applyProtection="0"/>
    <xf numFmtId="0" fontId="57" fillId="9" borderId="14" applyNumberFormat="0" applyAlignment="0" applyProtection="0"/>
    <xf numFmtId="0" fontId="56" fillId="9" borderId="14" applyNumberFormat="0" applyAlignment="0" applyProtection="0"/>
    <xf numFmtId="0" fontId="56" fillId="9" borderId="14" applyNumberFormat="0" applyAlignment="0" applyProtection="0"/>
    <xf numFmtId="0" fontId="56" fillId="9" borderId="14" applyNumberFormat="0" applyAlignment="0" applyProtection="0"/>
    <xf numFmtId="0" fontId="56" fillId="9" borderId="14" applyNumberFormat="0" applyAlignment="0" applyProtection="0"/>
    <xf numFmtId="0" fontId="56" fillId="9" borderId="14" applyNumberFormat="0" applyAlignment="0" applyProtection="0"/>
    <xf numFmtId="0" fontId="56" fillId="9" borderId="14" applyNumberFormat="0" applyAlignment="0" applyProtection="0"/>
    <xf numFmtId="0" fontId="57" fillId="9" borderId="14" applyNumberFormat="0" applyAlignment="0" applyProtection="0"/>
    <xf numFmtId="0" fontId="57" fillId="9" borderId="14" applyNumberFormat="0" applyAlignment="0" applyProtection="0"/>
    <xf numFmtId="0" fontId="57" fillId="9" borderId="14" applyNumberFormat="0" applyAlignment="0" applyProtection="0"/>
    <xf numFmtId="0" fontId="57" fillId="9" borderId="14" applyNumberFormat="0" applyAlignment="0" applyProtection="0"/>
    <xf numFmtId="0" fontId="56" fillId="9" borderId="14" applyNumberFormat="0" applyAlignment="0" applyProtection="0"/>
    <xf numFmtId="0" fontId="57" fillId="9" borderId="14" applyNumberFormat="0" applyAlignment="0" applyProtection="0"/>
    <xf numFmtId="0" fontId="56" fillId="9" borderId="14" applyNumberFormat="0" applyAlignment="0" applyProtection="0"/>
    <xf numFmtId="0" fontId="56" fillId="9" borderId="14" applyNumberFormat="0" applyAlignment="0" applyProtection="0"/>
    <xf numFmtId="0" fontId="57" fillId="9" borderId="14" applyNumberFormat="0" applyAlignment="0" applyProtection="0"/>
    <xf numFmtId="0" fontId="56" fillId="9" borderId="14" applyNumberFormat="0" applyAlignment="0" applyProtection="0"/>
    <xf numFmtId="0" fontId="57" fillId="9" borderId="14" applyNumberFormat="0" applyAlignment="0" applyProtection="0"/>
    <xf numFmtId="0" fontId="56" fillId="9" borderId="14" applyNumberFormat="0" applyAlignment="0" applyProtection="0"/>
    <xf numFmtId="0" fontId="57" fillId="9" borderId="14" applyNumberFormat="0" applyAlignment="0" applyProtection="0"/>
    <xf numFmtId="0" fontId="56" fillId="9" borderId="14" applyNumberFormat="0" applyAlignment="0" applyProtection="0"/>
    <xf numFmtId="0" fontId="57" fillId="9" borderId="14" applyNumberFormat="0" applyAlignment="0" applyProtection="0"/>
    <xf numFmtId="0" fontId="56" fillId="9" borderId="14" applyNumberFormat="0" applyAlignment="0" applyProtection="0"/>
    <xf numFmtId="0" fontId="57" fillId="9" borderId="14" applyNumberFormat="0" applyAlignment="0" applyProtection="0"/>
    <xf numFmtId="0" fontId="57" fillId="9" borderId="14" applyNumberFormat="0" applyAlignment="0" applyProtection="0"/>
    <xf numFmtId="0" fontId="57" fillId="9" borderId="14" applyNumberFormat="0" applyAlignment="0" applyProtection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58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8" fillId="0" borderId="22" applyNumberFormat="0" applyFill="0" applyAlignment="0" applyProtection="0"/>
    <xf numFmtId="0" fontId="59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60" fillId="18" borderId="0" applyNumberFormat="0" applyBorder="0" applyAlignment="0" applyProtection="0"/>
    <xf numFmtId="0" fontId="61" fillId="18" borderId="0" applyNumberFormat="0" applyBorder="0" applyAlignment="0" applyProtection="0"/>
    <xf numFmtId="0" fontId="61" fillId="18" borderId="0" applyNumberFormat="0" applyBorder="0" applyAlignment="0" applyProtection="0"/>
    <xf numFmtId="0" fontId="61" fillId="18" borderId="0" applyNumberFormat="0" applyBorder="0" applyAlignment="0" applyProtection="0"/>
    <xf numFmtId="0" fontId="60" fillId="18" borderId="0" applyNumberFormat="0" applyBorder="0" applyAlignment="0" applyProtection="0"/>
    <xf numFmtId="0" fontId="60" fillId="18" borderId="0" applyNumberFormat="0" applyBorder="0" applyAlignment="0" applyProtection="0"/>
    <xf numFmtId="0" fontId="60" fillId="18" borderId="0" applyNumberFormat="0" applyBorder="0" applyAlignment="0" applyProtection="0"/>
    <xf numFmtId="0" fontId="60" fillId="18" borderId="0" applyNumberFormat="0" applyBorder="0" applyAlignment="0" applyProtection="0"/>
    <xf numFmtId="0" fontId="60" fillId="18" borderId="0" applyNumberFormat="0" applyBorder="0" applyAlignment="0" applyProtection="0"/>
    <xf numFmtId="0" fontId="60" fillId="18" borderId="0" applyNumberFormat="0" applyBorder="0" applyAlignment="0" applyProtection="0"/>
    <xf numFmtId="0" fontId="61" fillId="18" borderId="0" applyNumberFormat="0" applyBorder="0" applyAlignment="0" applyProtection="0"/>
    <xf numFmtId="0" fontId="61" fillId="18" borderId="0" applyNumberFormat="0" applyBorder="0" applyAlignment="0" applyProtection="0"/>
    <xf numFmtId="0" fontId="61" fillId="18" borderId="0" applyNumberFormat="0" applyBorder="0" applyAlignment="0" applyProtection="0"/>
    <xf numFmtId="0" fontId="61" fillId="18" borderId="0" applyNumberFormat="0" applyBorder="0" applyAlignment="0" applyProtection="0"/>
    <xf numFmtId="0" fontId="60" fillId="18" borderId="0" applyNumberFormat="0" applyBorder="0" applyAlignment="0" applyProtection="0"/>
    <xf numFmtId="0" fontId="61" fillId="18" borderId="0" applyNumberFormat="0" applyBorder="0" applyAlignment="0" applyProtection="0"/>
    <xf numFmtId="0" fontId="60" fillId="18" borderId="0" applyNumberFormat="0" applyBorder="0" applyAlignment="0" applyProtection="0"/>
    <xf numFmtId="0" fontId="60" fillId="18" borderId="0" applyNumberFormat="0" applyBorder="0" applyAlignment="0" applyProtection="0"/>
    <xf numFmtId="0" fontId="61" fillId="18" borderId="0" applyNumberFormat="0" applyBorder="0" applyAlignment="0" applyProtection="0"/>
    <xf numFmtId="0" fontId="61" fillId="18" borderId="0" applyNumberFormat="0" applyBorder="0" applyAlignment="0" applyProtection="0"/>
    <xf numFmtId="0" fontId="61" fillId="18" borderId="0" applyNumberFormat="0" applyBorder="0" applyAlignment="0" applyProtection="0"/>
    <xf numFmtId="0" fontId="61" fillId="18" borderId="0" applyNumberFormat="0" applyBorder="0" applyAlignment="0" applyProtection="0"/>
    <xf numFmtId="0" fontId="61" fillId="18" borderId="0" applyNumberFormat="0" applyBorder="0" applyAlignment="0" applyProtection="0"/>
    <xf numFmtId="0" fontId="61" fillId="18" borderId="0" applyNumberFormat="0" applyBorder="0" applyAlignment="0" applyProtection="0"/>
    <xf numFmtId="0" fontId="61" fillId="18" borderId="0" applyNumberFormat="0" applyBorder="0" applyAlignment="0" applyProtection="0"/>
    <xf numFmtId="179" fontId="13" fillId="0" borderId="0"/>
    <xf numFmtId="179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2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6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3" fillId="0" borderId="0"/>
    <xf numFmtId="0" fontId="13" fillId="0" borderId="0"/>
    <xf numFmtId="0" fontId="13" fillId="0" borderId="0"/>
    <xf numFmtId="0" fontId="6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8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172" fontId="2" fillId="0" borderId="0"/>
    <xf numFmtId="172" fontId="2" fillId="0" borderId="0"/>
    <xf numFmtId="0" fontId="13" fillId="0" borderId="0"/>
    <xf numFmtId="0" fontId="4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2" fillId="0" borderId="0"/>
    <xf numFmtId="0" fontId="13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2" fillId="0" borderId="0"/>
    <xf numFmtId="172" fontId="2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0" fontId="2" fillId="0" borderId="0"/>
    <xf numFmtId="0" fontId="13" fillId="0" borderId="0"/>
    <xf numFmtId="0" fontId="13" fillId="0" borderId="0"/>
    <xf numFmtId="0" fontId="2" fillId="0" borderId="0"/>
    <xf numFmtId="180" fontId="10" fillId="0" borderId="0"/>
    <xf numFmtId="0" fontId="13" fillId="0" borderId="0"/>
    <xf numFmtId="0" fontId="13" fillId="0" borderId="0"/>
    <xf numFmtId="0" fontId="13" fillId="0" borderId="0"/>
    <xf numFmtId="180" fontId="10" fillId="0" borderId="0"/>
    <xf numFmtId="0" fontId="13" fillId="0" borderId="0"/>
    <xf numFmtId="0" fontId="13" fillId="0" borderId="0"/>
    <xf numFmtId="0" fontId="13" fillId="0" borderId="0"/>
    <xf numFmtId="18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3" fillId="0" borderId="0"/>
    <xf numFmtId="0" fontId="2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6" fontId="6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6" fontId="64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4" fillId="0" borderId="0"/>
    <xf numFmtId="0" fontId="4" fillId="0" borderId="0"/>
    <xf numFmtId="0" fontId="3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10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23" fillId="0" borderId="0"/>
    <xf numFmtId="0" fontId="2" fillId="0" borderId="0"/>
    <xf numFmtId="0" fontId="13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2" fillId="0" borderId="0" applyNumberFormat="0" applyFont="0" applyFill="0" applyBorder="0" applyAlignment="0" applyProtection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2" fillId="0" borderId="0" applyNumberFormat="0" applyFont="0" applyFill="0" applyBorder="0" applyAlignment="0" applyProtection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2" fillId="0" borderId="0" applyNumberFormat="0" applyFont="0" applyFill="0" applyBorder="0" applyAlignment="0" applyProtection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2" fillId="0" borderId="0" applyNumberFormat="0" applyFont="0" applyFill="0" applyBorder="0" applyAlignment="0" applyProtection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2" fillId="0" borderId="0" applyNumberFormat="0" applyFont="0" applyFill="0" applyBorder="0" applyAlignment="0" applyProtection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2" fillId="0" borderId="0" applyNumberFormat="0" applyFont="0" applyFill="0" applyBorder="0" applyAlignment="0" applyProtection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2" fillId="0" borderId="0" applyNumberFormat="0" applyFont="0" applyFill="0" applyBorder="0" applyAlignment="0" applyProtection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2" fillId="0" borderId="0" applyNumberFormat="0" applyFont="0" applyFill="0" applyBorder="0" applyAlignment="0" applyProtection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2" fillId="0" borderId="0" applyNumberFormat="0" applyFont="0" applyFill="0" applyBorder="0" applyAlignment="0" applyProtection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10" fillId="0" borderId="0">
      <alignment vertical="center" wrapText="1"/>
    </xf>
    <xf numFmtId="0" fontId="10" fillId="0" borderId="0">
      <alignment vertical="center" wrapText="1"/>
    </xf>
    <xf numFmtId="0" fontId="2" fillId="0" borderId="0" applyNumberFormat="0" applyFont="0" applyFill="0" applyBorder="0" applyAlignment="0" applyProtection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2" fillId="0" borderId="0" applyNumberFormat="0" applyFont="0" applyFill="0" applyBorder="0" applyAlignment="0" applyProtection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2" fillId="0" borderId="0" applyNumberFormat="0" applyFont="0" applyFill="0" applyBorder="0" applyAlignment="0" applyProtection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10" fillId="0" borderId="0">
      <alignment vertical="center" wrapText="1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2" fillId="0" borderId="0" applyNumberFormat="0" applyFont="0" applyFill="0" applyBorder="0" applyAlignment="0" applyProtection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2" fillId="0" borderId="0" applyNumberFormat="0" applyFont="0" applyFill="0" applyBorder="0" applyAlignment="0" applyProtection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2" fillId="0" borderId="0" applyNumberFormat="0" applyFont="0" applyFill="0" applyBorder="0" applyAlignment="0" applyProtection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2" fillId="0" borderId="0" applyNumberFormat="0" applyFont="0" applyFill="0" applyBorder="0" applyAlignment="0" applyProtection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2" fillId="0" borderId="0" applyNumberFormat="0" applyFont="0" applyFill="0" applyBorder="0" applyAlignment="0" applyProtection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2" fillId="0" borderId="0" applyNumberFormat="0" applyFont="0" applyFill="0" applyBorder="0" applyAlignment="0" applyProtection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2" fillId="0" borderId="0" applyNumberFormat="0" applyFont="0" applyFill="0" applyBorder="0" applyAlignment="0" applyProtection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2" fillId="0" borderId="0" applyNumberFormat="0" applyFont="0" applyFill="0" applyBorder="0" applyAlignment="0" applyProtection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2" fillId="0" borderId="0" applyNumberFormat="0" applyFont="0" applyFill="0" applyBorder="0" applyAlignment="0" applyProtection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" fillId="0" borderId="0" applyNumberFormat="0" applyFont="0" applyFill="0" applyBorder="0" applyAlignment="0" applyProtection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2" fillId="0" borderId="0" applyNumberFormat="0" applyFont="0" applyFill="0" applyBorder="0" applyAlignment="0" applyProtection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2" fillId="0" borderId="0" applyNumberFormat="0" applyFont="0" applyFill="0" applyBorder="0" applyAlignment="0" applyProtection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2" fillId="0" borderId="0" applyNumberFormat="0" applyFont="0" applyFill="0" applyBorder="0" applyAlignment="0" applyProtection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2" fillId="0" borderId="0" applyNumberFormat="0" applyFont="0" applyFill="0" applyBorder="0" applyAlignment="0" applyProtection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2" fillId="0" borderId="0" applyNumberFormat="0" applyFont="0" applyFill="0" applyBorder="0" applyAlignment="0" applyProtection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2" fillId="0" borderId="0" applyNumberFormat="0" applyFont="0" applyFill="0" applyBorder="0" applyAlignment="0" applyProtection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2" fillId="0" borderId="0" applyNumberFormat="0" applyFont="0" applyFill="0" applyBorder="0" applyAlignment="0" applyProtection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2" fillId="0" borderId="0" applyNumberFormat="0" applyFont="0" applyFill="0" applyBorder="0" applyAlignment="0" applyProtection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10" fillId="0" borderId="0">
      <alignment vertical="center" wrapText="1"/>
    </xf>
    <xf numFmtId="0" fontId="10" fillId="0" borderId="0">
      <alignment vertical="center" wrapText="1"/>
    </xf>
    <xf numFmtId="0" fontId="10" fillId="0" borderId="0">
      <alignment vertical="center" wrapText="1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0" fillId="11" borderId="23" applyNumberFormat="0" applyFont="0" applyAlignment="0" applyProtection="0"/>
    <xf numFmtId="0" fontId="10" fillId="11" borderId="23" applyNumberFormat="0" applyFont="0" applyAlignment="0" applyProtection="0"/>
    <xf numFmtId="0" fontId="10" fillId="11" borderId="23" applyNumberFormat="0" applyFont="0" applyAlignment="0" applyProtection="0"/>
    <xf numFmtId="0" fontId="10" fillId="11" borderId="23" applyNumberFormat="0" applyFont="0" applyAlignment="0" applyProtection="0"/>
    <xf numFmtId="0" fontId="2" fillId="0" borderId="0" applyNumberFormat="0" applyFont="0" applyFill="0" applyBorder="0" applyAlignment="0" applyProtection="0"/>
    <xf numFmtId="0" fontId="10" fillId="11" borderId="23" applyNumberFormat="0" applyFont="0" applyAlignment="0" applyProtection="0"/>
    <xf numFmtId="0" fontId="10" fillId="11" borderId="23" applyNumberFormat="0" applyFont="0" applyAlignment="0" applyProtection="0"/>
    <xf numFmtId="0" fontId="10" fillId="11" borderId="23" applyNumberFormat="0" applyFont="0" applyAlignment="0" applyProtection="0"/>
    <xf numFmtId="0" fontId="10" fillId="11" borderId="23" applyNumberFormat="0" applyFont="0" applyAlignment="0" applyProtection="0"/>
    <xf numFmtId="0" fontId="10" fillId="11" borderId="23" applyNumberFormat="0" applyFont="0" applyAlignment="0" applyProtection="0"/>
    <xf numFmtId="0" fontId="2" fillId="0" borderId="0" applyNumberFormat="0" applyFont="0" applyFill="0" applyBorder="0" applyAlignment="0" applyProtection="0"/>
    <xf numFmtId="0" fontId="10" fillId="11" borderId="23" applyNumberFormat="0" applyFont="0" applyAlignment="0" applyProtection="0"/>
    <xf numFmtId="0" fontId="10" fillId="11" borderId="23" applyNumberFormat="0" applyFont="0" applyAlignment="0" applyProtection="0"/>
    <xf numFmtId="0" fontId="10" fillId="11" borderId="23" applyNumberFormat="0" applyFont="0" applyAlignment="0" applyProtection="0"/>
    <xf numFmtId="0" fontId="10" fillId="11" borderId="23" applyNumberFormat="0" applyFont="0" applyAlignment="0" applyProtection="0"/>
    <xf numFmtId="0" fontId="10" fillId="11" borderId="23" applyNumberFormat="0" applyFont="0" applyAlignment="0" applyProtection="0"/>
    <xf numFmtId="0" fontId="2" fillId="0" borderId="0" applyNumberFormat="0" applyFont="0" applyFill="0" applyBorder="0" applyAlignment="0" applyProtection="0"/>
    <xf numFmtId="0" fontId="10" fillId="11" borderId="23" applyNumberFormat="0" applyFont="0" applyAlignment="0" applyProtection="0"/>
    <xf numFmtId="0" fontId="10" fillId="11" borderId="23" applyNumberFormat="0" applyFont="0" applyAlignment="0" applyProtection="0"/>
    <xf numFmtId="0" fontId="10" fillId="11" borderId="23" applyNumberFormat="0" applyFont="0" applyAlignment="0" applyProtection="0"/>
    <xf numFmtId="0" fontId="10" fillId="11" borderId="23" applyNumberFormat="0" applyFont="0" applyAlignment="0" applyProtection="0"/>
    <xf numFmtId="0" fontId="10" fillId="11" borderId="23" applyNumberFormat="0" applyFont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10" fillId="11" borderId="23" applyNumberFormat="0" applyFont="0" applyAlignment="0" applyProtection="0"/>
    <xf numFmtId="0" fontId="10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4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13" fillId="11" borderId="23" applyNumberFormat="0" applyFon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5" fillId="7" borderId="24" applyNumberFormat="0" applyAlignment="0" applyProtection="0"/>
    <xf numFmtId="0" fontId="65" fillId="7" borderId="24" applyNumberFormat="0" applyAlignment="0" applyProtection="0"/>
    <xf numFmtId="0" fontId="65" fillId="7" borderId="24" applyNumberFormat="0" applyAlignment="0" applyProtection="0"/>
    <xf numFmtId="0" fontId="65" fillId="7" borderId="24" applyNumberFormat="0" applyAlignment="0" applyProtection="0"/>
    <xf numFmtId="0" fontId="65" fillId="7" borderId="24" applyNumberFormat="0" applyAlignment="0" applyProtection="0"/>
    <xf numFmtId="0" fontId="65" fillId="7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6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5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66" fillId="15" borderId="24" applyNumberFormat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67" fillId="0" borderId="25"/>
    <xf numFmtId="0" fontId="67" fillId="0" borderId="25"/>
    <xf numFmtId="0" fontId="67" fillId="0" borderId="25"/>
    <xf numFmtId="0" fontId="67" fillId="0" borderId="25"/>
    <xf numFmtId="0" fontId="67" fillId="0" borderId="25"/>
    <xf numFmtId="0" fontId="67" fillId="0" borderId="25"/>
    <xf numFmtId="0" fontId="13" fillId="32" borderId="0"/>
    <xf numFmtId="0" fontId="68" fillId="33" borderId="4" applyFont="0" applyBorder="0" applyAlignment="0" applyProtection="0">
      <alignment horizontal="left" vertical="center"/>
    </xf>
    <xf numFmtId="0" fontId="68" fillId="33" borderId="4" applyFont="0" applyBorder="0" applyAlignment="0" applyProtection="0">
      <alignment horizontal="left" vertical="center"/>
    </xf>
    <xf numFmtId="0" fontId="68" fillId="33" borderId="4" applyFont="0" applyBorder="0" applyAlignment="0" applyProtection="0">
      <alignment horizontal="left"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8" fillId="33" borderId="4" applyFont="0" applyBorder="0" applyAlignment="0" applyProtection="0">
      <alignment horizontal="left" vertical="center"/>
    </xf>
    <xf numFmtId="0" fontId="68" fillId="33" borderId="4" applyFont="0" applyBorder="0" applyAlignment="0" applyProtection="0">
      <alignment horizontal="left" vertical="center"/>
    </xf>
    <xf numFmtId="0" fontId="68" fillId="33" borderId="4" applyFont="0" applyBorder="0" applyAlignment="0" applyProtection="0">
      <alignment horizontal="left" vertical="center"/>
    </xf>
    <xf numFmtId="0" fontId="4" fillId="0" borderId="4" applyNumberFormat="0" applyFont="0" applyBorder="0" applyAlignment="0" applyProtection="0"/>
    <xf numFmtId="0" fontId="4" fillId="0" borderId="4" applyNumberFormat="0" applyFont="0" applyBorder="0" applyAlignment="0" applyProtection="0"/>
    <xf numFmtId="0" fontId="4" fillId="0" borderId="4" applyNumberFormat="0" applyFont="0" applyBorder="0" applyAlignment="0" applyProtection="0"/>
    <xf numFmtId="0" fontId="4" fillId="0" borderId="4" applyNumberFormat="0" applyFont="0" applyBorder="0" applyAlignment="0" applyProtection="0"/>
    <xf numFmtId="0" fontId="4" fillId="0" borderId="4" applyNumberFormat="0" applyFont="0" applyBorder="0" applyAlignment="0" applyProtection="0"/>
    <xf numFmtId="0" fontId="4" fillId="0" borderId="4" applyNumberFormat="0" applyFont="0" applyBorder="0" applyAlignment="0" applyProtection="0"/>
    <xf numFmtId="0" fontId="69" fillId="0" borderId="26"/>
    <xf numFmtId="0" fontId="69" fillId="0" borderId="26"/>
    <xf numFmtId="0" fontId="69" fillId="0" borderId="26"/>
    <xf numFmtId="0" fontId="69" fillId="0" borderId="26"/>
    <xf numFmtId="0" fontId="69" fillId="0" borderId="26"/>
    <xf numFmtId="0" fontId="69" fillId="0" borderId="26"/>
    <xf numFmtId="49" fontId="27" fillId="0" borderId="0" applyFill="0" applyBorder="0" applyAlignment="0"/>
    <xf numFmtId="49" fontId="27" fillId="0" borderId="0" applyFill="0" applyBorder="0" applyAlignment="0"/>
    <xf numFmtId="49" fontId="27" fillId="0" borderId="0" applyFill="0" applyBorder="0" applyAlignment="0"/>
    <xf numFmtId="49" fontId="27" fillId="0" borderId="0" applyFill="0" applyBorder="0" applyAlignment="0"/>
    <xf numFmtId="49" fontId="27" fillId="0" borderId="0" applyFill="0" applyBorder="0" applyAlignment="0"/>
    <xf numFmtId="49" fontId="27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13" fillId="0" borderId="0" applyFill="0" applyBorder="0" applyAlignment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15" fillId="0" borderId="28" applyNumberFormat="0" applyFill="0" applyAlignment="0" applyProtection="0"/>
    <xf numFmtId="0" fontId="15" fillId="0" borderId="28" applyNumberFormat="0" applyFill="0" applyAlignment="0" applyProtection="0"/>
    <xf numFmtId="0" fontId="15" fillId="0" borderId="28" applyNumberFormat="0" applyFill="0" applyAlignment="0" applyProtection="0"/>
    <xf numFmtId="0" fontId="15" fillId="0" borderId="28" applyNumberFormat="0" applyFill="0" applyAlignment="0" applyProtection="0"/>
    <xf numFmtId="0" fontId="15" fillId="0" borderId="28" applyNumberFormat="0" applyFill="0" applyAlignment="0" applyProtection="0"/>
    <xf numFmtId="0" fontId="15" fillId="0" borderId="28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73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15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0" fontId="73" fillId="0" borderId="27" applyNumberFormat="0" applyFill="0" applyAlignment="0" applyProtection="0"/>
    <xf numFmtId="16" fontId="69" fillId="0" borderId="0" applyNumberFormat="0" applyFont="0" applyFill="0" applyBorder="0">
      <alignment horizontal="left"/>
    </xf>
    <xf numFmtId="16" fontId="69" fillId="0" borderId="0" applyNumberFormat="0" applyFont="0" applyFill="0" applyBorder="0">
      <alignment horizontal="left"/>
    </xf>
    <xf numFmtId="16" fontId="69" fillId="0" borderId="0" applyNumberFormat="0" applyFont="0" applyFill="0" applyBorder="0">
      <alignment horizontal="left"/>
    </xf>
    <xf numFmtId="16" fontId="69" fillId="0" borderId="0" applyNumberFormat="0" applyFont="0" applyFill="0" applyBorder="0">
      <alignment horizontal="left"/>
    </xf>
    <xf numFmtId="16" fontId="69" fillId="0" borderId="0" applyNumberFormat="0" applyFont="0" applyFill="0" applyBorder="0">
      <alignment horizontal="left"/>
    </xf>
    <xf numFmtId="16" fontId="69" fillId="0" borderId="0" applyNumberFormat="0" applyFont="0" applyFill="0" applyBorder="0">
      <alignment horizontal="left"/>
    </xf>
    <xf numFmtId="182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1" fontId="3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ill="0" applyBorder="0" applyAlignment="0" applyProtection="0"/>
    <xf numFmtId="43" fontId="13" fillId="0" borderId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ill="0" applyBorder="0" applyAlignment="0" applyProtection="0"/>
    <xf numFmtId="43" fontId="13" fillId="0" borderId="0" applyFill="0" applyBorder="0" applyAlignment="0" applyProtection="0"/>
    <xf numFmtId="43" fontId="4" fillId="0" borderId="0" applyFont="0" applyFill="0" applyBorder="0" applyAlignment="0" applyProtection="0"/>
    <xf numFmtId="43" fontId="13" fillId="0" borderId="0" applyFill="0" applyBorder="0" applyAlignment="0" applyProtection="0"/>
    <xf numFmtId="43" fontId="1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3" fillId="0" borderId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" fillId="0" borderId="0" applyFont="0" applyFill="0" applyBorder="0" applyAlignment="0" applyProtection="0"/>
    <xf numFmtId="0" fontId="13" fillId="0" borderId="0"/>
  </cellStyleXfs>
  <cellXfs count="882">
    <xf numFmtId="0" fontId="0" fillId="0" borderId="0" xfId="0"/>
    <xf numFmtId="0" fontId="5" fillId="2" borderId="0" xfId="1" applyFont="1" applyFill="1" applyAlignment="1">
      <alignment horizontal="left"/>
    </xf>
    <xf numFmtId="0" fontId="6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/>
    </xf>
    <xf numFmtId="0" fontId="7" fillId="2" borderId="0" xfId="1" applyFont="1" applyFill="1" applyAlignment="1"/>
    <xf numFmtId="164" fontId="8" fillId="2" borderId="0" xfId="1" applyNumberFormat="1" applyFont="1" applyFill="1" applyAlignment="1"/>
    <xf numFmtId="0" fontId="6" fillId="2" borderId="0" xfId="1" applyFont="1" applyFill="1"/>
    <xf numFmtId="168" fontId="6" fillId="2" borderId="0" xfId="1" applyNumberFormat="1" applyFont="1" applyFill="1"/>
    <xf numFmtId="169" fontId="6" fillId="2" borderId="0" xfId="1" applyNumberFormat="1" applyFont="1" applyFill="1"/>
    <xf numFmtId="168" fontId="6" fillId="2" borderId="0" xfId="1" applyNumberFormat="1" applyFont="1" applyFill="1" applyAlignment="1">
      <alignment horizontal="center"/>
    </xf>
    <xf numFmtId="0" fontId="6" fillId="2" borderId="0" xfId="1" applyFont="1" applyFill="1" applyAlignment="1">
      <alignment horizontal="center" wrapText="1"/>
    </xf>
    <xf numFmtId="0" fontId="6" fillId="2" borderId="0" xfId="1" applyNumberFormat="1" applyFont="1" applyFill="1" applyAlignment="1">
      <alignment horizontal="left"/>
    </xf>
    <xf numFmtId="0" fontId="6" fillId="2" borderId="0" xfId="1" applyFont="1" applyFill="1" applyAlignment="1"/>
    <xf numFmtId="168" fontId="6" fillId="2" borderId="0" xfId="1" applyNumberFormat="1" applyFont="1" applyFill="1" applyAlignment="1">
      <alignment horizontal="left"/>
    </xf>
    <xf numFmtId="0" fontId="6" fillId="2" borderId="0" xfId="1" applyFont="1" applyFill="1" applyAlignment="1">
      <alignment horizontal="left"/>
    </xf>
    <xf numFmtId="0" fontId="6" fillId="2" borderId="0" xfId="1" applyFont="1" applyFill="1" applyAlignment="1">
      <alignment wrapText="1"/>
    </xf>
    <xf numFmtId="0" fontId="9" fillId="2" borderId="0" xfId="1" applyFont="1" applyFill="1" applyAlignment="1">
      <alignment horizontal="center"/>
    </xf>
    <xf numFmtId="0" fontId="6" fillId="3" borderId="0" xfId="1" applyFont="1" applyFill="1"/>
    <xf numFmtId="0" fontId="10" fillId="3" borderId="0" xfId="1" applyFont="1" applyFill="1" applyAlignment="1">
      <alignment horizontal="center" vertical="center"/>
    </xf>
    <xf numFmtId="0" fontId="7" fillId="2" borderId="0" xfId="1" applyFont="1" applyFill="1" applyBorder="1" applyAlignment="1"/>
    <xf numFmtId="0" fontId="6" fillId="2" borderId="0" xfId="1" applyFont="1" applyFill="1" applyBorder="1" applyAlignment="1"/>
    <xf numFmtId="0" fontId="6" fillId="2" borderId="0" xfId="1" applyFont="1" applyFill="1" applyBorder="1" applyAlignment="1">
      <alignment horizontal="center"/>
    </xf>
    <xf numFmtId="0" fontId="6" fillId="2" borderId="0" xfId="1" applyFont="1" applyFill="1" applyBorder="1"/>
    <xf numFmtId="168" fontId="6" fillId="2" borderId="0" xfId="1" applyNumberFormat="1" applyFont="1" applyFill="1" applyBorder="1"/>
    <xf numFmtId="169" fontId="6" fillId="2" borderId="0" xfId="1" applyNumberFormat="1" applyFont="1" applyFill="1" applyBorder="1"/>
    <xf numFmtId="168" fontId="6" fillId="2" borderId="0" xfId="1" applyNumberFormat="1" applyFont="1" applyFill="1" applyBorder="1" applyAlignment="1">
      <alignment horizontal="center"/>
    </xf>
    <xf numFmtId="0" fontId="6" fillId="4" borderId="0" xfId="1" applyFont="1" applyFill="1" applyBorder="1"/>
    <xf numFmtId="168" fontId="6" fillId="2" borderId="0" xfId="1" applyNumberFormat="1" applyFont="1" applyFill="1" applyBorder="1" applyAlignment="1">
      <alignment horizontal="left"/>
    </xf>
    <xf numFmtId="0" fontId="6" fillId="2" borderId="0" xfId="1" applyFont="1" applyFill="1" applyBorder="1" applyAlignment="1">
      <alignment horizontal="left"/>
    </xf>
    <xf numFmtId="0" fontId="6" fillId="2" borderId="0" xfId="1" applyFont="1" applyFill="1" applyBorder="1" applyAlignment="1">
      <alignment horizontal="center" wrapText="1"/>
    </xf>
    <xf numFmtId="0" fontId="6" fillId="2" borderId="0" xfId="1" applyFont="1" applyFill="1" applyBorder="1" applyAlignment="1">
      <alignment wrapText="1"/>
    </xf>
    <xf numFmtId="0" fontId="6" fillId="3" borderId="0" xfId="1" applyFont="1" applyFill="1" applyBorder="1"/>
    <xf numFmtId="0" fontId="10" fillId="3" borderId="0" xfId="1" applyFont="1" applyFill="1" applyBorder="1" applyAlignment="1">
      <alignment horizontal="center" vertical="center"/>
    </xf>
    <xf numFmtId="0" fontId="3" fillId="3" borderId="0" xfId="5" applyFont="1" applyFill="1" applyAlignment="1">
      <alignment horizontal="center" vertical="center"/>
    </xf>
    <xf numFmtId="49" fontId="16" fillId="5" borderId="8" xfId="4" applyNumberFormat="1" applyFont="1" applyFill="1" applyBorder="1" applyAlignment="1">
      <alignment horizontal="left" vertical="center"/>
    </xf>
    <xf numFmtId="49" fontId="16" fillId="5" borderId="8" xfId="4" applyNumberFormat="1" applyFont="1" applyFill="1" applyBorder="1" applyAlignment="1">
      <alignment horizontal="center" vertical="center"/>
    </xf>
    <xf numFmtId="0" fontId="17" fillId="2" borderId="4" xfId="5" applyFont="1" applyFill="1" applyBorder="1" applyAlignment="1">
      <alignment horizontal="center" vertical="center"/>
    </xf>
    <xf numFmtId="0" fontId="17" fillId="2" borderId="4" xfId="5" applyFont="1" applyFill="1" applyBorder="1" applyAlignment="1">
      <alignment vertical="center"/>
    </xf>
    <xf numFmtId="0" fontId="17" fillId="2" borderId="13" xfId="5" applyFont="1" applyFill="1" applyBorder="1" applyAlignment="1">
      <alignment horizontal="center" vertical="center"/>
    </xf>
    <xf numFmtId="0" fontId="17" fillId="2" borderId="13" xfId="1" applyFont="1" applyFill="1" applyBorder="1" applyAlignment="1">
      <alignment horizontal="center" vertical="center"/>
    </xf>
    <xf numFmtId="172" fontId="17" fillId="2" borderId="13" xfId="5" applyNumberFormat="1" applyFont="1" applyFill="1" applyBorder="1" applyAlignment="1">
      <alignment horizontal="center" vertical="center"/>
    </xf>
    <xf numFmtId="1" fontId="17" fillId="2" borderId="4" xfId="5" applyNumberFormat="1" applyFont="1" applyFill="1" applyBorder="1" applyAlignment="1">
      <alignment horizontal="center" vertical="center"/>
    </xf>
    <xf numFmtId="172" fontId="17" fillId="2" borderId="4" xfId="5" applyNumberFormat="1" applyFont="1" applyFill="1" applyBorder="1" applyAlignment="1">
      <alignment horizontal="center" vertical="center"/>
    </xf>
    <xf numFmtId="172" fontId="17" fillId="2" borderId="4" xfId="5" quotePrefix="1" applyNumberFormat="1" applyFont="1" applyFill="1" applyBorder="1" applyAlignment="1">
      <alignment horizontal="center" vertical="center"/>
    </xf>
    <xf numFmtId="0" fontId="17" fillId="2" borderId="4" xfId="5" applyFont="1" applyFill="1" applyBorder="1" applyAlignment="1">
      <alignment horizontal="left" vertical="center"/>
    </xf>
    <xf numFmtId="0" fontId="17" fillId="2" borderId="4" xfId="5" quotePrefix="1" applyFont="1" applyFill="1" applyBorder="1" applyAlignment="1">
      <alignment horizontal="center" vertical="center"/>
    </xf>
    <xf numFmtId="0" fontId="17" fillId="2" borderId="4" xfId="5" quotePrefix="1" applyFont="1" applyFill="1" applyBorder="1" applyAlignment="1">
      <alignment horizontal="left" vertical="center"/>
    </xf>
    <xf numFmtId="49" fontId="17" fillId="2" borderId="4" xfId="5" applyNumberFormat="1" applyFont="1" applyFill="1" applyBorder="1" applyAlignment="1">
      <alignment horizontal="center" vertical="center"/>
    </xf>
    <xf numFmtId="168" fontId="17" fillId="2" borderId="4" xfId="5" applyNumberFormat="1" applyFont="1" applyFill="1" applyBorder="1" applyAlignment="1">
      <alignment horizontal="center" vertical="center"/>
    </xf>
    <xf numFmtId="0" fontId="18" fillId="3" borderId="4" xfId="1" applyFont="1" applyFill="1" applyBorder="1" applyAlignment="1">
      <alignment horizontal="center" vertical="center"/>
    </xf>
    <xf numFmtId="49" fontId="19" fillId="5" borderId="8" xfId="4" applyNumberFormat="1" applyFont="1" applyFill="1" applyBorder="1" applyAlignment="1">
      <alignment horizontal="center" vertical="center"/>
    </xf>
    <xf numFmtId="0" fontId="17" fillId="0" borderId="4" xfId="5" applyFont="1" applyFill="1" applyBorder="1" applyAlignment="1">
      <alignment horizontal="center" vertical="center"/>
    </xf>
    <xf numFmtId="0" fontId="17" fillId="0" borderId="5" xfId="5" applyFont="1" applyFill="1" applyBorder="1" applyAlignment="1">
      <alignment horizontal="center" vertical="center"/>
    </xf>
    <xf numFmtId="49" fontId="17" fillId="0" borderId="4" xfId="5" applyNumberFormat="1" applyFont="1" applyFill="1" applyBorder="1" applyAlignment="1">
      <alignment horizontal="left" vertical="center"/>
    </xf>
    <xf numFmtId="0" fontId="17" fillId="0" borderId="4" xfId="5" applyFont="1" applyFill="1" applyBorder="1" applyAlignment="1">
      <alignment vertical="center"/>
    </xf>
    <xf numFmtId="0" fontId="17" fillId="0" borderId="13" xfId="5" applyFont="1" applyFill="1" applyBorder="1" applyAlignment="1">
      <alignment horizontal="center" vertical="center"/>
    </xf>
    <xf numFmtId="172" fontId="17" fillId="0" borderId="13" xfId="5" applyNumberFormat="1" applyFont="1" applyFill="1" applyBorder="1" applyAlignment="1">
      <alignment horizontal="center" vertical="center"/>
    </xf>
    <xf numFmtId="1" fontId="17" fillId="0" borderId="4" xfId="5" applyNumberFormat="1" applyFont="1" applyFill="1" applyBorder="1" applyAlignment="1">
      <alignment horizontal="center" vertical="center"/>
    </xf>
    <xf numFmtId="172" fontId="17" fillId="0" borderId="4" xfId="5" applyNumberFormat="1" applyFont="1" applyFill="1" applyBorder="1" applyAlignment="1">
      <alignment horizontal="center" vertical="center"/>
    </xf>
    <xf numFmtId="0" fontId="17" fillId="0" borderId="13" xfId="5" applyFont="1" applyFill="1" applyBorder="1" applyAlignment="1">
      <alignment horizontal="left" vertical="center"/>
    </xf>
    <xf numFmtId="0" fontId="17" fillId="0" borderId="4" xfId="5" applyFont="1" applyFill="1" applyBorder="1" applyAlignment="1">
      <alignment horizontal="left" vertical="center"/>
    </xf>
    <xf numFmtId="168" fontId="17" fillId="0" borderId="4" xfId="5" applyNumberFormat="1" applyFont="1" applyFill="1" applyBorder="1" applyAlignment="1">
      <alignment horizontal="center" vertical="center"/>
    </xf>
    <xf numFmtId="0" fontId="17" fillId="0" borderId="4" xfId="5" quotePrefix="1" applyFont="1" applyFill="1" applyBorder="1" applyAlignment="1">
      <alignment horizontal="left" vertical="center"/>
    </xf>
    <xf numFmtId="49" fontId="17" fillId="0" borderId="4" xfId="5" applyNumberFormat="1" applyFont="1" applyFill="1" applyBorder="1" applyAlignment="1">
      <alignment horizontal="center" vertical="center"/>
    </xf>
    <xf numFmtId="0" fontId="18" fillId="0" borderId="4" xfId="1" applyFont="1" applyFill="1" applyBorder="1" applyAlignment="1">
      <alignment horizontal="center" vertical="center"/>
    </xf>
    <xf numFmtId="0" fontId="10" fillId="0" borderId="0" xfId="1" applyFont="1" applyFill="1" applyAlignment="1">
      <alignment horizontal="center" vertical="center"/>
    </xf>
    <xf numFmtId="172" fontId="17" fillId="0" borderId="13" xfId="5" quotePrefix="1" applyNumberFormat="1" applyFont="1" applyFill="1" applyBorder="1" applyAlignment="1">
      <alignment horizontal="center" vertical="center"/>
    </xf>
    <xf numFmtId="172" fontId="17" fillId="0" borderId="13" xfId="5" quotePrefix="1" applyNumberFormat="1" applyFont="1" applyFill="1" applyBorder="1" applyAlignment="1">
      <alignment horizontal="left" vertical="center"/>
    </xf>
    <xf numFmtId="0" fontId="20" fillId="0" borderId="4" xfId="3" applyFont="1" applyFill="1" applyBorder="1" applyAlignment="1" applyProtection="1">
      <alignment horizontal="center" vertical="center"/>
    </xf>
    <xf numFmtId="172" fontId="17" fillId="0" borderId="13" xfId="5" applyNumberFormat="1" applyFont="1" applyFill="1" applyBorder="1" applyAlignment="1">
      <alignment horizontal="left" vertical="center"/>
    </xf>
    <xf numFmtId="49" fontId="17" fillId="0" borderId="4" xfId="5" quotePrefix="1" applyNumberFormat="1" applyFont="1" applyFill="1" applyBorder="1" applyAlignment="1">
      <alignment horizontal="center" vertical="center"/>
    </xf>
    <xf numFmtId="0" fontId="17" fillId="0" borderId="4" xfId="5" quotePrefix="1" applyFont="1" applyFill="1" applyBorder="1" applyAlignment="1">
      <alignment horizontal="center" vertical="center"/>
    </xf>
    <xf numFmtId="49" fontId="17" fillId="0" borderId="5" xfId="5" applyNumberFormat="1" applyFont="1" applyFill="1" applyBorder="1" applyAlignment="1">
      <alignment horizontal="left" vertical="center"/>
    </xf>
    <xf numFmtId="0" fontId="16" fillId="0" borderId="4" xfId="5" applyFont="1" applyFill="1" applyBorder="1" applyAlignment="1">
      <alignment horizontal="center" vertical="center"/>
    </xf>
    <xf numFmtId="49" fontId="17" fillId="0" borderId="13" xfId="5" applyNumberFormat="1" applyFont="1" applyFill="1" applyBorder="1" applyAlignment="1">
      <alignment horizontal="center" vertical="center"/>
    </xf>
    <xf numFmtId="49" fontId="17" fillId="0" borderId="13" xfId="7" quotePrefix="1" applyNumberFormat="1" applyFont="1" applyFill="1" applyBorder="1" applyAlignment="1">
      <alignment horizontal="center" vertical="center"/>
    </xf>
    <xf numFmtId="171" fontId="6" fillId="2" borderId="1" xfId="1" applyNumberFormat="1" applyFont="1" applyFill="1" applyBorder="1" applyAlignment="1">
      <alignment horizontal="center"/>
    </xf>
    <xf numFmtId="184" fontId="17" fillId="2" borderId="4" xfId="5" applyNumberFormat="1" applyFont="1" applyFill="1" applyBorder="1" applyAlignment="1">
      <alignment horizontal="center" vertical="center"/>
    </xf>
    <xf numFmtId="0" fontId="6" fillId="2" borderId="0" xfId="1" applyFont="1" applyFill="1" applyBorder="1" applyAlignment="1">
      <alignment horizontal="center" vertical="center"/>
    </xf>
    <xf numFmtId="173" fontId="14" fillId="34" borderId="4" xfId="4" applyNumberFormat="1" applyFont="1" applyFill="1" applyBorder="1" applyAlignment="1">
      <alignment horizontal="center" vertical="center"/>
    </xf>
    <xf numFmtId="172" fontId="14" fillId="34" borderId="2" xfId="4" applyNumberFormat="1" applyFont="1" applyFill="1" applyBorder="1" applyAlignment="1">
      <alignment horizontal="center" vertical="center"/>
    </xf>
    <xf numFmtId="0" fontId="14" fillId="34" borderId="5" xfId="4" applyFont="1" applyFill="1" applyBorder="1" applyAlignment="1">
      <alignment horizontal="center" vertical="center"/>
    </xf>
    <xf numFmtId="0" fontId="76" fillId="0" borderId="4" xfId="3" applyFont="1" applyFill="1" applyBorder="1" applyAlignment="1" applyProtection="1">
      <alignment horizontal="center" vertical="center"/>
    </xf>
    <xf numFmtId="49" fontId="17" fillId="2" borderId="4" xfId="5" quotePrefix="1" applyNumberFormat="1" applyFont="1" applyFill="1" applyBorder="1" applyAlignment="1">
      <alignment horizontal="center" vertical="center"/>
    </xf>
    <xf numFmtId="49" fontId="17" fillId="0" borderId="5" xfId="5" applyNumberFormat="1" applyFont="1" applyFill="1" applyBorder="1" applyAlignment="1">
      <alignment horizontal="center" vertical="center"/>
    </xf>
    <xf numFmtId="49" fontId="17" fillId="0" borderId="13" xfId="6" applyNumberFormat="1" applyFont="1" applyFill="1" applyBorder="1" applyAlignment="1">
      <alignment horizontal="center" vertical="center" wrapText="1"/>
    </xf>
    <xf numFmtId="0" fontId="76" fillId="0" borderId="4" xfId="3" quotePrefix="1" applyNumberFormat="1" applyFont="1" applyFill="1" applyBorder="1" applyAlignment="1" applyProtection="1">
      <alignment horizontal="center" vertical="center"/>
    </xf>
    <xf numFmtId="0" fontId="76" fillId="0" borderId="4" xfId="3" applyNumberFormat="1" applyFont="1" applyFill="1" applyBorder="1" applyAlignment="1" applyProtection="1">
      <alignment horizontal="center" vertical="center"/>
    </xf>
    <xf numFmtId="0" fontId="18" fillId="0" borderId="4" xfId="1" applyNumberFormat="1" applyFont="1" applyFill="1" applyBorder="1" applyAlignment="1">
      <alignment horizontal="center" vertical="center"/>
    </xf>
    <xf numFmtId="171" fontId="6" fillId="2" borderId="0" xfId="1" applyNumberFormat="1" applyFont="1" applyFill="1" applyBorder="1" applyAlignment="1">
      <alignment horizontal="center"/>
    </xf>
    <xf numFmtId="0" fontId="17" fillId="0" borderId="34" xfId="5" applyFont="1" applyFill="1" applyBorder="1" applyAlignment="1">
      <alignment horizontal="center" vertical="center"/>
    </xf>
    <xf numFmtId="0" fontId="10" fillId="0" borderId="4" xfId="1" applyFont="1" applyFill="1" applyBorder="1" applyAlignment="1">
      <alignment horizontal="center" vertical="center"/>
    </xf>
    <xf numFmtId="185" fontId="17" fillId="0" borderId="4" xfId="5" quotePrefix="1" applyNumberFormat="1" applyFont="1" applyFill="1" applyBorder="1" applyAlignment="1">
      <alignment horizontal="center" vertical="center"/>
    </xf>
    <xf numFmtId="0" fontId="17" fillId="0" borderId="4" xfId="5" quotePrefix="1" applyNumberFormat="1" applyFont="1" applyFill="1" applyBorder="1" applyAlignment="1">
      <alignment horizontal="center" vertical="center"/>
    </xf>
    <xf numFmtId="0" fontId="17" fillId="0" borderId="37" xfId="5" applyFont="1" applyFill="1" applyBorder="1" applyAlignment="1">
      <alignment horizontal="center" vertical="center"/>
    </xf>
    <xf numFmtId="0" fontId="10" fillId="0" borderId="30" xfId="1" applyFont="1" applyFill="1" applyBorder="1" applyAlignment="1">
      <alignment horizontal="center" vertical="center"/>
    </xf>
    <xf numFmtId="49" fontId="17" fillId="0" borderId="30" xfId="5" applyNumberFormat="1" applyFont="1" applyFill="1" applyBorder="1" applyAlignment="1">
      <alignment horizontal="left" vertical="center"/>
    </xf>
    <xf numFmtId="172" fontId="17" fillId="0" borderId="30" xfId="5" applyNumberFormat="1" applyFont="1" applyFill="1" applyBorder="1" applyAlignment="1">
      <alignment horizontal="center" vertical="center"/>
    </xf>
    <xf numFmtId="185" fontId="17" fillId="0" borderId="30" xfId="5" quotePrefix="1" applyNumberFormat="1" applyFont="1" applyFill="1" applyBorder="1" applyAlignment="1">
      <alignment horizontal="center" vertical="center"/>
    </xf>
    <xf numFmtId="0" fontId="17" fillId="0" borderId="30" xfId="5" quotePrefix="1" applyNumberFormat="1" applyFont="1" applyFill="1" applyBorder="1" applyAlignment="1">
      <alignment horizontal="center" vertical="center"/>
    </xf>
    <xf numFmtId="172" fontId="17" fillId="0" borderId="38" xfId="5" quotePrefix="1" applyNumberFormat="1" applyFont="1" applyFill="1" applyBorder="1" applyAlignment="1">
      <alignment horizontal="center" vertical="center"/>
    </xf>
    <xf numFmtId="172" fontId="17" fillId="0" borderId="39" xfId="5" quotePrefix="1" applyNumberFormat="1" applyFont="1" applyFill="1" applyBorder="1" applyAlignment="1">
      <alignment horizontal="center" vertical="center"/>
    </xf>
    <xf numFmtId="49" fontId="19" fillId="5" borderId="4" xfId="4" applyNumberFormat="1" applyFont="1" applyFill="1" applyBorder="1" applyAlignment="1">
      <alignment horizontal="center" vertical="center"/>
    </xf>
    <xf numFmtId="49" fontId="17" fillId="0" borderId="13" xfId="5" quotePrefix="1" applyNumberFormat="1" applyFont="1" applyFill="1" applyBorder="1" applyAlignment="1">
      <alignment horizontal="center" vertical="center"/>
    </xf>
    <xf numFmtId="0" fontId="0" fillId="0" borderId="5" xfId="0" quotePrefix="1" applyFont="1" applyBorder="1" applyAlignment="1">
      <alignment horizontal="center"/>
    </xf>
    <xf numFmtId="0" fontId="77" fillId="35" borderId="13" xfId="5" applyFont="1" applyFill="1" applyBorder="1" applyAlignment="1">
      <alignment horizontal="center" vertical="center"/>
    </xf>
    <xf numFmtId="49" fontId="17" fillId="0" borderId="13" xfId="5" applyNumberFormat="1" applyFont="1" applyFill="1" applyBorder="1" applyAlignment="1">
      <alignment horizontal="left" vertical="center"/>
    </xf>
    <xf numFmtId="0" fontId="17" fillId="0" borderId="13" xfId="5" applyFont="1" applyFill="1" applyBorder="1" applyAlignment="1">
      <alignment vertical="center"/>
    </xf>
    <xf numFmtId="1" fontId="17" fillId="0" borderId="13" xfId="5" applyNumberFormat="1" applyFont="1" applyFill="1" applyBorder="1" applyAlignment="1">
      <alignment horizontal="center" vertical="center"/>
    </xf>
    <xf numFmtId="184" fontId="17" fillId="2" borderId="13" xfId="5" applyNumberFormat="1" applyFont="1" applyFill="1" applyBorder="1" applyAlignment="1">
      <alignment horizontal="center" vertical="center"/>
    </xf>
    <xf numFmtId="168" fontId="17" fillId="0" borderId="13" xfId="5" applyNumberFormat="1" applyFont="1" applyFill="1" applyBorder="1" applyAlignment="1">
      <alignment horizontal="center" vertical="center"/>
    </xf>
    <xf numFmtId="0" fontId="17" fillId="0" borderId="13" xfId="5" quotePrefix="1" applyFont="1" applyFill="1" applyBorder="1" applyAlignment="1">
      <alignment horizontal="left" vertical="center"/>
    </xf>
    <xf numFmtId="0" fontId="76" fillId="0" borderId="13" xfId="3" applyFont="1" applyFill="1" applyBorder="1" applyAlignment="1" applyProtection="1">
      <alignment horizontal="center" vertical="center"/>
    </xf>
    <xf numFmtId="49" fontId="17" fillId="36" borderId="4" xfId="5" applyNumberFormat="1" applyFont="1" applyFill="1" applyBorder="1" applyAlignment="1">
      <alignment horizontal="left" vertical="center"/>
    </xf>
    <xf numFmtId="0" fontId="0" fillId="0" borderId="0" xfId="0" quotePrefix="1" applyFont="1" applyAlignment="1">
      <alignment horizontal="center" vertical="center"/>
    </xf>
    <xf numFmtId="49" fontId="78" fillId="0" borderId="4" xfId="5" applyNumberFormat="1" applyFont="1" applyFill="1" applyBorder="1" applyAlignment="1">
      <alignment horizontal="left" vertical="center"/>
    </xf>
    <xf numFmtId="49" fontId="2" fillId="0" borderId="4" xfId="5" applyNumberFormat="1" applyFont="1" applyFill="1" applyBorder="1" applyAlignment="1">
      <alignment horizontal="left" vertical="center"/>
    </xf>
    <xf numFmtId="184" fontId="2" fillId="2" borderId="4" xfId="5" applyNumberFormat="1" applyFont="1" applyFill="1" applyBorder="1" applyAlignment="1">
      <alignment horizontal="center" vertical="center"/>
    </xf>
    <xf numFmtId="0" fontId="17" fillId="38" borderId="4" xfId="5" applyFont="1" applyFill="1" applyBorder="1" applyAlignment="1">
      <alignment horizontal="center" vertical="center"/>
    </xf>
    <xf numFmtId="172" fontId="17" fillId="38" borderId="4" xfId="5" applyNumberFormat="1" applyFont="1" applyFill="1" applyBorder="1" applyAlignment="1">
      <alignment horizontal="center" vertical="center"/>
    </xf>
    <xf numFmtId="0" fontId="17" fillId="38" borderId="4" xfId="5" applyFont="1" applyFill="1" applyBorder="1" applyAlignment="1">
      <alignment horizontal="left" vertical="center"/>
    </xf>
    <xf numFmtId="0" fontId="17" fillId="38" borderId="4" xfId="5" quotePrefix="1" applyFont="1" applyFill="1" applyBorder="1" applyAlignment="1">
      <alignment horizontal="left" vertical="center"/>
    </xf>
    <xf numFmtId="0" fontId="10" fillId="38" borderId="0" xfId="1" applyFont="1" applyFill="1" applyAlignment="1">
      <alignment horizontal="center" vertical="center"/>
    </xf>
    <xf numFmtId="172" fontId="17" fillId="38" borderId="13" xfId="5" quotePrefix="1" applyNumberFormat="1" applyFont="1" applyFill="1" applyBorder="1" applyAlignment="1">
      <alignment horizontal="center" vertical="center"/>
    </xf>
    <xf numFmtId="172" fontId="17" fillId="0" borderId="5" xfId="5" applyNumberFormat="1" applyFont="1" applyFill="1" applyBorder="1" applyAlignment="1">
      <alignment horizontal="center" vertical="center"/>
    </xf>
    <xf numFmtId="185" fontId="17" fillId="0" borderId="5" xfId="5" quotePrefix="1" applyNumberFormat="1" applyFont="1" applyFill="1" applyBorder="1" applyAlignment="1">
      <alignment horizontal="center" vertical="center"/>
    </xf>
    <xf numFmtId="0" fontId="17" fillId="0" borderId="5" xfId="5" quotePrefix="1" applyNumberFormat="1" applyFont="1" applyFill="1" applyBorder="1" applyAlignment="1">
      <alignment horizontal="center" vertical="center"/>
    </xf>
    <xf numFmtId="172" fontId="17" fillId="0" borderId="41" xfId="5" quotePrefix="1" applyNumberFormat="1" applyFont="1" applyFill="1" applyBorder="1" applyAlignment="1">
      <alignment horizontal="center" vertical="center"/>
    </xf>
    <xf numFmtId="49" fontId="16" fillId="37" borderId="8" xfId="4" applyNumberFormat="1" applyFont="1" applyFill="1" applyBorder="1" applyAlignment="1">
      <alignment horizontal="left" vertical="center"/>
    </xf>
    <xf numFmtId="49" fontId="16" fillId="37" borderId="8" xfId="4" applyNumberFormat="1" applyFont="1" applyFill="1" applyBorder="1" applyAlignment="1">
      <alignment horizontal="center" vertical="center"/>
    </xf>
    <xf numFmtId="49" fontId="19" fillId="37" borderId="8" xfId="4" applyNumberFormat="1" applyFont="1" applyFill="1" applyBorder="1" applyAlignment="1">
      <alignment horizontal="center" vertical="center"/>
    </xf>
    <xf numFmtId="184" fontId="17" fillId="0" borderId="4" xfId="5" applyNumberFormat="1" applyFont="1" applyFill="1" applyBorder="1" applyAlignment="1">
      <alignment horizontal="center" vertical="center"/>
    </xf>
    <xf numFmtId="49" fontId="16" fillId="5" borderId="13" xfId="4" applyNumberFormat="1" applyFont="1" applyFill="1" applyBorder="1" applyAlignment="1">
      <alignment horizontal="left" vertical="center"/>
    </xf>
    <xf numFmtId="49" fontId="16" fillId="5" borderId="13" xfId="4" applyNumberFormat="1" applyFont="1" applyFill="1" applyBorder="1" applyAlignment="1">
      <alignment horizontal="center" vertical="center"/>
    </xf>
    <xf numFmtId="49" fontId="0" fillId="0" borderId="4" xfId="5" applyNumberFormat="1" applyFont="1" applyFill="1" applyBorder="1" applyAlignment="1">
      <alignment horizontal="left" vertical="center"/>
    </xf>
    <xf numFmtId="0" fontId="6" fillId="0" borderId="0" xfId="1" applyFont="1" applyFill="1"/>
    <xf numFmtId="0" fontId="6" fillId="0" borderId="0" xfId="1" applyFont="1" applyFill="1" applyBorder="1"/>
    <xf numFmtId="0" fontId="3" fillId="0" borderId="0" xfId="5" applyFont="1" applyFill="1" applyAlignment="1">
      <alignment horizontal="center" vertical="center"/>
    </xf>
    <xf numFmtId="49" fontId="17" fillId="40" borderId="4" xfId="5" applyNumberFormat="1" applyFont="1" applyFill="1" applyBorder="1" applyAlignment="1">
      <alignment horizontal="left" vertical="center"/>
    </xf>
    <xf numFmtId="49" fontId="17" fillId="40" borderId="13" xfId="5" quotePrefix="1" applyNumberFormat="1" applyFont="1" applyFill="1" applyBorder="1" applyAlignment="1">
      <alignment horizontal="center" vertical="center"/>
    </xf>
    <xf numFmtId="49" fontId="17" fillId="40" borderId="4" xfId="5" quotePrefix="1" applyNumberFormat="1" applyFont="1" applyFill="1" applyBorder="1" applyAlignment="1">
      <alignment horizontal="center" vertical="center"/>
    </xf>
    <xf numFmtId="0" fontId="17" fillId="40" borderId="4" xfId="5" applyFont="1" applyFill="1" applyBorder="1" applyAlignment="1">
      <alignment horizontal="center" vertical="center"/>
    </xf>
    <xf numFmtId="0" fontId="17" fillId="40" borderId="13" xfId="5" applyFont="1" applyFill="1" applyBorder="1" applyAlignment="1">
      <alignment horizontal="center" vertical="center"/>
    </xf>
    <xf numFmtId="172" fontId="17" fillId="40" borderId="13" xfId="5" applyNumberFormat="1" applyFont="1" applyFill="1" applyBorder="1" applyAlignment="1">
      <alignment horizontal="center" vertical="center"/>
    </xf>
    <xf numFmtId="1" fontId="17" fillId="40" borderId="13" xfId="5" applyNumberFormat="1" applyFont="1" applyFill="1" applyBorder="1" applyAlignment="1">
      <alignment horizontal="center" vertical="center"/>
    </xf>
    <xf numFmtId="172" fontId="17" fillId="40" borderId="4" xfId="5" applyNumberFormat="1" applyFont="1" applyFill="1" applyBorder="1" applyAlignment="1">
      <alignment horizontal="center" vertical="center"/>
    </xf>
    <xf numFmtId="184" fontId="17" fillId="40" borderId="4" xfId="5" applyNumberFormat="1" applyFont="1" applyFill="1" applyBorder="1" applyAlignment="1">
      <alignment horizontal="center" vertical="center"/>
    </xf>
    <xf numFmtId="172" fontId="17" fillId="40" borderId="13" xfId="5" quotePrefix="1" applyNumberFormat="1" applyFont="1" applyFill="1" applyBorder="1" applyAlignment="1">
      <alignment horizontal="center" vertical="center"/>
    </xf>
    <xf numFmtId="184" fontId="17" fillId="3" borderId="4" xfId="5" applyNumberFormat="1" applyFont="1" applyFill="1" applyBorder="1" applyAlignment="1">
      <alignment horizontal="center" vertical="center"/>
    </xf>
    <xf numFmtId="0" fontId="17" fillId="40" borderId="4" xfId="5" applyFont="1" applyFill="1" applyBorder="1" applyAlignment="1">
      <alignment horizontal="left" vertical="center"/>
    </xf>
    <xf numFmtId="49" fontId="17" fillId="40" borderId="4" xfId="5" applyNumberFormat="1" applyFont="1" applyFill="1" applyBorder="1" applyAlignment="1">
      <alignment horizontal="center" vertical="center"/>
    </xf>
    <xf numFmtId="0" fontId="0" fillId="40" borderId="5" xfId="0" quotePrefix="1" applyFont="1" applyFill="1" applyBorder="1" applyAlignment="1">
      <alignment horizontal="center"/>
    </xf>
    <xf numFmtId="1" fontId="17" fillId="40" borderId="4" xfId="5" applyNumberFormat="1" applyFont="1" applyFill="1" applyBorder="1" applyAlignment="1">
      <alignment horizontal="center" vertical="center"/>
    </xf>
    <xf numFmtId="0" fontId="17" fillId="40" borderId="13" xfId="5" applyFont="1" applyFill="1" applyBorder="1" applyAlignment="1">
      <alignment horizontal="left" vertical="center"/>
    </xf>
    <xf numFmtId="49" fontId="17" fillId="40" borderId="13" xfId="7" quotePrefix="1" applyNumberFormat="1" applyFont="1" applyFill="1" applyBorder="1" applyAlignment="1">
      <alignment horizontal="center" vertical="center"/>
    </xf>
    <xf numFmtId="0" fontId="20" fillId="0" borderId="13" xfId="3" applyFont="1" applyFill="1" applyBorder="1" applyAlignment="1" applyProtection="1">
      <alignment horizontal="center" vertical="center"/>
    </xf>
    <xf numFmtId="49" fontId="0" fillId="40" borderId="4" xfId="5" applyNumberFormat="1" applyFont="1" applyFill="1" applyBorder="1" applyAlignment="1">
      <alignment horizontal="center" vertical="center"/>
    </xf>
    <xf numFmtId="0" fontId="80" fillId="2" borderId="4" xfId="1" applyFont="1" applyFill="1" applyBorder="1" applyAlignment="1">
      <alignment horizontal="center"/>
    </xf>
    <xf numFmtId="49" fontId="17" fillId="40" borderId="13" xfId="5" applyNumberFormat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/>
    </xf>
    <xf numFmtId="0" fontId="6" fillId="2" borderId="5" xfId="1" applyFont="1" applyFill="1" applyBorder="1" applyAlignment="1">
      <alignment horizontal="center" vertical="center"/>
    </xf>
    <xf numFmtId="0" fontId="77" fillId="35" borderId="10" xfId="5" applyFont="1" applyFill="1" applyBorder="1" applyAlignment="1">
      <alignment horizontal="center" vertical="center"/>
    </xf>
    <xf numFmtId="172" fontId="17" fillId="0" borderId="10" xfId="5" applyNumberFormat="1" applyFont="1" applyFill="1" applyBorder="1" applyAlignment="1">
      <alignment horizontal="center" vertical="center"/>
    </xf>
    <xf numFmtId="168" fontId="6" fillId="2" borderId="5" xfId="1" applyNumberFormat="1" applyFont="1" applyFill="1" applyBorder="1"/>
    <xf numFmtId="0" fontId="17" fillId="0" borderId="10" xfId="5" applyFont="1" applyFill="1" applyBorder="1" applyAlignment="1">
      <alignment horizontal="center" vertical="center"/>
    </xf>
    <xf numFmtId="184" fontId="17" fillId="2" borderId="5" xfId="5" applyNumberFormat="1" applyFont="1" applyFill="1" applyBorder="1" applyAlignment="1">
      <alignment horizontal="center" vertical="center"/>
    </xf>
    <xf numFmtId="0" fontId="17" fillId="0" borderId="5" xfId="5" applyFont="1" applyFill="1" applyBorder="1" applyAlignment="1">
      <alignment horizontal="left" vertical="center"/>
    </xf>
    <xf numFmtId="0" fontId="10" fillId="2" borderId="5" xfId="1" quotePrefix="1" applyFont="1" applyFill="1" applyBorder="1" applyAlignment="1">
      <alignment horizontal="center"/>
    </xf>
    <xf numFmtId="0" fontId="10" fillId="2" borderId="5" xfId="1" applyFont="1" applyFill="1" applyBorder="1" applyAlignment="1">
      <alignment horizontal="left"/>
    </xf>
    <xf numFmtId="0" fontId="6" fillId="2" borderId="5" xfId="1" applyFont="1" applyFill="1" applyBorder="1" applyAlignment="1">
      <alignment wrapText="1"/>
    </xf>
    <xf numFmtId="0" fontId="79" fillId="3" borderId="5" xfId="3" applyFont="1" applyFill="1" applyBorder="1" applyAlignment="1" applyProtection="1">
      <alignment horizontal="center" vertical="center"/>
    </xf>
    <xf numFmtId="0" fontId="10" fillId="0" borderId="4" xfId="1" applyFont="1" applyFill="1" applyBorder="1" applyAlignment="1">
      <alignment horizontal="left" vertical="center"/>
    </xf>
    <xf numFmtId="49" fontId="0" fillId="40" borderId="4" xfId="5" applyNumberFormat="1" applyFont="1" applyFill="1" applyBorder="1" applyAlignment="1">
      <alignment horizontal="left" vertical="center"/>
    </xf>
    <xf numFmtId="0" fontId="0" fillId="0" borderId="4" xfId="0" applyBorder="1"/>
    <xf numFmtId="0" fontId="0" fillId="41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42" fontId="0" fillId="0" borderId="4" xfId="0" applyNumberFormat="1" applyBorder="1"/>
    <xf numFmtId="0" fontId="0" fillId="42" borderId="4" xfId="0" applyFill="1" applyBorder="1" applyAlignment="1">
      <alignment horizontal="center"/>
    </xf>
    <xf numFmtId="49" fontId="17" fillId="42" borderId="4" xfId="5" applyNumberFormat="1" applyFont="1" applyFill="1" applyBorder="1" applyAlignment="1">
      <alignment horizontal="left" vertical="center"/>
    </xf>
    <xf numFmtId="42" fontId="0" fillId="42" borderId="4" xfId="0" applyNumberFormat="1" applyFill="1" applyBorder="1"/>
    <xf numFmtId="0" fontId="17" fillId="0" borderId="13" xfId="5" quotePrefix="1" applyFont="1" applyFill="1" applyBorder="1" applyAlignment="1">
      <alignment horizontal="center" vertical="center"/>
    </xf>
    <xf numFmtId="0" fontId="17" fillId="0" borderId="54" xfId="5" applyFont="1" applyFill="1" applyBorder="1" applyAlignment="1">
      <alignment horizontal="center" vertical="center"/>
    </xf>
    <xf numFmtId="0" fontId="10" fillId="0" borderId="5" xfId="1" applyFont="1" applyFill="1" applyBorder="1" applyAlignment="1">
      <alignment horizontal="center" vertical="center"/>
    </xf>
    <xf numFmtId="0" fontId="10" fillId="3" borderId="4" xfId="1" quotePrefix="1" applyFont="1" applyFill="1" applyBorder="1" applyAlignment="1">
      <alignment horizontal="center"/>
    </xf>
    <xf numFmtId="0" fontId="17" fillId="2" borderId="4" xfId="1" applyFont="1" applyFill="1" applyBorder="1" applyAlignment="1">
      <alignment horizontal="center"/>
    </xf>
    <xf numFmtId="0" fontId="82" fillId="2" borderId="4" xfId="1" applyFont="1" applyFill="1" applyBorder="1" applyAlignment="1"/>
    <xf numFmtId="0" fontId="82" fillId="2" borderId="4" xfId="1" quotePrefix="1" applyFont="1" applyFill="1" applyBorder="1" applyAlignment="1"/>
    <xf numFmtId="0" fontId="10" fillId="40" borderId="0" xfId="1" applyFont="1" applyFill="1" applyAlignment="1">
      <alignment horizontal="center" vertical="center"/>
    </xf>
    <xf numFmtId="0" fontId="82" fillId="2" borderId="4" xfId="1" applyFont="1" applyFill="1" applyBorder="1" applyAlignment="1">
      <alignment horizontal="center"/>
    </xf>
    <xf numFmtId="0" fontId="17" fillId="0" borderId="6" xfId="5" applyFont="1" applyFill="1" applyBorder="1" applyAlignment="1">
      <alignment horizontal="center" vertical="center"/>
    </xf>
    <xf numFmtId="184" fontId="17" fillId="0" borderId="8" xfId="5" applyNumberFormat="1" applyFont="1" applyFill="1" applyBorder="1" applyAlignment="1">
      <alignment horizontal="center" vertical="center"/>
    </xf>
    <xf numFmtId="0" fontId="82" fillId="3" borderId="0" xfId="1" quotePrefix="1" applyFont="1" applyFill="1" applyAlignment="1">
      <alignment horizontal="center"/>
    </xf>
    <xf numFmtId="1" fontId="17" fillId="0" borderId="5" xfId="5" applyNumberFormat="1" applyFont="1" applyFill="1" applyBorder="1" applyAlignment="1">
      <alignment horizontal="center" vertical="center"/>
    </xf>
    <xf numFmtId="0" fontId="17" fillId="3" borderId="4" xfId="4" applyFont="1" applyFill="1" applyBorder="1" applyAlignment="1">
      <alignment horizontal="center" vertical="center"/>
    </xf>
    <xf numFmtId="0" fontId="82" fillId="3" borderId="4" xfId="1" quotePrefix="1" applyFont="1" applyFill="1" applyBorder="1" applyAlignment="1">
      <alignment horizontal="center"/>
    </xf>
    <xf numFmtId="0" fontId="17" fillId="0" borderId="8" xfId="5" applyFont="1" applyFill="1" applyBorder="1" applyAlignment="1">
      <alignment horizontal="center" vertical="center"/>
    </xf>
    <xf numFmtId="1" fontId="17" fillId="0" borderId="8" xfId="5" applyNumberFormat="1" applyFont="1" applyFill="1" applyBorder="1" applyAlignment="1">
      <alignment horizontal="center" vertical="center"/>
    </xf>
    <xf numFmtId="49" fontId="17" fillId="0" borderId="8" xfId="5" quotePrefix="1" applyNumberFormat="1" applyFont="1" applyFill="1" applyBorder="1" applyAlignment="1">
      <alignment horizontal="center" vertical="center"/>
    </xf>
    <xf numFmtId="0" fontId="17" fillId="0" borderId="8" xfId="5" applyFont="1" applyFill="1" applyBorder="1" applyAlignment="1">
      <alignment horizontal="left" vertical="center"/>
    </xf>
    <xf numFmtId="0" fontId="17" fillId="0" borderId="3" xfId="5" applyFont="1" applyFill="1" applyBorder="1" applyAlignment="1">
      <alignment horizontal="center" vertical="center"/>
    </xf>
    <xf numFmtId="49" fontId="17" fillId="0" borderId="8" xfId="5" applyNumberFormat="1" applyFont="1" applyFill="1" applyBorder="1" applyAlignment="1">
      <alignment horizontal="left" vertical="center"/>
    </xf>
    <xf numFmtId="0" fontId="17" fillId="0" borderId="7" xfId="5" applyFont="1" applyFill="1" applyBorder="1" applyAlignment="1">
      <alignment horizontal="left" vertical="center"/>
    </xf>
    <xf numFmtId="0" fontId="17" fillId="0" borderId="1" xfId="5" applyFont="1" applyFill="1" applyBorder="1" applyAlignment="1">
      <alignment horizontal="center" vertical="center"/>
    </xf>
    <xf numFmtId="49" fontId="17" fillId="0" borderId="8" xfId="5" applyNumberFormat="1" applyFont="1" applyFill="1" applyBorder="1" applyAlignment="1">
      <alignment horizontal="center" vertical="center"/>
    </xf>
    <xf numFmtId="0" fontId="16" fillId="0" borderId="8" xfId="5" applyFont="1" applyFill="1" applyBorder="1" applyAlignment="1">
      <alignment horizontal="center" vertical="center"/>
    </xf>
    <xf numFmtId="49" fontId="17" fillId="0" borderId="1" xfId="5" applyNumberFormat="1" applyFont="1" applyFill="1" applyBorder="1" applyAlignment="1">
      <alignment horizontal="center" vertical="center"/>
    </xf>
    <xf numFmtId="49" fontId="17" fillId="0" borderId="1" xfId="5" quotePrefix="1" applyNumberFormat="1" applyFont="1" applyFill="1" applyBorder="1" applyAlignment="1">
      <alignment horizontal="center" vertical="center"/>
    </xf>
    <xf numFmtId="172" fontId="17" fillId="40" borderId="4" xfId="5" quotePrefix="1" applyNumberFormat="1" applyFont="1" applyFill="1" applyBorder="1" applyAlignment="1">
      <alignment horizontal="center" vertical="center"/>
    </xf>
    <xf numFmtId="0" fontId="17" fillId="0" borderId="12" xfId="5" applyFont="1" applyFill="1" applyBorder="1" applyAlignment="1">
      <alignment horizontal="center" vertical="center"/>
    </xf>
    <xf numFmtId="49" fontId="17" fillId="40" borderId="12" xfId="5" quotePrefix="1" applyNumberFormat="1" applyFont="1" applyFill="1" applyBorder="1" applyAlignment="1">
      <alignment horizontal="center" vertical="center"/>
    </xf>
    <xf numFmtId="49" fontId="17" fillId="0" borderId="12" xfId="5" applyNumberFormat="1" applyFont="1" applyFill="1" applyBorder="1" applyAlignment="1">
      <alignment horizontal="center" vertical="center"/>
    </xf>
    <xf numFmtId="0" fontId="17" fillId="0" borderId="7" xfId="5" applyFont="1" applyFill="1" applyBorder="1" applyAlignment="1">
      <alignment horizontal="center" vertical="center"/>
    </xf>
    <xf numFmtId="1" fontId="17" fillId="0" borderId="7" xfId="5" applyNumberFormat="1" applyFont="1" applyFill="1" applyBorder="1" applyAlignment="1">
      <alignment horizontal="center" vertical="center"/>
    </xf>
    <xf numFmtId="0" fontId="82" fillId="3" borderId="4" xfId="1" applyFont="1" applyFill="1" applyBorder="1" applyAlignment="1">
      <alignment horizontal="center"/>
    </xf>
    <xf numFmtId="49" fontId="17" fillId="3" borderId="4" xfId="4" applyNumberFormat="1" applyFont="1" applyFill="1" applyBorder="1" applyAlignment="1">
      <alignment horizontal="left" vertical="center"/>
    </xf>
    <xf numFmtId="49" fontId="16" fillId="3" borderId="4" xfId="4" applyNumberFormat="1" applyFont="1" applyFill="1" applyBorder="1" applyAlignment="1">
      <alignment horizontal="left" vertical="center"/>
    </xf>
    <xf numFmtId="49" fontId="16" fillId="3" borderId="4" xfId="4" applyNumberFormat="1" applyFont="1" applyFill="1" applyBorder="1" applyAlignment="1">
      <alignment horizontal="center" vertical="center"/>
    </xf>
    <xf numFmtId="49" fontId="17" fillId="3" borderId="4" xfId="4" applyNumberFormat="1" applyFont="1" applyFill="1" applyBorder="1" applyAlignment="1">
      <alignment horizontal="center" vertical="center"/>
    </xf>
    <xf numFmtId="49" fontId="17" fillId="3" borderId="4" xfId="4" quotePrefix="1" applyNumberFormat="1" applyFont="1" applyFill="1" applyBorder="1" applyAlignment="1">
      <alignment horizontal="center" vertical="center"/>
    </xf>
    <xf numFmtId="0" fontId="2" fillId="40" borderId="5" xfId="0" quotePrefix="1" applyFont="1" applyFill="1" applyBorder="1" applyAlignment="1">
      <alignment horizontal="center"/>
    </xf>
    <xf numFmtId="0" fontId="2" fillId="0" borderId="0" xfId="0" quotePrefix="1" applyFont="1" applyFill="1" applyAlignment="1">
      <alignment horizontal="center" vertical="center"/>
    </xf>
    <xf numFmtId="0" fontId="82" fillId="0" borderId="4" xfId="1" applyFont="1" applyFill="1" applyBorder="1" applyAlignment="1">
      <alignment horizontal="left" vertical="center"/>
    </xf>
    <xf numFmtId="0" fontId="82" fillId="0" borderId="4" xfId="1" applyFont="1" applyFill="1" applyBorder="1" applyAlignment="1">
      <alignment horizontal="center" vertical="center"/>
    </xf>
    <xf numFmtId="0" fontId="82" fillId="0" borderId="0" xfId="1" quotePrefix="1" applyFont="1" applyFill="1" applyAlignment="1">
      <alignment horizontal="center" vertical="center"/>
    </xf>
    <xf numFmtId="0" fontId="82" fillId="0" borderId="4" xfId="1" quotePrefix="1" applyFont="1" applyFill="1" applyBorder="1" applyAlignment="1">
      <alignment horizontal="center" vertical="center"/>
    </xf>
    <xf numFmtId="0" fontId="82" fillId="40" borderId="13" xfId="1" applyFont="1" applyFill="1" applyBorder="1" applyAlignment="1">
      <alignment horizontal="center" vertical="center"/>
    </xf>
    <xf numFmtId="0" fontId="83" fillId="0" borderId="13" xfId="3" applyFont="1" applyFill="1" applyBorder="1" applyAlignment="1" applyProtection="1">
      <alignment horizontal="center" vertical="center"/>
    </xf>
    <xf numFmtId="0" fontId="82" fillId="3" borderId="4" xfId="1" quotePrefix="1" applyFont="1" applyFill="1" applyBorder="1" applyAlignment="1">
      <alignment horizontal="center" vertical="center"/>
    </xf>
    <xf numFmtId="49" fontId="2" fillId="40" borderId="4" xfId="5" applyNumberFormat="1" applyFont="1" applyFill="1" applyBorder="1" applyAlignment="1">
      <alignment horizontal="center" vertical="center"/>
    </xf>
    <xf numFmtId="0" fontId="82" fillId="3" borderId="4" xfId="1" applyFont="1" applyFill="1" applyBorder="1" applyAlignment="1">
      <alignment horizontal="center" vertical="center"/>
    </xf>
    <xf numFmtId="168" fontId="16" fillId="39" borderId="31" xfId="4" applyNumberFormat="1" applyFont="1" applyFill="1" applyBorder="1" applyAlignment="1">
      <alignment horizontal="center" vertical="center" wrapText="1"/>
    </xf>
    <xf numFmtId="173" fontId="16" fillId="39" borderId="35" xfId="4" applyNumberFormat="1" applyFont="1" applyFill="1" applyBorder="1" applyAlignment="1">
      <alignment horizontal="center" vertical="center"/>
    </xf>
    <xf numFmtId="172" fontId="16" fillId="39" borderId="50" xfId="4" applyNumberFormat="1" applyFont="1" applyFill="1" applyBorder="1" applyAlignment="1">
      <alignment horizontal="center" vertical="center"/>
    </xf>
    <xf numFmtId="0" fontId="16" fillId="39" borderId="35" xfId="4" applyFont="1" applyFill="1" applyBorder="1" applyAlignment="1">
      <alignment horizontal="center" vertical="center"/>
    </xf>
    <xf numFmtId="0" fontId="85" fillId="3" borderId="4" xfId="1" applyFont="1" applyFill="1" applyBorder="1" applyAlignment="1">
      <alignment horizontal="center" vertical="center"/>
    </xf>
    <xf numFmtId="0" fontId="83" fillId="0" borderId="4" xfId="3" quotePrefix="1" applyNumberFormat="1" applyFont="1" applyFill="1" applyBorder="1" applyAlignment="1" applyProtection="1">
      <alignment horizontal="center" vertical="center"/>
    </xf>
    <xf numFmtId="0" fontId="83" fillId="40" borderId="4" xfId="3" quotePrefix="1" applyNumberFormat="1" applyFont="1" applyFill="1" applyBorder="1" applyAlignment="1" applyProtection="1">
      <alignment horizontal="center" vertical="center"/>
    </xf>
    <xf numFmtId="0" fontId="83" fillId="0" borderId="4" xfId="3" applyNumberFormat="1" applyFont="1" applyFill="1" applyBorder="1" applyAlignment="1" applyProtection="1">
      <alignment horizontal="center" vertical="center"/>
    </xf>
    <xf numFmtId="0" fontId="85" fillId="0" borderId="4" xfId="1" applyNumberFormat="1" applyFont="1" applyFill="1" applyBorder="1" applyAlignment="1">
      <alignment horizontal="center" vertical="center"/>
    </xf>
    <xf numFmtId="0" fontId="83" fillId="0" borderId="4" xfId="3" applyFont="1" applyFill="1" applyBorder="1" applyAlignment="1" applyProtection="1">
      <alignment horizontal="center" vertical="center"/>
    </xf>
    <xf numFmtId="0" fontId="83" fillId="40" borderId="13" xfId="3" applyFont="1" applyFill="1" applyBorder="1" applyAlignment="1" applyProtection="1">
      <alignment horizontal="center" vertical="center"/>
    </xf>
    <xf numFmtId="0" fontId="85" fillId="0" borderId="13" xfId="1" applyFont="1" applyFill="1" applyBorder="1" applyAlignment="1">
      <alignment horizontal="center" vertical="center"/>
    </xf>
    <xf numFmtId="0" fontId="85" fillId="0" borderId="4" xfId="1" applyFont="1" applyFill="1" applyBorder="1" applyAlignment="1">
      <alignment horizontal="center" vertical="center"/>
    </xf>
    <xf numFmtId="49" fontId="86" fillId="5" borderId="4" xfId="4" applyNumberFormat="1" applyFont="1" applyFill="1" applyBorder="1" applyAlignment="1">
      <alignment horizontal="center" vertical="center"/>
    </xf>
    <xf numFmtId="0" fontId="83" fillId="0" borderId="7" xfId="3" applyFont="1" applyFill="1" applyBorder="1" applyAlignment="1" applyProtection="1">
      <alignment horizontal="center" vertical="center"/>
    </xf>
    <xf numFmtId="49" fontId="86" fillId="5" borderId="7" xfId="4" applyNumberFormat="1" applyFont="1" applyFill="1" applyBorder="1" applyAlignment="1">
      <alignment horizontal="center" vertical="center"/>
    </xf>
    <xf numFmtId="49" fontId="86" fillId="3" borderId="4" xfId="4" applyNumberFormat="1" applyFont="1" applyFill="1" applyBorder="1" applyAlignment="1">
      <alignment horizontal="center" vertical="center"/>
    </xf>
    <xf numFmtId="0" fontId="83" fillId="0" borderId="13" xfId="3" applyNumberFormat="1" applyFont="1" applyFill="1" applyBorder="1" applyAlignment="1" applyProtection="1">
      <alignment horizontal="center" vertical="center"/>
    </xf>
    <xf numFmtId="0" fontId="10" fillId="3" borderId="4" xfId="1" applyFont="1" applyFill="1" applyBorder="1" applyAlignment="1">
      <alignment horizontal="center" vertical="center"/>
    </xf>
    <xf numFmtId="172" fontId="17" fillId="0" borderId="4" xfId="5" quotePrefix="1" applyNumberFormat="1" applyFont="1" applyFill="1" applyBorder="1" applyAlignment="1">
      <alignment horizontal="center" vertical="center"/>
    </xf>
    <xf numFmtId="0" fontId="10" fillId="3" borderId="0" xfId="1" quotePrefix="1" applyFont="1" applyFill="1" applyAlignment="1">
      <alignment horizontal="center"/>
    </xf>
    <xf numFmtId="0" fontId="10" fillId="2" borderId="4" xfId="1" applyFont="1" applyFill="1" applyBorder="1" applyAlignment="1">
      <alignment horizontal="center"/>
    </xf>
    <xf numFmtId="168" fontId="10" fillId="2" borderId="4" xfId="1" applyNumberFormat="1" applyFont="1" applyFill="1" applyBorder="1"/>
    <xf numFmtId="0" fontId="10" fillId="2" borderId="4" xfId="1" applyFont="1" applyFill="1" applyBorder="1" applyAlignment="1">
      <alignment horizontal="center" vertical="center"/>
    </xf>
    <xf numFmtId="0" fontId="10" fillId="2" borderId="4" xfId="1" applyFont="1" applyFill="1" applyBorder="1" applyAlignment="1">
      <alignment horizontal="left"/>
    </xf>
    <xf numFmtId="0" fontId="10" fillId="2" borderId="4" xfId="1" applyFont="1" applyFill="1" applyBorder="1" applyAlignment="1">
      <alignment wrapText="1"/>
    </xf>
    <xf numFmtId="0" fontId="10" fillId="2" borderId="4" xfId="1" quotePrefix="1" applyFont="1" applyFill="1" applyBorder="1" applyAlignment="1">
      <alignment horizontal="center"/>
    </xf>
    <xf numFmtId="0" fontId="17" fillId="3" borderId="13" xfId="4" applyFont="1" applyFill="1" applyBorder="1" applyAlignment="1">
      <alignment horizontal="center" vertical="center"/>
    </xf>
    <xf numFmtId="49" fontId="17" fillId="3" borderId="13" xfId="4" applyNumberFormat="1" applyFont="1" applyFill="1" applyBorder="1" applyAlignment="1">
      <alignment horizontal="left" vertical="center"/>
    </xf>
    <xf numFmtId="49" fontId="17" fillId="3" borderId="13" xfId="4" applyNumberFormat="1" applyFont="1" applyFill="1" applyBorder="1" applyAlignment="1">
      <alignment horizontal="center" vertical="center"/>
    </xf>
    <xf numFmtId="49" fontId="17" fillId="3" borderId="13" xfId="4" quotePrefix="1" applyNumberFormat="1" applyFont="1" applyFill="1" applyBorder="1" applyAlignment="1">
      <alignment horizontal="center" vertical="center"/>
    </xf>
    <xf numFmtId="49" fontId="85" fillId="3" borderId="13" xfId="4" applyNumberFormat="1" applyFont="1" applyFill="1" applyBorder="1" applyAlignment="1">
      <alignment horizontal="center" vertical="center"/>
    </xf>
    <xf numFmtId="49" fontId="16" fillId="5" borderId="0" xfId="4" applyNumberFormat="1" applyFont="1" applyFill="1" applyBorder="1" applyAlignment="1">
      <alignment horizontal="left" vertical="center"/>
    </xf>
    <xf numFmtId="49" fontId="16" fillId="5" borderId="0" xfId="4" applyNumberFormat="1" applyFont="1" applyFill="1" applyBorder="1" applyAlignment="1">
      <alignment horizontal="center" vertical="center"/>
    </xf>
    <xf numFmtId="0" fontId="10" fillId="40" borderId="0" xfId="1" applyFont="1" applyFill="1" applyBorder="1" applyAlignment="1">
      <alignment horizontal="center" vertical="center"/>
    </xf>
    <xf numFmtId="49" fontId="17" fillId="0" borderId="7" xfId="5" applyNumberFormat="1" applyFont="1" applyFill="1" applyBorder="1" applyAlignment="1">
      <alignment horizontal="left" vertical="center"/>
    </xf>
    <xf numFmtId="172" fontId="17" fillId="0" borderId="4" xfId="5" quotePrefix="1" applyNumberFormat="1" applyFont="1" applyFill="1" applyBorder="1" applyAlignment="1">
      <alignment horizontal="left" vertical="center"/>
    </xf>
    <xf numFmtId="172" fontId="17" fillId="0" borderId="5" xfId="5" quotePrefix="1" applyNumberFormat="1" applyFont="1" applyFill="1" applyBorder="1" applyAlignment="1">
      <alignment horizontal="center" vertical="center"/>
    </xf>
    <xf numFmtId="49" fontId="17" fillId="0" borderId="5" xfId="5" quotePrefix="1" applyNumberFormat="1" applyFont="1" applyFill="1" applyBorder="1" applyAlignment="1">
      <alignment horizontal="center" vertical="center"/>
    </xf>
    <xf numFmtId="0" fontId="76" fillId="0" borderId="5" xfId="3" applyNumberFormat="1" applyFont="1" applyFill="1" applyBorder="1" applyAlignment="1" applyProtection="1">
      <alignment horizontal="center" vertical="center"/>
    </xf>
    <xf numFmtId="0" fontId="0" fillId="0" borderId="5" xfId="0" quotePrefix="1" applyFont="1" applyBorder="1" applyAlignment="1">
      <alignment horizontal="center" vertical="center"/>
    </xf>
    <xf numFmtId="0" fontId="2" fillId="40" borderId="5" xfId="0" quotePrefix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77" fillId="35" borderId="4" xfId="5" applyFont="1" applyFill="1" applyBorder="1" applyAlignment="1">
      <alignment horizontal="center" vertical="center"/>
    </xf>
    <xf numFmtId="0" fontId="10" fillId="3" borderId="4" xfId="1" applyFont="1" applyFill="1" applyBorder="1" applyAlignment="1">
      <alignment horizontal="center"/>
    </xf>
    <xf numFmtId="0" fontId="10" fillId="0" borderId="4" xfId="1" quotePrefix="1" applyFont="1" applyFill="1" applyBorder="1" applyAlignment="1">
      <alignment horizontal="center" vertical="center"/>
    </xf>
    <xf numFmtId="0" fontId="17" fillId="0" borderId="4" xfId="1" applyFont="1" applyFill="1" applyBorder="1" applyAlignment="1"/>
    <xf numFmtId="0" fontId="80" fillId="0" borderId="4" xfId="1" applyFont="1" applyFill="1" applyBorder="1" applyAlignment="1"/>
    <xf numFmtId="49" fontId="17" fillId="0" borderId="13" xfId="4" applyNumberFormat="1" applyFont="1" applyFill="1" applyBorder="1" applyAlignment="1">
      <alignment horizontal="left" vertical="center"/>
    </xf>
    <xf numFmtId="0" fontId="17" fillId="43" borderId="8" xfId="5" applyFont="1" applyFill="1" applyBorder="1" applyAlignment="1">
      <alignment horizontal="center" vertical="center"/>
    </xf>
    <xf numFmtId="172" fontId="17" fillId="43" borderId="8" xfId="5" applyNumberFormat="1" applyFont="1" applyFill="1" applyBorder="1" applyAlignment="1">
      <alignment horizontal="center" vertical="center"/>
    </xf>
    <xf numFmtId="1" fontId="17" fillId="43" borderId="8" xfId="5" applyNumberFormat="1" applyFont="1" applyFill="1" applyBorder="1" applyAlignment="1">
      <alignment horizontal="center" vertical="center"/>
    </xf>
    <xf numFmtId="0" fontId="17" fillId="43" borderId="1" xfId="5" applyFont="1" applyFill="1" applyBorder="1" applyAlignment="1">
      <alignment horizontal="center" vertical="center"/>
    </xf>
    <xf numFmtId="172" fontId="17" fillId="43" borderId="1" xfId="5" applyNumberFormat="1" applyFont="1" applyFill="1" applyBorder="1" applyAlignment="1">
      <alignment horizontal="center" vertical="center"/>
    </xf>
    <xf numFmtId="184" fontId="17" fillId="43" borderId="8" xfId="5" applyNumberFormat="1" applyFont="1" applyFill="1" applyBorder="1" applyAlignment="1">
      <alignment horizontal="center" vertical="center"/>
    </xf>
    <xf numFmtId="49" fontId="17" fillId="43" borderId="8" xfId="5" quotePrefix="1" applyNumberFormat="1" applyFont="1" applyFill="1" applyBorder="1" applyAlignment="1">
      <alignment horizontal="center" vertical="center"/>
    </xf>
    <xf numFmtId="0" fontId="17" fillId="43" borderId="8" xfId="5" applyFont="1" applyFill="1" applyBorder="1" applyAlignment="1">
      <alignment horizontal="left" vertical="center"/>
    </xf>
    <xf numFmtId="49" fontId="17" fillId="43" borderId="8" xfId="5" applyNumberFormat="1" applyFont="1" applyFill="1" applyBorder="1" applyAlignment="1">
      <alignment horizontal="center" vertical="center"/>
    </xf>
    <xf numFmtId="0" fontId="85" fillId="43" borderId="8" xfId="1" applyFont="1" applyFill="1" applyBorder="1" applyAlignment="1">
      <alignment horizontal="center" vertical="center"/>
    </xf>
    <xf numFmtId="0" fontId="17" fillId="0" borderId="0" xfId="5" applyFont="1" applyFill="1" applyBorder="1" applyAlignment="1">
      <alignment horizontal="center" vertical="center"/>
    </xf>
    <xf numFmtId="172" fontId="17" fillId="0" borderId="1" xfId="5" quotePrefix="1" applyNumberFormat="1" applyFont="1" applyFill="1" applyBorder="1" applyAlignment="1">
      <alignment horizontal="center" vertical="center"/>
    </xf>
    <xf numFmtId="0" fontId="6" fillId="2" borderId="0" xfId="1" applyNumberFormat="1" applyFont="1" applyFill="1" applyAlignment="1">
      <alignment horizontal="center" vertical="center"/>
    </xf>
    <xf numFmtId="168" fontId="6" fillId="2" borderId="0" xfId="1" applyNumberFormat="1" applyFont="1" applyFill="1" applyBorder="1" applyAlignment="1">
      <alignment horizontal="center" vertical="center"/>
    </xf>
    <xf numFmtId="168" fontId="10" fillId="2" borderId="4" xfId="1" applyNumberFormat="1" applyFont="1" applyFill="1" applyBorder="1" applyAlignment="1">
      <alignment horizontal="center" vertical="center"/>
    </xf>
    <xf numFmtId="0" fontId="82" fillId="2" borderId="4" xfId="1" applyFont="1" applyFill="1" applyBorder="1" applyAlignment="1">
      <alignment horizontal="center" vertical="center"/>
    </xf>
    <xf numFmtId="168" fontId="6" fillId="2" borderId="0" xfId="1" applyNumberFormat="1" applyFont="1" applyFill="1" applyAlignment="1">
      <alignment horizontal="center" vertical="center"/>
    </xf>
    <xf numFmtId="0" fontId="82" fillId="3" borderId="5" xfId="1" applyFont="1" applyFill="1" applyBorder="1" applyAlignment="1">
      <alignment horizontal="center"/>
    </xf>
    <xf numFmtId="184" fontId="17" fillId="0" borderId="56" xfId="5" applyNumberFormat="1" applyFont="1" applyFill="1" applyBorder="1" applyAlignment="1">
      <alignment horizontal="center" vertical="center"/>
    </xf>
    <xf numFmtId="184" fontId="17" fillId="0" borderId="5" xfId="5" applyNumberFormat="1" applyFont="1" applyFill="1" applyBorder="1" applyAlignment="1">
      <alignment horizontal="center" vertical="center"/>
    </xf>
    <xf numFmtId="49" fontId="17" fillId="0" borderId="56" xfId="5" quotePrefix="1" applyNumberFormat="1" applyFont="1" applyFill="1" applyBorder="1" applyAlignment="1">
      <alignment horizontal="center" vertical="center"/>
    </xf>
    <xf numFmtId="0" fontId="17" fillId="0" borderId="56" xfId="5" applyFont="1" applyFill="1" applyBorder="1" applyAlignment="1">
      <alignment horizontal="left" vertical="center"/>
    </xf>
    <xf numFmtId="1" fontId="17" fillId="0" borderId="56" xfId="5" applyNumberFormat="1" applyFont="1" applyFill="1" applyBorder="1" applyAlignment="1">
      <alignment horizontal="center" vertical="center"/>
    </xf>
    <xf numFmtId="0" fontId="85" fillId="0" borderId="5" xfId="1" applyFont="1" applyFill="1" applyBorder="1" applyAlignment="1">
      <alignment horizontal="center" vertical="center"/>
    </xf>
    <xf numFmtId="49" fontId="16" fillId="5" borderId="1" xfId="4" applyNumberFormat="1" applyFont="1" applyFill="1" applyBorder="1" applyAlignment="1">
      <alignment horizontal="left" vertical="center"/>
    </xf>
    <xf numFmtId="49" fontId="16" fillId="5" borderId="1" xfId="4" applyNumberFormat="1" applyFont="1" applyFill="1" applyBorder="1" applyAlignment="1">
      <alignment horizontal="center" vertical="center"/>
    </xf>
    <xf numFmtId="49" fontId="86" fillId="5" borderId="13" xfId="4" applyNumberFormat="1" applyFont="1" applyFill="1" applyBorder="1" applyAlignment="1">
      <alignment horizontal="center" vertical="center"/>
    </xf>
    <xf numFmtId="49" fontId="17" fillId="0" borderId="0" xfId="5" applyNumberFormat="1" applyFont="1" applyFill="1" applyBorder="1" applyAlignment="1">
      <alignment horizontal="center" vertical="center"/>
    </xf>
    <xf numFmtId="49" fontId="17" fillId="0" borderId="7" xfId="5" applyNumberFormat="1" applyFont="1" applyFill="1" applyBorder="1" applyAlignment="1">
      <alignment horizontal="center" vertical="center"/>
    </xf>
    <xf numFmtId="49" fontId="0" fillId="0" borderId="4" xfId="5" applyNumberFormat="1" applyFont="1" applyFill="1" applyBorder="1" applyAlignment="1">
      <alignment horizontal="center" vertical="center"/>
    </xf>
    <xf numFmtId="0" fontId="82" fillId="2" borderId="6" xfId="1" quotePrefix="1" applyFont="1" applyFill="1" applyBorder="1" applyAlignment="1">
      <alignment horizontal="center"/>
    </xf>
    <xf numFmtId="49" fontId="17" fillId="0" borderId="6" xfId="5" applyNumberFormat="1" applyFont="1" applyFill="1" applyBorder="1" applyAlignment="1">
      <alignment horizontal="center" vertical="center"/>
    </xf>
    <xf numFmtId="49" fontId="17" fillId="0" borderId="6" xfId="5" quotePrefix="1" applyNumberFormat="1" applyFont="1" applyFill="1" applyBorder="1" applyAlignment="1">
      <alignment horizontal="center" vertical="center"/>
    </xf>
    <xf numFmtId="0" fontId="82" fillId="2" borderId="7" xfId="1" applyFont="1" applyFill="1" applyBorder="1" applyAlignment="1"/>
    <xf numFmtId="49" fontId="17" fillId="43" borderId="13" xfId="5" applyNumberFormat="1" applyFont="1" applyFill="1" applyBorder="1" applyAlignment="1">
      <alignment horizontal="center" vertical="center"/>
    </xf>
    <xf numFmtId="1" fontId="17" fillId="0" borderId="4" xfId="5" quotePrefix="1" applyNumberFormat="1" applyFont="1" applyFill="1" applyBorder="1" applyAlignment="1">
      <alignment horizontal="center" vertical="center"/>
    </xf>
    <xf numFmtId="0" fontId="17" fillId="0" borderId="0" xfId="5" applyFont="1" applyFill="1" applyBorder="1" applyAlignment="1">
      <alignment horizontal="left" vertical="center"/>
    </xf>
    <xf numFmtId="49" fontId="89" fillId="5" borderId="55" xfId="4" applyNumberFormat="1" applyFont="1" applyFill="1" applyBorder="1" applyAlignment="1">
      <alignment horizontal="center" vertical="center"/>
    </xf>
    <xf numFmtId="0" fontId="76" fillId="0" borderId="55" xfId="3" applyNumberFormat="1" applyFont="1" applyFill="1" applyBorder="1" applyAlignment="1" applyProtection="1">
      <alignment horizontal="center" vertical="center"/>
    </xf>
    <xf numFmtId="0" fontId="10" fillId="0" borderId="5" xfId="1" quotePrefix="1" applyFont="1" applyFill="1" applyBorder="1" applyAlignment="1">
      <alignment horizontal="center" vertical="center"/>
    </xf>
    <xf numFmtId="0" fontId="7" fillId="0" borderId="0" xfId="1" applyFont="1" applyFill="1" applyAlignment="1"/>
    <xf numFmtId="0" fontId="7" fillId="0" borderId="0" xfId="1" applyFont="1" applyFill="1" applyBorder="1" applyAlignment="1"/>
    <xf numFmtId="49" fontId="0" fillId="0" borderId="5" xfId="5" applyNumberFormat="1" applyFont="1" applyFill="1" applyBorder="1" applyAlignment="1">
      <alignment horizontal="left" vertical="center"/>
    </xf>
    <xf numFmtId="49" fontId="17" fillId="0" borderId="4" xfId="4" applyNumberFormat="1" applyFont="1" applyFill="1" applyBorder="1" applyAlignment="1">
      <alignment horizontal="left" vertical="center"/>
    </xf>
    <xf numFmtId="49" fontId="16" fillId="43" borderId="8" xfId="4" applyNumberFormat="1" applyFont="1" applyFill="1" applyBorder="1" applyAlignment="1">
      <alignment horizontal="left" vertical="center"/>
    </xf>
    <xf numFmtId="49" fontId="16" fillId="43" borderId="1" xfId="4" applyNumberFormat="1" applyFont="1" applyFill="1" applyBorder="1" applyAlignment="1">
      <alignment horizontal="left" vertical="center"/>
    </xf>
    <xf numFmtId="49" fontId="16" fillId="43" borderId="0" xfId="4" applyNumberFormat="1" applyFont="1" applyFill="1" applyBorder="1" applyAlignment="1">
      <alignment horizontal="left" vertical="center"/>
    </xf>
    <xf numFmtId="49" fontId="16" fillId="43" borderId="13" xfId="4" applyNumberFormat="1" applyFont="1" applyFill="1" applyBorder="1" applyAlignment="1">
      <alignment horizontal="left" vertical="center"/>
    </xf>
    <xf numFmtId="0" fontId="79" fillId="0" borderId="4" xfId="3" applyNumberFormat="1" applyFont="1" applyFill="1" applyBorder="1" applyAlignment="1" applyProtection="1">
      <alignment horizontal="center" vertical="center"/>
    </xf>
    <xf numFmtId="173" fontId="91" fillId="39" borderId="35" xfId="4" applyNumberFormat="1" applyFont="1" applyFill="1" applyBorder="1" applyAlignment="1">
      <alignment horizontal="center" vertical="center"/>
    </xf>
    <xf numFmtId="172" fontId="91" fillId="39" borderId="50" xfId="4" applyNumberFormat="1" applyFont="1" applyFill="1" applyBorder="1" applyAlignment="1">
      <alignment horizontal="center" vertical="center"/>
    </xf>
    <xf numFmtId="49" fontId="91" fillId="5" borderId="13" xfId="4" applyNumberFormat="1" applyFont="1" applyFill="1" applyBorder="1" applyAlignment="1">
      <alignment horizontal="left" vertical="center"/>
    </xf>
    <xf numFmtId="49" fontId="91" fillId="5" borderId="13" xfId="4" applyNumberFormat="1" applyFont="1" applyFill="1" applyBorder="1" applyAlignment="1">
      <alignment horizontal="center" vertical="center"/>
    </xf>
    <xf numFmtId="0" fontId="93" fillId="2" borderId="4" xfId="5" applyFont="1" applyFill="1" applyBorder="1" applyAlignment="1">
      <alignment horizontal="center" vertical="center"/>
    </xf>
    <xf numFmtId="49" fontId="93" fillId="0" borderId="4" xfId="5" applyNumberFormat="1" applyFont="1" applyFill="1" applyBorder="1" applyAlignment="1">
      <alignment horizontal="left" vertical="center"/>
    </xf>
    <xf numFmtId="1" fontId="93" fillId="2" borderId="4" xfId="5" applyNumberFormat="1" applyFont="1" applyFill="1" applyBorder="1" applyAlignment="1">
      <alignment horizontal="center" vertical="center"/>
    </xf>
    <xf numFmtId="172" fontId="93" fillId="2" borderId="4" xfId="5" quotePrefix="1" applyNumberFormat="1" applyFont="1" applyFill="1" applyBorder="1" applyAlignment="1">
      <alignment horizontal="center" vertical="center"/>
    </xf>
    <xf numFmtId="172" fontId="93" fillId="2" borderId="4" xfId="5" applyNumberFormat="1" applyFont="1" applyFill="1" applyBorder="1" applyAlignment="1">
      <alignment horizontal="center" vertical="center"/>
    </xf>
    <xf numFmtId="0" fontId="93" fillId="2" borderId="4" xfId="5" quotePrefix="1" applyFont="1" applyFill="1" applyBorder="1" applyAlignment="1">
      <alignment horizontal="left" vertical="center"/>
    </xf>
    <xf numFmtId="49" fontId="93" fillId="2" borderId="4" xfId="5" applyNumberFormat="1" applyFont="1" applyFill="1" applyBorder="1" applyAlignment="1">
      <alignment horizontal="center" vertical="center"/>
    </xf>
    <xf numFmtId="0" fontId="93" fillId="2" borderId="4" xfId="5" applyFont="1" applyFill="1" applyBorder="1" applyAlignment="1">
      <alignment horizontal="left" vertical="center"/>
    </xf>
    <xf numFmtId="49" fontId="93" fillId="2" borderId="4" xfId="5" quotePrefix="1" applyNumberFormat="1" applyFont="1" applyFill="1" applyBorder="1" applyAlignment="1">
      <alignment horizontal="center" vertical="center"/>
    </xf>
    <xf numFmtId="0" fontId="94" fillId="3" borderId="4" xfId="1" applyFont="1" applyFill="1" applyBorder="1" applyAlignment="1">
      <alignment horizontal="center" vertical="center"/>
    </xf>
    <xf numFmtId="168" fontId="93" fillId="2" borderId="4" xfId="5" applyNumberFormat="1" applyFont="1" applyFill="1" applyBorder="1" applyAlignment="1">
      <alignment horizontal="center" vertical="center"/>
    </xf>
    <xf numFmtId="49" fontId="95" fillId="5" borderId="4" xfId="4" applyNumberFormat="1" applyFont="1" applyFill="1" applyBorder="1" applyAlignment="1">
      <alignment horizontal="center" vertical="center"/>
    </xf>
    <xf numFmtId="0" fontId="93" fillId="0" borderId="4" xfId="5" applyFont="1" applyFill="1" applyBorder="1" applyAlignment="1">
      <alignment horizontal="center" vertical="center"/>
    </xf>
    <xf numFmtId="0" fontId="93" fillId="0" borderId="13" xfId="5" applyFont="1" applyFill="1" applyBorder="1" applyAlignment="1">
      <alignment horizontal="center" vertical="center"/>
    </xf>
    <xf numFmtId="172" fontId="93" fillId="0" borderId="13" xfId="5" applyNumberFormat="1" applyFont="1" applyFill="1" applyBorder="1" applyAlignment="1">
      <alignment horizontal="center" vertical="center"/>
    </xf>
    <xf numFmtId="1" fontId="93" fillId="0" borderId="4" xfId="5" applyNumberFormat="1" applyFont="1" applyFill="1" applyBorder="1" applyAlignment="1">
      <alignment horizontal="center" vertical="center"/>
    </xf>
    <xf numFmtId="172" fontId="93" fillId="0" borderId="4" xfId="5" applyNumberFormat="1" applyFont="1" applyFill="1" applyBorder="1" applyAlignment="1">
      <alignment horizontal="center" vertical="center"/>
    </xf>
    <xf numFmtId="172" fontId="93" fillId="0" borderId="13" xfId="5" quotePrefix="1" applyNumberFormat="1" applyFont="1" applyFill="1" applyBorder="1" applyAlignment="1">
      <alignment horizontal="center" vertical="center"/>
    </xf>
    <xf numFmtId="0" fontId="93" fillId="0" borderId="4" xfId="5" applyFont="1" applyFill="1" applyBorder="1" applyAlignment="1">
      <alignment horizontal="left" vertical="center"/>
    </xf>
    <xf numFmtId="0" fontId="96" fillId="0" borderId="4" xfId="3" quotePrefix="1" applyNumberFormat="1" applyFont="1" applyFill="1" applyBorder="1" applyAlignment="1" applyProtection="1">
      <alignment horizontal="center" vertical="center"/>
    </xf>
    <xf numFmtId="172" fontId="93" fillId="40" borderId="13" xfId="5" applyNumberFormat="1" applyFont="1" applyFill="1" applyBorder="1" applyAlignment="1">
      <alignment horizontal="center" vertical="center"/>
    </xf>
    <xf numFmtId="184" fontId="93" fillId="0" borderId="4" xfId="5" applyNumberFormat="1" applyFont="1" applyFill="1" applyBorder="1" applyAlignment="1">
      <alignment horizontal="center" vertical="center"/>
    </xf>
    <xf numFmtId="0" fontId="93" fillId="38" borderId="4" xfId="5" applyFont="1" applyFill="1" applyBorder="1" applyAlignment="1">
      <alignment horizontal="center" vertical="center"/>
    </xf>
    <xf numFmtId="0" fontId="93" fillId="40" borderId="4" xfId="5" applyFont="1" applyFill="1" applyBorder="1" applyAlignment="1">
      <alignment horizontal="center" vertical="center"/>
    </xf>
    <xf numFmtId="0" fontId="93" fillId="40" borderId="13" xfId="5" applyFont="1" applyFill="1" applyBorder="1" applyAlignment="1">
      <alignment horizontal="center" vertical="center"/>
    </xf>
    <xf numFmtId="172" fontId="93" fillId="40" borderId="4" xfId="5" applyNumberFormat="1" applyFont="1" applyFill="1" applyBorder="1" applyAlignment="1">
      <alignment horizontal="center" vertical="center"/>
    </xf>
    <xf numFmtId="172" fontId="93" fillId="40" borderId="13" xfId="5" quotePrefix="1" applyNumberFormat="1" applyFont="1" applyFill="1" applyBorder="1" applyAlignment="1">
      <alignment horizontal="center" vertical="center"/>
    </xf>
    <xf numFmtId="184" fontId="93" fillId="3" borderId="4" xfId="5" applyNumberFormat="1" applyFont="1" applyFill="1" applyBorder="1" applyAlignment="1">
      <alignment horizontal="center" vertical="center"/>
    </xf>
    <xf numFmtId="49" fontId="93" fillId="40" borderId="4" xfId="5" quotePrefix="1" applyNumberFormat="1" applyFont="1" applyFill="1" applyBorder="1" applyAlignment="1">
      <alignment horizontal="center" vertical="center"/>
    </xf>
    <xf numFmtId="0" fontId="93" fillId="40" borderId="4" xfId="5" applyFont="1" applyFill="1" applyBorder="1" applyAlignment="1">
      <alignment horizontal="left" vertical="center"/>
    </xf>
    <xf numFmtId="49" fontId="93" fillId="40" borderId="4" xfId="5" applyNumberFormat="1" applyFont="1" applyFill="1" applyBorder="1" applyAlignment="1">
      <alignment horizontal="center" vertical="center"/>
    </xf>
    <xf numFmtId="0" fontId="96" fillId="40" borderId="4" xfId="3" quotePrefix="1" applyNumberFormat="1" applyFont="1" applyFill="1" applyBorder="1" applyAlignment="1" applyProtection="1">
      <alignment horizontal="center" vertical="center"/>
    </xf>
    <xf numFmtId="0" fontId="96" fillId="0" borderId="4" xfId="3" applyNumberFormat="1" applyFont="1" applyFill="1" applyBorder="1" applyAlignment="1" applyProtection="1">
      <alignment horizontal="center" vertical="center"/>
    </xf>
    <xf numFmtId="0" fontId="93" fillId="0" borderId="4" xfId="5" quotePrefix="1" applyFont="1" applyFill="1" applyBorder="1" applyAlignment="1">
      <alignment horizontal="center" vertical="center"/>
    </xf>
    <xf numFmtId="49" fontId="93" fillId="0" borderId="13" xfId="5" applyNumberFormat="1" applyFont="1" applyFill="1" applyBorder="1" applyAlignment="1">
      <alignment horizontal="center" vertical="center"/>
    </xf>
    <xf numFmtId="49" fontId="93" fillId="0" borderId="13" xfId="5" quotePrefix="1" applyNumberFormat="1" applyFont="1" applyFill="1" applyBorder="1" applyAlignment="1">
      <alignment horizontal="center" vertical="center"/>
    </xf>
    <xf numFmtId="49" fontId="93" fillId="40" borderId="13" xfId="5" applyNumberFormat="1" applyFont="1" applyFill="1" applyBorder="1" applyAlignment="1">
      <alignment horizontal="center" vertical="center"/>
    </xf>
    <xf numFmtId="49" fontId="93" fillId="40" borderId="13" xfId="5" quotePrefix="1" applyNumberFormat="1" applyFont="1" applyFill="1" applyBorder="1" applyAlignment="1">
      <alignment horizontal="center" vertical="center"/>
    </xf>
    <xf numFmtId="0" fontId="93" fillId="38" borderId="4" xfId="5" quotePrefix="1" applyFont="1" applyFill="1" applyBorder="1" applyAlignment="1">
      <alignment horizontal="left" vertical="center"/>
    </xf>
    <xf numFmtId="172" fontId="93" fillId="38" borderId="4" xfId="5" applyNumberFormat="1" applyFont="1" applyFill="1" applyBorder="1" applyAlignment="1">
      <alignment horizontal="center" vertical="center"/>
    </xf>
    <xf numFmtId="0" fontId="93" fillId="0" borderId="5" xfId="5" applyFont="1" applyFill="1" applyBorder="1" applyAlignment="1">
      <alignment horizontal="center" vertical="center"/>
    </xf>
    <xf numFmtId="49" fontId="93" fillId="0" borderId="5" xfId="5" applyNumberFormat="1" applyFont="1" applyFill="1" applyBorder="1" applyAlignment="1">
      <alignment horizontal="left" vertical="center"/>
    </xf>
    <xf numFmtId="0" fontId="93" fillId="0" borderId="4" xfId="5" quotePrefix="1" applyFont="1" applyFill="1" applyBorder="1" applyAlignment="1">
      <alignment horizontal="left" vertical="center"/>
    </xf>
    <xf numFmtId="49" fontId="93" fillId="0" borderId="5" xfId="5" applyNumberFormat="1" applyFont="1" applyFill="1" applyBorder="1" applyAlignment="1">
      <alignment horizontal="center" vertical="center"/>
    </xf>
    <xf numFmtId="0" fontId="94" fillId="0" borderId="4" xfId="1" applyNumberFormat="1" applyFont="1" applyFill="1" applyBorder="1" applyAlignment="1">
      <alignment horizontal="center" vertical="center"/>
    </xf>
    <xf numFmtId="0" fontId="97" fillId="0" borderId="4" xfId="1" applyFont="1" applyFill="1" applyBorder="1" applyAlignment="1">
      <alignment horizontal="left" vertical="center"/>
    </xf>
    <xf numFmtId="0" fontId="97" fillId="0" borderId="4" xfId="1" applyFont="1" applyFill="1" applyBorder="1" applyAlignment="1">
      <alignment horizontal="center" vertical="center"/>
    </xf>
    <xf numFmtId="0" fontId="97" fillId="0" borderId="4" xfId="1" quotePrefix="1" applyFont="1" applyFill="1" applyBorder="1" applyAlignment="1">
      <alignment horizontal="center" vertical="center"/>
    </xf>
    <xf numFmtId="0" fontId="96" fillId="0" borderId="4" xfId="3" applyFont="1" applyFill="1" applyBorder="1" applyAlignment="1" applyProtection="1">
      <alignment horizontal="center" vertical="center"/>
    </xf>
    <xf numFmtId="0" fontId="97" fillId="40" borderId="13" xfId="1" applyFont="1" applyFill="1" applyBorder="1" applyAlignment="1">
      <alignment horizontal="center" vertical="center"/>
    </xf>
    <xf numFmtId="172" fontId="93" fillId="40" borderId="4" xfId="5" quotePrefix="1" applyNumberFormat="1" applyFont="1" applyFill="1" applyBorder="1" applyAlignment="1">
      <alignment horizontal="center" vertical="center"/>
    </xf>
    <xf numFmtId="0" fontId="93" fillId="40" borderId="13" xfId="5" applyFont="1" applyFill="1" applyBorder="1" applyAlignment="1">
      <alignment horizontal="left" vertical="center"/>
    </xf>
    <xf numFmtId="0" fontId="93" fillId="0" borderId="7" xfId="5" applyFont="1" applyFill="1" applyBorder="1" applyAlignment="1">
      <alignment horizontal="center" vertical="center"/>
    </xf>
    <xf numFmtId="49" fontId="93" fillId="40" borderId="13" xfId="7" quotePrefix="1" applyNumberFormat="1" applyFont="1" applyFill="1" applyBorder="1" applyAlignment="1">
      <alignment horizontal="center" vertical="center"/>
    </xf>
    <xf numFmtId="0" fontId="96" fillId="40" borderId="13" xfId="3" applyFont="1" applyFill="1" applyBorder="1" applyAlignment="1" applyProtection="1">
      <alignment horizontal="center" vertical="center"/>
    </xf>
    <xf numFmtId="0" fontId="97" fillId="3" borderId="4" xfId="1" quotePrefix="1" applyFont="1" applyFill="1" applyBorder="1" applyAlignment="1">
      <alignment horizontal="center" vertical="center"/>
    </xf>
    <xf numFmtId="172" fontId="93" fillId="0" borderId="4" xfId="5" quotePrefix="1" applyNumberFormat="1" applyFont="1" applyFill="1" applyBorder="1" applyAlignment="1">
      <alignment horizontal="center" vertical="center"/>
    </xf>
    <xf numFmtId="172" fontId="93" fillId="0" borderId="5" xfId="5" applyNumberFormat="1" applyFont="1" applyFill="1" applyBorder="1" applyAlignment="1">
      <alignment horizontal="center" vertical="center"/>
    </xf>
    <xf numFmtId="172" fontId="93" fillId="0" borderId="5" xfId="5" quotePrefix="1" applyNumberFormat="1" applyFont="1" applyFill="1" applyBorder="1" applyAlignment="1">
      <alignment horizontal="center" vertical="center"/>
    </xf>
    <xf numFmtId="49" fontId="93" fillId="0" borderId="5" xfId="5" quotePrefix="1" applyNumberFormat="1" applyFont="1" applyFill="1" applyBorder="1" applyAlignment="1">
      <alignment horizontal="center" vertical="center"/>
    </xf>
    <xf numFmtId="0" fontId="93" fillId="0" borderId="5" xfId="5" applyFont="1" applyFill="1" applyBorder="1" applyAlignment="1">
      <alignment horizontal="left" vertical="center"/>
    </xf>
    <xf numFmtId="49" fontId="93" fillId="43" borderId="13" xfId="5" applyNumberFormat="1" applyFont="1" applyFill="1" applyBorder="1" applyAlignment="1">
      <alignment horizontal="center" vertical="center"/>
    </xf>
    <xf numFmtId="184" fontId="93" fillId="2" borderId="13" xfId="5" applyNumberFormat="1" applyFont="1" applyFill="1" applyBorder="1" applyAlignment="1">
      <alignment horizontal="center" vertical="center"/>
    </xf>
    <xf numFmtId="0" fontId="94" fillId="0" borderId="4" xfId="1" applyFont="1" applyFill="1" applyBorder="1" applyAlignment="1">
      <alignment horizontal="center" vertical="center"/>
    </xf>
    <xf numFmtId="49" fontId="90" fillId="0" borderId="4" xfId="5" applyNumberFormat="1" applyFont="1" applyFill="1" applyBorder="1" applyAlignment="1">
      <alignment horizontal="left" vertical="center"/>
    </xf>
    <xf numFmtId="49" fontId="90" fillId="40" borderId="4" xfId="5" applyNumberFormat="1" applyFont="1" applyFill="1" applyBorder="1" applyAlignment="1">
      <alignment horizontal="center" vertical="center"/>
    </xf>
    <xf numFmtId="0" fontId="97" fillId="3" borderId="4" xfId="1" quotePrefix="1" applyFont="1" applyFill="1" applyBorder="1" applyAlignment="1">
      <alignment horizontal="center"/>
    </xf>
    <xf numFmtId="0" fontId="93" fillId="0" borderId="8" xfId="5" applyFont="1" applyFill="1" applyBorder="1" applyAlignment="1">
      <alignment horizontal="center" vertical="center"/>
    </xf>
    <xf numFmtId="49" fontId="93" fillId="0" borderId="8" xfId="5" quotePrefix="1" applyNumberFormat="1" applyFont="1" applyFill="1" applyBorder="1" applyAlignment="1">
      <alignment horizontal="center" vertical="center"/>
    </xf>
    <xf numFmtId="0" fontId="93" fillId="0" borderId="8" xfId="5" applyFont="1" applyFill="1" applyBorder="1" applyAlignment="1">
      <alignment horizontal="left" vertical="center"/>
    </xf>
    <xf numFmtId="0" fontId="97" fillId="3" borderId="4" xfId="1" applyFont="1" applyFill="1" applyBorder="1" applyAlignment="1">
      <alignment horizontal="center"/>
    </xf>
    <xf numFmtId="0" fontId="93" fillId="3" borderId="4" xfId="4" applyFont="1" applyFill="1" applyBorder="1" applyAlignment="1">
      <alignment horizontal="center" vertical="center"/>
    </xf>
    <xf numFmtId="0" fontId="91" fillId="0" borderId="4" xfId="5" applyFont="1" applyFill="1" applyBorder="1" applyAlignment="1">
      <alignment horizontal="center" vertical="center"/>
    </xf>
    <xf numFmtId="0" fontId="97" fillId="2" borderId="4" xfId="1" applyFont="1" applyFill="1" applyBorder="1" applyAlignment="1">
      <alignment horizontal="center"/>
    </xf>
    <xf numFmtId="0" fontId="93" fillId="0" borderId="4" xfId="1" applyFont="1" applyFill="1" applyBorder="1" applyAlignment="1"/>
    <xf numFmtId="0" fontId="93" fillId="2" borderId="4" xfId="1" applyFont="1" applyFill="1" applyBorder="1" applyAlignment="1">
      <alignment horizontal="center"/>
    </xf>
    <xf numFmtId="0" fontId="97" fillId="2" borderId="4" xfId="1" applyFont="1" applyFill="1" applyBorder="1" applyAlignment="1"/>
    <xf numFmtId="0" fontId="97" fillId="2" borderId="4" xfId="1" applyFont="1" applyFill="1" applyBorder="1" applyAlignment="1">
      <alignment horizontal="center" vertical="center"/>
    </xf>
    <xf numFmtId="172" fontId="93" fillId="0" borderId="4" xfId="5" quotePrefix="1" applyNumberFormat="1" applyFont="1" applyFill="1" applyBorder="1" applyAlignment="1">
      <alignment horizontal="left" vertical="center"/>
    </xf>
    <xf numFmtId="0" fontId="97" fillId="3" borderId="4" xfId="1" applyFont="1" applyFill="1" applyBorder="1" applyAlignment="1">
      <alignment horizontal="center" vertical="center"/>
    </xf>
    <xf numFmtId="1" fontId="93" fillId="0" borderId="4" xfId="5" quotePrefix="1" applyNumberFormat="1" applyFont="1" applyFill="1" applyBorder="1" applyAlignment="1">
      <alignment horizontal="center" vertical="center"/>
    </xf>
    <xf numFmtId="49" fontId="90" fillId="0" borderId="4" xfId="5" applyNumberFormat="1" applyFont="1" applyFill="1" applyBorder="1" applyAlignment="1">
      <alignment horizontal="center" vertical="center"/>
    </xf>
    <xf numFmtId="0" fontId="90" fillId="0" borderId="0" xfId="0" applyFont="1" applyAlignment="1">
      <alignment horizontal="center"/>
    </xf>
    <xf numFmtId="0" fontId="90" fillId="40" borderId="4" xfId="0" applyFont="1" applyFill="1" applyBorder="1" applyAlignment="1">
      <alignment horizontal="center"/>
    </xf>
    <xf numFmtId="0" fontId="90" fillId="0" borderId="4" xfId="0" applyFont="1" applyBorder="1"/>
    <xf numFmtId="0" fontId="93" fillId="43" borderId="56" xfId="5" applyFont="1" applyFill="1" applyBorder="1" applyAlignment="1">
      <alignment horizontal="center" vertical="center"/>
    </xf>
    <xf numFmtId="172" fontId="93" fillId="43" borderId="56" xfId="5" applyNumberFormat="1" applyFont="1" applyFill="1" applyBorder="1" applyAlignment="1">
      <alignment horizontal="center" vertical="center"/>
    </xf>
    <xf numFmtId="1" fontId="93" fillId="43" borderId="56" xfId="5" applyNumberFormat="1" applyFont="1" applyFill="1" applyBorder="1" applyAlignment="1">
      <alignment horizontal="center" vertical="center"/>
    </xf>
    <xf numFmtId="0" fontId="93" fillId="43" borderId="0" xfId="5" applyFont="1" applyFill="1" applyBorder="1" applyAlignment="1">
      <alignment horizontal="center" vertical="center"/>
    </xf>
    <xf numFmtId="172" fontId="93" fillId="43" borderId="0" xfId="5" applyNumberFormat="1" applyFont="1" applyFill="1" applyBorder="1" applyAlignment="1">
      <alignment horizontal="center" vertical="center"/>
    </xf>
    <xf numFmtId="184" fontId="93" fillId="43" borderId="56" xfId="5" applyNumberFormat="1" applyFont="1" applyFill="1" applyBorder="1" applyAlignment="1">
      <alignment horizontal="center" vertical="center"/>
    </xf>
    <xf numFmtId="49" fontId="93" fillId="43" borderId="56" xfId="5" quotePrefix="1" applyNumberFormat="1" applyFont="1" applyFill="1" applyBorder="1" applyAlignment="1">
      <alignment horizontal="center" vertical="center"/>
    </xf>
    <xf numFmtId="49" fontId="93" fillId="43" borderId="56" xfId="5" applyNumberFormat="1" applyFont="1" applyFill="1" applyBorder="1" applyAlignment="1">
      <alignment horizontal="center" vertical="center"/>
    </xf>
    <xf numFmtId="1" fontId="93" fillId="0" borderId="5" xfId="5" quotePrefix="1" applyNumberFormat="1" applyFont="1" applyFill="1" applyBorder="1" applyAlignment="1">
      <alignment horizontal="center" vertical="center"/>
    </xf>
    <xf numFmtId="0" fontId="94" fillId="0" borderId="5" xfId="1" applyFont="1" applyFill="1" applyBorder="1" applyAlignment="1">
      <alignment horizontal="center" vertical="center"/>
    </xf>
    <xf numFmtId="0" fontId="93" fillId="0" borderId="0" xfId="5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/>
    </xf>
    <xf numFmtId="164" fontId="8" fillId="2" borderId="0" xfId="1" applyNumberFormat="1" applyFont="1" applyFill="1" applyAlignment="1">
      <alignment horizontal="center"/>
    </xf>
    <xf numFmtId="0" fontId="17" fillId="0" borderId="30" xfId="5" applyFont="1" applyFill="1" applyBorder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90" fillId="0" borderId="4" xfId="0" quotePrefix="1" applyFont="1" applyBorder="1" applyAlignment="1">
      <alignment horizontal="center"/>
    </xf>
    <xf numFmtId="0" fontId="17" fillId="0" borderId="4" xfId="5" applyFont="1" applyFill="1" applyBorder="1" applyAlignment="1">
      <alignment horizontal="center" vertical="center"/>
    </xf>
    <xf numFmtId="0" fontId="10" fillId="0" borderId="4" xfId="1" applyFont="1" applyFill="1" applyBorder="1" applyAlignment="1">
      <alignment horizontal="center" vertical="center"/>
    </xf>
    <xf numFmtId="0" fontId="17" fillId="0" borderId="4" xfId="5" quotePrefix="1" applyNumberFormat="1" applyFont="1" applyFill="1" applyBorder="1" applyAlignment="1">
      <alignment horizontal="center" vertical="center"/>
    </xf>
    <xf numFmtId="0" fontId="90" fillId="0" borderId="0" xfId="0" applyFont="1"/>
    <xf numFmtId="49" fontId="93" fillId="0" borderId="4" xfId="5" applyNumberFormat="1" applyFont="1" applyFill="1" applyBorder="1" applyAlignment="1">
      <alignment horizontal="left" vertical="center"/>
    </xf>
    <xf numFmtId="184" fontId="93" fillId="2" borderId="4" xfId="5" applyNumberFormat="1" applyFont="1" applyFill="1" applyBorder="1" applyAlignment="1">
      <alignment horizontal="center" vertical="center"/>
    </xf>
    <xf numFmtId="49" fontId="93" fillId="0" borderId="4" xfId="5" applyNumberFormat="1" applyFont="1" applyFill="1" applyBorder="1" applyAlignment="1">
      <alignment horizontal="center" vertical="center"/>
    </xf>
    <xf numFmtId="0" fontId="93" fillId="0" borderId="4" xfId="5" applyFont="1" applyFill="1" applyBorder="1" applyAlignment="1">
      <alignment horizontal="center" vertical="center"/>
    </xf>
    <xf numFmtId="172" fontId="93" fillId="0" borderId="4" xfId="5" applyNumberFormat="1" applyFont="1" applyFill="1" applyBorder="1" applyAlignment="1">
      <alignment horizontal="center" vertical="center"/>
    </xf>
    <xf numFmtId="49" fontId="93" fillId="0" borderId="4" xfId="5" quotePrefix="1" applyNumberFormat="1" applyFont="1" applyFill="1" applyBorder="1" applyAlignment="1">
      <alignment horizontal="center" vertical="center"/>
    </xf>
    <xf numFmtId="0" fontId="90" fillId="0" borderId="4" xfId="0" applyFont="1" applyBorder="1" applyAlignment="1">
      <alignment horizontal="center" vertical="center"/>
    </xf>
    <xf numFmtId="0" fontId="90" fillId="0" borderId="4" xfId="0" applyFont="1" applyBorder="1" applyAlignment="1">
      <alignment horizontal="center"/>
    </xf>
    <xf numFmtId="0" fontId="90" fillId="0" borderId="0" xfId="0" applyFont="1" applyAlignment="1">
      <alignment horizontal="center" vertical="center"/>
    </xf>
    <xf numFmtId="49" fontId="93" fillId="0" borderId="13" xfId="5" applyNumberFormat="1" applyFont="1" applyFill="1" applyBorder="1" applyAlignment="1">
      <alignment horizontal="left" vertical="center"/>
    </xf>
    <xf numFmtId="0" fontId="90" fillId="0" borderId="4" xfId="0" applyFont="1" applyFill="1" applyBorder="1"/>
    <xf numFmtId="0" fontId="90" fillId="0" borderId="4" xfId="0" applyFont="1" applyFill="1" applyBorder="1" applyAlignment="1">
      <alignment horizontal="left"/>
    </xf>
    <xf numFmtId="49" fontId="91" fillId="5" borderId="4" xfId="4" applyNumberFormat="1" applyFont="1" applyFill="1" applyBorder="1" applyAlignment="1">
      <alignment horizontal="center" vertical="center"/>
    </xf>
    <xf numFmtId="49" fontId="91" fillId="5" borderId="4" xfId="4" applyNumberFormat="1" applyFont="1" applyFill="1" applyBorder="1" applyAlignment="1">
      <alignment horizontal="left" vertical="center"/>
    </xf>
    <xf numFmtId="15" fontId="90" fillId="0" borderId="4" xfId="0" applyNumberFormat="1" applyFont="1" applyBorder="1" applyAlignment="1">
      <alignment horizontal="center"/>
    </xf>
    <xf numFmtId="184" fontId="93" fillId="2" borderId="5" xfId="5" applyNumberFormat="1" applyFont="1" applyFill="1" applyBorder="1" applyAlignment="1">
      <alignment horizontal="center" vertical="center"/>
    </xf>
    <xf numFmtId="0" fontId="90" fillId="0" borderId="0" xfId="0" applyFont="1" applyFill="1"/>
    <xf numFmtId="0" fontId="17" fillId="0" borderId="56" xfId="5" applyFont="1" applyFill="1" applyBorder="1" applyAlignment="1">
      <alignment horizontal="center" vertical="center"/>
    </xf>
    <xf numFmtId="0" fontId="93" fillId="43" borderId="13" xfId="5" applyFont="1" applyFill="1" applyBorder="1" applyAlignment="1">
      <alignment horizontal="center" vertical="center"/>
    </xf>
    <xf numFmtId="172" fontId="93" fillId="43" borderId="13" xfId="5" applyNumberFormat="1" applyFont="1" applyFill="1" applyBorder="1" applyAlignment="1">
      <alignment horizontal="center" vertical="center"/>
    </xf>
    <xf numFmtId="49" fontId="93" fillId="43" borderId="13" xfId="5" quotePrefix="1" applyNumberFormat="1" applyFont="1" applyFill="1" applyBorder="1" applyAlignment="1">
      <alignment horizontal="center" vertical="center"/>
    </xf>
    <xf numFmtId="0" fontId="93" fillId="43" borderId="13" xfId="5" applyFont="1" applyFill="1" applyBorder="1" applyAlignment="1">
      <alignment horizontal="left" vertical="center"/>
    </xf>
    <xf numFmtId="0" fontId="93" fillId="43" borderId="56" xfId="5" applyFont="1" applyFill="1" applyBorder="1" applyAlignment="1">
      <alignment horizontal="left" vertical="center"/>
    </xf>
    <xf numFmtId="0" fontId="93" fillId="43" borderId="4" xfId="5" applyFont="1" applyFill="1" applyBorder="1" applyAlignment="1">
      <alignment horizontal="center" vertical="center"/>
    </xf>
    <xf numFmtId="49" fontId="93" fillId="43" borderId="4" xfId="5" applyNumberFormat="1" applyFont="1" applyFill="1" applyBorder="1" applyAlignment="1">
      <alignment horizontal="left" vertical="center"/>
    </xf>
    <xf numFmtId="172" fontId="93" fillId="43" borderId="4" xfId="5" applyNumberFormat="1" applyFont="1" applyFill="1" applyBorder="1" applyAlignment="1">
      <alignment horizontal="center" vertical="center"/>
    </xf>
    <xf numFmtId="184" fontId="93" fillId="5" borderId="4" xfId="5" applyNumberFormat="1" applyFont="1" applyFill="1" applyBorder="1" applyAlignment="1">
      <alignment horizontal="center" vertical="center"/>
    </xf>
    <xf numFmtId="172" fontId="93" fillId="43" borderId="13" xfId="5" quotePrefix="1" applyNumberFormat="1" applyFont="1" applyFill="1" applyBorder="1" applyAlignment="1">
      <alignment horizontal="center" vertical="center"/>
    </xf>
    <xf numFmtId="49" fontId="93" fillId="43" borderId="4" xfId="5" quotePrefix="1" applyNumberFormat="1" applyFont="1" applyFill="1" applyBorder="1" applyAlignment="1">
      <alignment horizontal="center" vertical="center"/>
    </xf>
    <xf numFmtId="0" fontId="93" fillId="43" borderId="4" xfId="5" applyFont="1" applyFill="1" applyBorder="1" applyAlignment="1">
      <alignment horizontal="left" vertical="center"/>
    </xf>
    <xf numFmtId="49" fontId="93" fillId="43" borderId="4" xfId="5" applyNumberFormat="1" applyFont="1" applyFill="1" applyBorder="1" applyAlignment="1">
      <alignment horizontal="center" vertical="center"/>
    </xf>
    <xf numFmtId="0" fontId="97" fillId="0" borderId="5" xfId="1" applyFont="1" applyFill="1" applyBorder="1" applyAlignment="1">
      <alignment horizontal="center" vertical="center"/>
    </xf>
    <xf numFmtId="0" fontId="97" fillId="2" borderId="0" xfId="1" applyFont="1" applyFill="1" applyBorder="1" applyAlignment="1">
      <alignment horizontal="center"/>
    </xf>
    <xf numFmtId="168" fontId="97" fillId="2" borderId="0" xfId="1" applyNumberFormat="1" applyFont="1" applyFill="1" applyBorder="1"/>
    <xf numFmtId="169" fontId="97" fillId="2" borderId="0" xfId="1" applyNumberFormat="1" applyFont="1" applyFill="1" applyBorder="1"/>
    <xf numFmtId="0" fontId="97" fillId="2" borderId="0" xfId="1" applyFont="1" applyFill="1" applyBorder="1" applyAlignment="1">
      <alignment horizontal="center" vertical="center"/>
    </xf>
    <xf numFmtId="168" fontId="97" fillId="2" borderId="0" xfId="1" applyNumberFormat="1" applyFont="1" applyFill="1" applyBorder="1" applyAlignment="1">
      <alignment horizontal="center"/>
    </xf>
    <xf numFmtId="0" fontId="97" fillId="4" borderId="0" xfId="1" applyFont="1" applyFill="1" applyBorder="1"/>
    <xf numFmtId="168" fontId="97" fillId="2" borderId="0" xfId="1" applyNumberFormat="1" applyFont="1" applyFill="1" applyBorder="1" applyAlignment="1">
      <alignment horizontal="center" vertical="center"/>
    </xf>
    <xf numFmtId="0" fontId="97" fillId="2" borderId="0" xfId="1" applyFont="1" applyFill="1" applyBorder="1" applyAlignment="1"/>
    <xf numFmtId="0" fontId="97" fillId="2" borderId="0" xfId="1" applyFont="1" applyFill="1" applyBorder="1" applyAlignment="1">
      <alignment horizontal="left"/>
    </xf>
    <xf numFmtId="0" fontId="97" fillId="2" borderId="0" xfId="1" applyFont="1" applyFill="1" applyBorder="1"/>
    <xf numFmtId="0" fontId="97" fillId="2" borderId="0" xfId="1" applyFont="1" applyFill="1" applyBorder="1" applyAlignment="1">
      <alignment wrapText="1"/>
    </xf>
    <xf numFmtId="0" fontId="97" fillId="3" borderId="0" xfId="1" applyFont="1" applyFill="1" applyBorder="1" applyAlignment="1">
      <alignment horizontal="center" vertical="center"/>
    </xf>
    <xf numFmtId="0" fontId="96" fillId="0" borderId="5" xfId="3" applyNumberFormat="1" applyFont="1" applyFill="1" applyBorder="1" applyAlignment="1" applyProtection="1">
      <alignment horizontal="center" vertical="center"/>
    </xf>
    <xf numFmtId="0" fontId="96" fillId="43" borderId="4" xfId="3" applyNumberFormat="1" applyFont="1" applyFill="1" applyBorder="1" applyAlignment="1" applyProtection="1">
      <alignment horizontal="center" vertical="center"/>
    </xf>
    <xf numFmtId="168" fontId="97" fillId="2" borderId="4" xfId="1" applyNumberFormat="1" applyFont="1" applyFill="1" applyBorder="1"/>
    <xf numFmtId="168" fontId="97" fillId="2" borderId="4" xfId="1" applyNumberFormat="1" applyFont="1" applyFill="1" applyBorder="1" applyAlignment="1">
      <alignment horizontal="center" vertical="center"/>
    </xf>
    <xf numFmtId="0" fontId="97" fillId="2" borderId="4" xfId="1" applyFont="1" applyFill="1" applyBorder="1" applyAlignment="1">
      <alignment horizontal="left"/>
    </xf>
    <xf numFmtId="0" fontId="97" fillId="2" borderId="4" xfId="1" quotePrefix="1" applyFont="1" applyFill="1" applyBorder="1" applyAlignment="1">
      <alignment horizontal="center" vertical="center"/>
    </xf>
    <xf numFmtId="0" fontId="97" fillId="2" borderId="4" xfId="1" applyFont="1" applyFill="1" applyBorder="1" applyAlignment="1">
      <alignment wrapText="1"/>
    </xf>
    <xf numFmtId="0" fontId="97" fillId="2" borderId="4" xfId="1" quotePrefix="1" applyFont="1" applyFill="1" applyBorder="1" applyAlignment="1">
      <alignment horizontal="center"/>
    </xf>
    <xf numFmtId="0" fontId="97" fillId="0" borderId="0" xfId="1" applyFont="1" applyFill="1" applyAlignment="1">
      <alignment horizontal="center" vertical="center"/>
    </xf>
    <xf numFmtId="184" fontId="93" fillId="5" borderId="13" xfId="5" applyNumberFormat="1" applyFont="1" applyFill="1" applyBorder="1" applyAlignment="1">
      <alignment horizontal="center" vertical="center"/>
    </xf>
    <xf numFmtId="0" fontId="90" fillId="0" borderId="0" xfId="0" applyFont="1" applyBorder="1" applyAlignment="1">
      <alignment horizontal="center" vertical="center"/>
    </xf>
    <xf numFmtId="0" fontId="93" fillId="2" borderId="4" xfId="1" applyFont="1" applyFill="1" applyBorder="1" applyAlignment="1">
      <alignment horizontal="center" vertical="center"/>
    </xf>
    <xf numFmtId="0" fontId="90" fillId="0" borderId="4" xfId="0" quotePrefix="1" applyFont="1" applyFill="1" applyBorder="1" applyAlignment="1">
      <alignment horizontal="center" vertical="center"/>
    </xf>
    <xf numFmtId="0" fontId="90" fillId="0" borderId="4" xfId="0" quotePrefix="1" applyFont="1" applyBorder="1" applyAlignment="1">
      <alignment horizontal="center" vertical="center"/>
    </xf>
    <xf numFmtId="0" fontId="90" fillId="40" borderId="4" xfId="0" quotePrefix="1" applyFont="1" applyFill="1" applyBorder="1" applyAlignment="1">
      <alignment horizontal="center" vertical="center"/>
    </xf>
    <xf numFmtId="172" fontId="93" fillId="43" borderId="4" xfId="5" quotePrefix="1" applyNumberFormat="1" applyFont="1" applyFill="1" applyBorder="1" applyAlignment="1">
      <alignment horizontal="center" vertical="center"/>
    </xf>
    <xf numFmtId="168" fontId="93" fillId="0" borderId="4" xfId="5" applyNumberFormat="1" applyFont="1" applyFill="1" applyBorder="1" applyAlignment="1">
      <alignment horizontal="center" vertical="center"/>
    </xf>
    <xf numFmtId="49" fontId="93" fillId="0" borderId="4" xfId="4" applyNumberFormat="1" applyFont="1" applyFill="1" applyBorder="1" applyAlignment="1">
      <alignment horizontal="left" vertical="center"/>
    </xf>
    <xf numFmtId="49" fontId="93" fillId="3" borderId="4" xfId="4" applyNumberFormat="1" applyFont="1" applyFill="1" applyBorder="1" applyAlignment="1">
      <alignment horizontal="center" vertical="center"/>
    </xf>
    <xf numFmtId="49" fontId="93" fillId="3" borderId="4" xfId="4" applyNumberFormat="1" applyFont="1" applyFill="1" applyBorder="1" applyAlignment="1">
      <alignment horizontal="left" vertical="center"/>
    </xf>
    <xf numFmtId="49" fontId="93" fillId="3" borderId="4" xfId="4" quotePrefix="1" applyNumberFormat="1" applyFont="1" applyFill="1" applyBorder="1" applyAlignment="1">
      <alignment horizontal="center" vertical="center"/>
    </xf>
    <xf numFmtId="49" fontId="94" fillId="3" borderId="4" xfId="4" applyNumberFormat="1" applyFont="1" applyFill="1" applyBorder="1" applyAlignment="1">
      <alignment horizontal="center" vertical="center"/>
    </xf>
    <xf numFmtId="49" fontId="90" fillId="43" borderId="4" xfId="5" applyNumberFormat="1" applyFont="1" applyFill="1" applyBorder="1" applyAlignment="1">
      <alignment horizontal="center" vertical="center"/>
    </xf>
    <xf numFmtId="1" fontId="93" fillId="43" borderId="4" xfId="5" quotePrefix="1" applyNumberFormat="1" applyFont="1" applyFill="1" applyBorder="1" applyAlignment="1">
      <alignment horizontal="center" vertical="center"/>
    </xf>
    <xf numFmtId="0" fontId="94" fillId="43" borderId="4" xfId="1" applyFont="1" applyFill="1" applyBorder="1" applyAlignment="1">
      <alignment horizontal="center" vertical="center"/>
    </xf>
    <xf numFmtId="0" fontId="90" fillId="0" borderId="4" xfId="0" quotePrefix="1" applyFont="1" applyBorder="1"/>
    <xf numFmtId="172" fontId="93" fillId="0" borderId="0" xfId="5" applyNumberFormat="1" applyFont="1" applyFill="1" applyBorder="1" applyAlignment="1">
      <alignment horizontal="center" vertical="center"/>
    </xf>
    <xf numFmtId="49" fontId="93" fillId="0" borderId="56" xfId="5" applyNumberFormat="1" applyFont="1" applyFill="1" applyBorder="1" applyAlignment="1">
      <alignment horizontal="left" vertical="center"/>
    </xf>
    <xf numFmtId="0" fontId="93" fillId="0" borderId="56" xfId="5" applyFont="1" applyFill="1" applyBorder="1" applyAlignment="1">
      <alignment horizontal="center" vertical="center"/>
    </xf>
    <xf numFmtId="172" fontId="93" fillId="0" borderId="56" xfId="5" applyNumberFormat="1" applyFont="1" applyFill="1" applyBorder="1" applyAlignment="1">
      <alignment horizontal="center" vertical="center"/>
    </xf>
    <xf numFmtId="184" fontId="93" fillId="2" borderId="56" xfId="5" applyNumberFormat="1" applyFont="1" applyFill="1" applyBorder="1" applyAlignment="1">
      <alignment horizontal="center" vertical="center"/>
    </xf>
    <xf numFmtId="49" fontId="93" fillId="0" borderId="56" xfId="5" quotePrefix="1" applyNumberFormat="1" applyFont="1" applyFill="1" applyBorder="1" applyAlignment="1">
      <alignment horizontal="center" vertical="center"/>
    </xf>
    <xf numFmtId="0" fontId="93" fillId="0" borderId="56" xfId="5" applyFont="1" applyFill="1" applyBorder="1" applyAlignment="1">
      <alignment horizontal="left" vertical="center"/>
    </xf>
    <xf numFmtId="49" fontId="93" fillId="0" borderId="56" xfId="5" applyNumberFormat="1" applyFont="1" applyFill="1" applyBorder="1" applyAlignment="1">
      <alignment horizontal="center" vertical="center"/>
    </xf>
    <xf numFmtId="0" fontId="96" fillId="43" borderId="13" xfId="3" applyNumberFormat="1" applyFont="1" applyFill="1" applyBorder="1" applyAlignment="1" applyProtection="1">
      <alignment horizontal="center" vertical="center"/>
    </xf>
    <xf numFmtId="0" fontId="97" fillId="0" borderId="56" xfId="1" quotePrefix="1" applyFont="1" applyFill="1" applyBorder="1" applyAlignment="1">
      <alignment horizontal="center" vertical="center"/>
    </xf>
    <xf numFmtId="172" fontId="93" fillId="0" borderId="56" xfId="5" quotePrefix="1" applyNumberFormat="1" applyFont="1" applyFill="1" applyBorder="1" applyAlignment="1">
      <alignment horizontal="center" vertical="center"/>
    </xf>
    <xf numFmtId="0" fontId="96" fillId="0" borderId="56" xfId="3" applyNumberFormat="1" applyFont="1" applyFill="1" applyBorder="1" applyAlignment="1" applyProtection="1">
      <alignment horizontal="center" vertical="center"/>
    </xf>
    <xf numFmtId="0" fontId="90" fillId="0" borderId="8" xfId="0" applyFont="1" applyBorder="1" applyAlignment="1">
      <alignment horizontal="center" vertical="center"/>
    </xf>
    <xf numFmtId="172" fontId="93" fillId="0" borderId="8" xfId="5" applyNumberFormat="1" applyFont="1" applyFill="1" applyBorder="1" applyAlignment="1">
      <alignment horizontal="center" vertical="center"/>
    </xf>
    <xf numFmtId="184" fontId="93" fillId="2" borderId="8" xfId="5" applyNumberFormat="1" applyFont="1" applyFill="1" applyBorder="1" applyAlignment="1">
      <alignment horizontal="center" vertical="center"/>
    </xf>
    <xf numFmtId="0" fontId="93" fillId="0" borderId="3" xfId="5" applyFont="1" applyFill="1" applyBorder="1" applyAlignment="1">
      <alignment horizontal="center" vertical="center"/>
    </xf>
    <xf numFmtId="0" fontId="93" fillId="2" borderId="7" xfId="5" applyFont="1" applyFill="1" applyBorder="1" applyAlignment="1">
      <alignment horizontal="center" vertical="center"/>
    </xf>
    <xf numFmtId="0" fontId="90" fillId="44" borderId="4" xfId="0" applyFont="1" applyFill="1" applyBorder="1" applyAlignment="1">
      <alignment horizontal="center" vertical="center"/>
    </xf>
    <xf numFmtId="49" fontId="91" fillId="5" borderId="7" xfId="4" applyNumberFormat="1" applyFont="1" applyFill="1" applyBorder="1" applyAlignment="1">
      <alignment horizontal="center" vertical="center"/>
    </xf>
    <xf numFmtId="0" fontId="93" fillId="40" borderId="7" xfId="5" applyFont="1" applyFill="1" applyBorder="1" applyAlignment="1">
      <alignment horizontal="center" vertical="center"/>
    </xf>
    <xf numFmtId="49" fontId="91" fillId="5" borderId="12" xfId="4" applyNumberFormat="1" applyFont="1" applyFill="1" applyBorder="1" applyAlignment="1">
      <alignment horizontal="center" vertical="center"/>
    </xf>
    <xf numFmtId="49" fontId="90" fillId="0" borderId="8" xfId="5" applyNumberFormat="1" applyFont="1" applyFill="1" applyBorder="1" applyAlignment="1">
      <alignment horizontal="left" vertical="center"/>
    </xf>
    <xf numFmtId="49" fontId="90" fillId="0" borderId="8" xfId="5" applyNumberFormat="1" applyFont="1" applyFill="1" applyBorder="1" applyAlignment="1">
      <alignment horizontal="center" vertical="center"/>
    </xf>
    <xf numFmtId="1" fontId="93" fillId="0" borderId="8" xfId="5" quotePrefix="1" applyNumberFormat="1" applyFont="1" applyFill="1" applyBorder="1" applyAlignment="1">
      <alignment horizontal="center" vertical="center"/>
    </xf>
    <xf numFmtId="49" fontId="90" fillId="0" borderId="5" xfId="5" applyNumberFormat="1" applyFont="1" applyFill="1" applyBorder="1" applyAlignment="1">
      <alignment horizontal="left" vertical="center"/>
    </xf>
    <xf numFmtId="49" fontId="90" fillId="0" borderId="5" xfId="5" applyNumberFormat="1" applyFont="1" applyFill="1" applyBorder="1" applyAlignment="1">
      <alignment horizontal="center" vertical="center"/>
    </xf>
    <xf numFmtId="0" fontId="97" fillId="0" borderId="8" xfId="1" applyFont="1" applyFill="1" applyBorder="1" applyAlignment="1">
      <alignment horizontal="center" vertical="center"/>
    </xf>
    <xf numFmtId="0" fontId="90" fillId="0" borderId="0" xfId="0" applyFont="1" applyFill="1" applyAlignment="1">
      <alignment horizontal="center"/>
    </xf>
    <xf numFmtId="0" fontId="90" fillId="0" borderId="4" xfId="0" applyFont="1" applyFill="1" applyBorder="1" applyAlignment="1">
      <alignment horizontal="center"/>
    </xf>
    <xf numFmtId="0" fontId="93" fillId="43" borderId="56" xfId="5" applyFont="1" applyFill="1" applyBorder="1" applyAlignment="1">
      <alignment vertical="center"/>
    </xf>
    <xf numFmtId="0" fontId="93" fillId="0" borderId="0" xfId="4" applyFont="1" applyFill="1" applyBorder="1" applyAlignment="1">
      <alignment horizontal="center" vertical="center"/>
    </xf>
    <xf numFmtId="0" fontId="90" fillId="0" borderId="0" xfId="0" applyFont="1" applyFill="1" applyBorder="1" applyAlignment="1">
      <alignment wrapText="1"/>
    </xf>
    <xf numFmtId="0" fontId="97" fillId="0" borderId="0" xfId="1" applyFont="1" applyFill="1" applyBorder="1" applyAlignment="1">
      <alignment horizontal="center" vertical="center"/>
    </xf>
    <xf numFmtId="0" fontId="90" fillId="0" borderId="0" xfId="0" applyFont="1" applyFill="1" applyBorder="1"/>
    <xf numFmtId="1" fontId="93" fillId="0" borderId="0" xfId="5" applyNumberFormat="1" applyFont="1" applyFill="1" applyBorder="1" applyAlignment="1">
      <alignment horizontal="center" vertical="center"/>
    </xf>
    <xf numFmtId="184" fontId="93" fillId="0" borderId="0" xfId="5" applyNumberFormat="1" applyFont="1" applyFill="1" applyBorder="1" applyAlignment="1">
      <alignment horizontal="center" vertical="center"/>
    </xf>
    <xf numFmtId="0" fontId="97" fillId="0" borderId="0" xfId="1" quotePrefix="1" applyFont="1" applyFill="1" applyBorder="1" applyAlignment="1">
      <alignment horizontal="center" vertical="center"/>
    </xf>
    <xf numFmtId="0" fontId="90" fillId="0" borderId="0" xfId="0" applyFont="1" applyFill="1" applyBorder="1" applyAlignment="1">
      <alignment horizontal="left" vertical="center"/>
    </xf>
    <xf numFmtId="0" fontId="90" fillId="0" borderId="0" xfId="0" quotePrefix="1" applyFont="1" applyFill="1" applyBorder="1" applyAlignment="1">
      <alignment horizontal="center"/>
    </xf>
    <xf numFmtId="0" fontId="90" fillId="0" borderId="4" xfId="0" applyFont="1" applyBorder="1" applyAlignment="1">
      <alignment wrapText="1"/>
    </xf>
    <xf numFmtId="0" fontId="90" fillId="0" borderId="4" xfId="0" applyFont="1" applyBorder="1" applyAlignment="1">
      <alignment horizontal="left" vertical="center"/>
    </xf>
    <xf numFmtId="44" fontId="0" fillId="43" borderId="4" xfId="9002" applyFont="1" applyFill="1" applyBorder="1" applyAlignment="1">
      <alignment horizontal="center" vertical="center"/>
    </xf>
    <xf numFmtId="186" fontId="93" fillId="0" borderId="4" xfId="9002" applyNumberFormat="1" applyFont="1" applyFill="1" applyBorder="1" applyAlignment="1">
      <alignment horizontal="left" vertical="center"/>
    </xf>
    <xf numFmtId="0" fontId="5" fillId="2" borderId="0" xfId="1" applyFont="1" applyFill="1" applyAlignment="1">
      <alignment horizontal="center"/>
    </xf>
    <xf numFmtId="44" fontId="0" fillId="0" borderId="4" xfId="9002" applyFont="1" applyBorder="1"/>
    <xf numFmtId="0" fontId="90" fillId="0" borderId="4" xfId="0" applyFont="1" applyBorder="1" applyAlignment="1">
      <alignment horizontal="center" wrapText="1"/>
    </xf>
    <xf numFmtId="0" fontId="90" fillId="0" borderId="0" xfId="0" applyFont="1" applyBorder="1" applyAlignment="1">
      <alignment vertical="center"/>
    </xf>
    <xf numFmtId="0" fontId="90" fillId="0" borderId="0" xfId="0" applyFont="1" applyFill="1" applyAlignment="1">
      <alignment vertical="center"/>
    </xf>
    <xf numFmtId="49" fontId="93" fillId="0" borderId="0" xfId="5" applyNumberFormat="1" applyFont="1" applyFill="1" applyBorder="1" applyAlignment="1">
      <alignment horizontal="left" vertical="center"/>
    </xf>
    <xf numFmtId="184" fontId="93" fillId="2" borderId="0" xfId="5" applyNumberFormat="1" applyFont="1" applyFill="1" applyBorder="1" applyAlignment="1">
      <alignment horizontal="center" vertical="center"/>
    </xf>
    <xf numFmtId="49" fontId="93" fillId="0" borderId="0" xfId="5" quotePrefix="1" applyNumberFormat="1" applyFont="1" applyFill="1" applyBorder="1" applyAlignment="1">
      <alignment horizontal="center" vertical="center"/>
    </xf>
    <xf numFmtId="0" fontId="93" fillId="0" borderId="0" xfId="5" applyFont="1" applyFill="1" applyBorder="1" applyAlignment="1">
      <alignment horizontal="left" vertical="center"/>
    </xf>
    <xf numFmtId="49" fontId="93" fillId="0" borderId="0" xfId="5" applyNumberFormat="1" applyFont="1" applyFill="1" applyBorder="1" applyAlignment="1">
      <alignment horizontal="center" vertical="center"/>
    </xf>
    <xf numFmtId="1" fontId="93" fillId="0" borderId="0" xfId="5" quotePrefix="1" applyNumberFormat="1" applyFont="1" applyFill="1" applyBorder="1" applyAlignment="1">
      <alignment horizontal="center" vertical="center"/>
    </xf>
    <xf numFmtId="0" fontId="94" fillId="0" borderId="0" xfId="1" applyFont="1" applyFill="1" applyBorder="1" applyAlignment="1">
      <alignment horizontal="center" vertical="center"/>
    </xf>
    <xf numFmtId="0" fontId="9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41" borderId="4" xfId="0" applyFont="1" applyFill="1" applyBorder="1" applyAlignment="1">
      <alignment horizontal="center" vertical="center"/>
    </xf>
    <xf numFmtId="0" fontId="90" fillId="0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90" fillId="43" borderId="4" xfId="0" applyFont="1" applyFill="1" applyBorder="1" applyAlignment="1">
      <alignment vertical="center"/>
    </xf>
    <xf numFmtId="0" fontId="90" fillId="0" borderId="56" xfId="0" applyFont="1" applyFill="1" applyBorder="1" applyAlignment="1">
      <alignment vertical="center"/>
    </xf>
    <xf numFmtId="0" fontId="90" fillId="43" borderId="4" xfId="0" applyFont="1" applyFill="1" applyBorder="1" applyAlignment="1">
      <alignment horizontal="center" vertical="center"/>
    </xf>
    <xf numFmtId="0" fontId="90" fillId="0" borderId="56" xfId="0" applyFont="1" applyBorder="1" applyAlignment="1">
      <alignment vertical="center"/>
    </xf>
    <xf numFmtId="0" fontId="3" fillId="0" borderId="0" xfId="0" applyFont="1" applyBorder="1" applyAlignment="1">
      <alignment horizontal="center"/>
    </xf>
    <xf numFmtId="0" fontId="0" fillId="0" borderId="0" xfId="0" applyBorder="1"/>
    <xf numFmtId="168" fontId="91" fillId="39" borderId="35" xfId="4" applyNumberFormat="1" applyFont="1" applyFill="1" applyBorder="1" applyAlignment="1">
      <alignment horizontal="center" vertical="center" wrapText="1"/>
    </xf>
    <xf numFmtId="0" fontId="91" fillId="39" borderId="35" xfId="4" applyFont="1" applyFill="1" applyBorder="1" applyAlignment="1">
      <alignment horizontal="center" vertical="center"/>
    </xf>
    <xf numFmtId="0" fontId="103" fillId="0" borderId="4" xfId="1" applyNumberFormat="1" applyFont="1" applyFill="1" applyBorder="1" applyAlignment="1">
      <alignment horizontal="center" vertical="center"/>
    </xf>
    <xf numFmtId="0" fontId="103" fillId="0" borderId="4" xfId="1" applyFont="1" applyFill="1" applyBorder="1" applyAlignment="1">
      <alignment horizontal="center" vertical="center"/>
    </xf>
    <xf numFmtId="0" fontId="104" fillId="0" borderId="4" xfId="1" applyFont="1" applyFill="1" applyBorder="1" applyAlignment="1">
      <alignment horizontal="center" vertical="center"/>
    </xf>
    <xf numFmtId="0" fontId="106" fillId="0" borderId="4" xfId="3" applyFont="1" applyFill="1" applyBorder="1" applyAlignment="1" applyProtection="1">
      <alignment horizontal="center" vertical="center"/>
    </xf>
    <xf numFmtId="0" fontId="105" fillId="0" borderId="4" xfId="3" applyFont="1" applyFill="1" applyBorder="1" applyAlignment="1" applyProtection="1">
      <alignment horizontal="center" vertical="center"/>
    </xf>
    <xf numFmtId="0" fontId="93" fillId="38" borderId="4" xfId="5" applyFont="1" applyFill="1" applyBorder="1" applyAlignment="1">
      <alignment horizontal="left" vertical="center"/>
    </xf>
    <xf numFmtId="0" fontId="105" fillId="0" borderId="4" xfId="3" quotePrefix="1" applyNumberFormat="1" applyFont="1" applyFill="1" applyBorder="1" applyAlignment="1" applyProtection="1">
      <alignment horizontal="center" vertical="center"/>
    </xf>
    <xf numFmtId="0" fontId="104" fillId="3" borderId="4" xfId="1" quotePrefix="1" applyFont="1" applyFill="1" applyBorder="1" applyAlignment="1">
      <alignment horizontal="center"/>
    </xf>
    <xf numFmtId="0" fontId="97" fillId="2" borderId="4" xfId="1" quotePrefix="1" applyFont="1" applyFill="1" applyBorder="1" applyAlignment="1"/>
    <xf numFmtId="0" fontId="93" fillId="0" borderId="1" xfId="5" applyFont="1" applyFill="1" applyBorder="1" applyAlignment="1">
      <alignment horizontal="center" vertical="center"/>
    </xf>
    <xf numFmtId="1" fontId="93" fillId="0" borderId="7" xfId="5" applyNumberFormat="1" applyFont="1" applyFill="1" applyBorder="1" applyAlignment="1">
      <alignment horizontal="center" vertical="center"/>
    </xf>
    <xf numFmtId="49" fontId="91" fillId="3" borderId="4" xfId="4" applyNumberFormat="1" applyFont="1" applyFill="1" applyBorder="1" applyAlignment="1">
      <alignment horizontal="left" vertical="center"/>
    </xf>
    <xf numFmtId="49" fontId="91" fillId="3" borderId="4" xfId="4" applyNumberFormat="1" applyFont="1" applyFill="1" applyBorder="1" applyAlignment="1">
      <alignment horizontal="center" vertical="center"/>
    </xf>
    <xf numFmtId="49" fontId="95" fillId="3" borderId="4" xfId="4" applyNumberFormat="1" applyFont="1" applyFill="1" applyBorder="1" applyAlignment="1">
      <alignment horizontal="center" vertical="center"/>
    </xf>
    <xf numFmtId="0" fontId="102" fillId="35" borderId="4" xfId="5" applyFont="1" applyFill="1" applyBorder="1" applyAlignment="1">
      <alignment horizontal="center" vertical="center"/>
    </xf>
    <xf numFmtId="49" fontId="93" fillId="0" borderId="1" xfId="5" quotePrefix="1" applyNumberFormat="1" applyFont="1" applyFill="1" applyBorder="1" applyAlignment="1">
      <alignment horizontal="center" vertical="center"/>
    </xf>
    <xf numFmtId="49" fontId="93" fillId="0" borderId="1" xfId="5" applyNumberFormat="1" applyFont="1" applyFill="1" applyBorder="1" applyAlignment="1">
      <alignment horizontal="center" vertical="center"/>
    </xf>
    <xf numFmtId="0" fontId="97" fillId="3" borderId="1" xfId="1" quotePrefix="1" applyFont="1" applyFill="1" applyBorder="1" applyAlignment="1">
      <alignment horizontal="center"/>
    </xf>
    <xf numFmtId="49" fontId="93" fillId="0" borderId="1" xfId="5" applyNumberFormat="1" applyFont="1" applyFill="1" applyBorder="1" applyAlignment="1">
      <alignment horizontal="left" vertical="center"/>
    </xf>
    <xf numFmtId="172" fontId="93" fillId="0" borderId="1" xfId="5" applyNumberFormat="1" applyFont="1" applyFill="1" applyBorder="1" applyAlignment="1">
      <alignment horizontal="center" vertical="center"/>
    </xf>
    <xf numFmtId="184" fontId="93" fillId="2" borderId="1" xfId="5" applyNumberFormat="1" applyFont="1" applyFill="1" applyBorder="1" applyAlignment="1">
      <alignment horizontal="center" vertical="center"/>
    </xf>
    <xf numFmtId="172" fontId="93" fillId="0" borderId="1" xfId="5" quotePrefix="1" applyNumberFormat="1" applyFont="1" applyFill="1" applyBorder="1" applyAlignment="1">
      <alignment horizontal="center" vertical="center"/>
    </xf>
    <xf numFmtId="0" fontId="93" fillId="0" borderId="1" xfId="5" applyFont="1" applyFill="1" applyBorder="1" applyAlignment="1">
      <alignment horizontal="left" vertical="center"/>
    </xf>
    <xf numFmtId="0" fontId="96" fillId="0" borderId="1" xfId="3" applyNumberFormat="1" applyFont="1" applyFill="1" applyBorder="1" applyAlignment="1" applyProtection="1">
      <alignment horizontal="center" vertical="center"/>
    </xf>
    <xf numFmtId="0" fontId="90" fillId="0" borderId="4" xfId="0" applyFont="1" applyBorder="1" applyAlignment="1">
      <alignment horizontal="left" vertical="center" wrapText="1"/>
    </xf>
    <xf numFmtId="0" fontId="90" fillId="40" borderId="0" xfId="0" applyFont="1" applyFill="1"/>
    <xf numFmtId="0" fontId="90" fillId="0" borderId="8" xfId="0" applyFont="1" applyBorder="1" applyAlignment="1">
      <alignment horizontal="center"/>
    </xf>
    <xf numFmtId="49" fontId="93" fillId="38" borderId="4" xfId="5" applyNumberFormat="1" applyFont="1" applyFill="1" applyBorder="1" applyAlignment="1">
      <alignment horizontal="left" vertical="center"/>
    </xf>
    <xf numFmtId="0" fontId="90" fillId="38" borderId="4" xfId="0" applyFont="1" applyFill="1" applyBorder="1" applyAlignment="1">
      <alignment horizontal="left" vertical="center" wrapText="1"/>
    </xf>
    <xf numFmtId="0" fontId="90" fillId="38" borderId="4" xfId="0" applyFont="1" applyFill="1" applyBorder="1"/>
    <xf numFmtId="2" fontId="90" fillId="0" borderId="4" xfId="0" quotePrefix="1" applyNumberFormat="1" applyFont="1" applyBorder="1" applyAlignment="1">
      <alignment horizontal="center"/>
    </xf>
    <xf numFmtId="49" fontId="90" fillId="38" borderId="5" xfId="5" applyNumberFormat="1" applyFont="1" applyFill="1" applyBorder="1" applyAlignment="1">
      <alignment horizontal="left" vertical="center"/>
    </xf>
    <xf numFmtId="0" fontId="90" fillId="0" borderId="0" xfId="0" applyFont="1" applyFill="1" applyBorder="1" applyAlignment="1">
      <alignment vertical="center"/>
    </xf>
    <xf numFmtId="0" fontId="104" fillId="3" borderId="4" xfId="1" applyFont="1" applyFill="1" applyBorder="1" applyAlignment="1">
      <alignment horizontal="center"/>
    </xf>
    <xf numFmtId="0" fontId="110" fillId="0" borderId="4" xfId="3" applyFont="1" applyBorder="1" applyAlignment="1" applyProtection="1">
      <alignment horizontal="center"/>
    </xf>
    <xf numFmtId="0" fontId="90" fillId="38" borderId="4" xfId="5750" applyFont="1" applyFill="1" applyBorder="1" applyAlignment="1">
      <alignment horizontal="left" vertical="center"/>
    </xf>
    <xf numFmtId="0" fontId="90" fillId="45" borderId="4" xfId="0" applyFont="1" applyFill="1" applyBorder="1" applyAlignment="1">
      <alignment horizontal="left"/>
    </xf>
    <xf numFmtId="0" fontId="90" fillId="45" borderId="4" xfId="5750" applyFont="1" applyFill="1" applyBorder="1" applyAlignment="1">
      <alignment horizontal="left" vertical="center"/>
    </xf>
    <xf numFmtId="0" fontId="90" fillId="0" borderId="4" xfId="5750" applyFont="1" applyFill="1" applyBorder="1" applyAlignment="1">
      <alignment horizontal="left" vertical="center"/>
    </xf>
    <xf numFmtId="0" fontId="90" fillId="40" borderId="4" xfId="0" applyFont="1" applyFill="1" applyBorder="1"/>
    <xf numFmtId="0" fontId="111" fillId="40" borderId="4" xfId="0" applyFont="1" applyFill="1" applyBorder="1" applyAlignment="1">
      <alignment horizontal="center"/>
    </xf>
    <xf numFmtId="0" fontId="111" fillId="0" borderId="4" xfId="0" applyFont="1" applyBorder="1" applyAlignment="1">
      <alignment horizontal="center"/>
    </xf>
    <xf numFmtId="0" fontId="90" fillId="45" borderId="4" xfId="0" applyFont="1" applyFill="1" applyBorder="1"/>
    <xf numFmtId="0" fontId="90" fillId="40" borderId="4" xfId="0" applyFont="1" applyFill="1" applyBorder="1" applyAlignment="1">
      <alignment horizontal="center" vertical="center"/>
    </xf>
    <xf numFmtId="0" fontId="90" fillId="40" borderId="13" xfId="0" applyFont="1" applyFill="1" applyBorder="1"/>
    <xf numFmtId="0" fontId="90" fillId="0" borderId="13" xfId="0" applyFont="1" applyBorder="1"/>
    <xf numFmtId="168" fontId="91" fillId="39" borderId="35" xfId="4" applyNumberFormat="1" applyFont="1" applyFill="1" applyBorder="1" applyAlignment="1">
      <alignment horizontal="center" vertical="center" wrapText="1"/>
    </xf>
    <xf numFmtId="0" fontId="91" fillId="43" borderId="4" xfId="5" applyFont="1" applyFill="1" applyBorder="1" applyAlignment="1">
      <alignment horizontal="center" vertical="center"/>
    </xf>
    <xf numFmtId="0" fontId="90" fillId="0" borderId="0" xfId="0" applyFont="1" applyFill="1" applyBorder="1" applyAlignment="1">
      <alignment horizontal="center"/>
    </xf>
    <xf numFmtId="0" fontId="90" fillId="40" borderId="4" xfId="0" quotePrefix="1" applyFont="1" applyFill="1" applyBorder="1" applyAlignment="1">
      <alignment horizontal="center"/>
    </xf>
    <xf numFmtId="0" fontId="90" fillId="0" borderId="13" xfId="0" quotePrefix="1" applyFont="1" applyBorder="1" applyAlignment="1">
      <alignment horizontal="center"/>
    </xf>
    <xf numFmtId="14" fontId="90" fillId="0" borderId="4" xfId="0" applyNumberFormat="1" applyFont="1" applyBorder="1" applyAlignment="1">
      <alignment horizontal="center" vertical="center"/>
    </xf>
    <xf numFmtId="14" fontId="90" fillId="40" borderId="4" xfId="0" applyNumberFormat="1" applyFont="1" applyFill="1" applyBorder="1" applyAlignment="1">
      <alignment horizontal="center" vertical="center"/>
    </xf>
    <xf numFmtId="14" fontId="90" fillId="0" borderId="13" xfId="0" applyNumberFormat="1" applyFont="1" applyBorder="1" applyAlignment="1">
      <alignment horizontal="center" vertical="center"/>
    </xf>
    <xf numFmtId="15" fontId="90" fillId="0" borderId="4" xfId="0" applyNumberFormat="1" applyFont="1" applyBorder="1" applyAlignment="1">
      <alignment horizontal="center" vertical="center"/>
    </xf>
    <xf numFmtId="168" fontId="104" fillId="2" borderId="4" xfId="1" applyNumberFormat="1" applyFont="1" applyFill="1" applyBorder="1"/>
    <xf numFmtId="0" fontId="90" fillId="0" borderId="0" xfId="0" applyFont="1" applyFill="1" applyAlignment="1">
      <alignment horizontal="center" vertical="center"/>
    </xf>
    <xf numFmtId="0" fontId="91" fillId="43" borderId="4" xfId="5" applyFont="1" applyFill="1" applyBorder="1" applyAlignment="1">
      <alignment horizontal="center" vertical="center"/>
    </xf>
    <xf numFmtId="0" fontId="90" fillId="0" borderId="13" xfId="0" applyFont="1" applyBorder="1" applyAlignment="1">
      <alignment horizontal="center" vertical="center"/>
    </xf>
    <xf numFmtId="14" fontId="90" fillId="40" borderId="13" xfId="0" applyNumberFormat="1" applyFont="1" applyFill="1" applyBorder="1" applyAlignment="1">
      <alignment horizontal="center" vertical="center"/>
    </xf>
    <xf numFmtId="0" fontId="90" fillId="0" borderId="13" xfId="0" applyFont="1" applyBorder="1" applyAlignment="1">
      <alignment horizontal="center"/>
    </xf>
    <xf numFmtId="0" fontId="90" fillId="40" borderId="13" xfId="0" quotePrefix="1" applyFont="1" applyFill="1" applyBorder="1" applyAlignment="1">
      <alignment horizontal="center"/>
    </xf>
    <xf numFmtId="0" fontId="90" fillId="0" borderId="4" xfId="0" applyFont="1" applyFill="1" applyBorder="1" applyAlignment="1">
      <alignment horizontal="center" vertical="center"/>
    </xf>
    <xf numFmtId="14" fontId="90" fillId="0" borderId="4" xfId="0" applyNumberFormat="1" applyFont="1" applyFill="1" applyBorder="1" applyAlignment="1">
      <alignment horizontal="center" vertical="center"/>
    </xf>
    <xf numFmtId="0" fontId="90" fillId="0" borderId="4" xfId="0" quotePrefix="1" applyFont="1" applyFill="1" applyBorder="1" applyAlignment="1">
      <alignment horizontal="center"/>
    </xf>
    <xf numFmtId="0" fontId="90" fillId="45" borderId="5" xfId="5750" applyFont="1" applyFill="1" applyBorder="1" applyAlignment="1">
      <alignment horizontal="left" vertical="center"/>
    </xf>
    <xf numFmtId="0" fontId="90" fillId="0" borderId="5" xfId="0" applyFont="1" applyFill="1" applyBorder="1"/>
    <xf numFmtId="0" fontId="0" fillId="0" borderId="0" xfId="0" applyFill="1"/>
    <xf numFmtId="0" fontId="90" fillId="46" borderId="4" xfId="0" applyFont="1" applyFill="1" applyBorder="1"/>
    <xf numFmtId="0" fontId="91" fillId="37" borderId="4" xfId="4" applyFont="1" applyFill="1" applyBorder="1" applyAlignment="1">
      <alignment horizontal="center" vertical="center"/>
    </xf>
    <xf numFmtId="49" fontId="91" fillId="0" borderId="0" xfId="4" applyNumberFormat="1" applyFont="1" applyFill="1" applyBorder="1" applyAlignment="1">
      <alignment horizontal="center" vertical="center"/>
    </xf>
    <xf numFmtId="49" fontId="95" fillId="0" borderId="0" xfId="4" applyNumberFormat="1" applyFont="1" applyFill="1" applyBorder="1" applyAlignment="1">
      <alignment horizontal="center" vertical="center"/>
    </xf>
    <xf numFmtId="49" fontId="91" fillId="37" borderId="4" xfId="4" applyNumberFormat="1" applyFont="1" applyFill="1" applyBorder="1" applyAlignment="1">
      <alignment horizontal="center" vertical="center"/>
    </xf>
    <xf numFmtId="0" fontId="90" fillId="0" borderId="5" xfId="5750" applyFont="1" applyFill="1" applyBorder="1" applyAlignment="1">
      <alignment horizontal="left" vertical="center"/>
    </xf>
    <xf numFmtId="0" fontId="102" fillId="35" borderId="4" xfId="0" applyFont="1" applyFill="1" applyBorder="1" applyAlignment="1">
      <alignment horizontal="center"/>
    </xf>
    <xf numFmtId="0" fontId="90" fillId="0" borderId="13" xfId="0" applyFont="1" applyBorder="1" applyAlignment="1">
      <alignment horizontal="center" vertical="center"/>
    </xf>
    <xf numFmtId="0" fontId="90" fillId="38" borderId="4" xfId="0" applyFont="1" applyFill="1" applyBorder="1" applyAlignment="1">
      <alignment horizontal="left"/>
    </xf>
    <xf numFmtId="0" fontId="90" fillId="0" borderId="13" xfId="0" applyFont="1" applyBorder="1" applyAlignment="1">
      <alignment horizontal="center" vertical="center"/>
    </xf>
    <xf numFmtId="0" fontId="91" fillId="43" borderId="4" xfId="5" applyFont="1" applyFill="1" applyBorder="1" applyAlignment="1">
      <alignment horizontal="center" vertical="center"/>
    </xf>
    <xf numFmtId="49" fontId="93" fillId="0" borderId="10" xfId="5" quotePrefix="1" applyNumberFormat="1" applyFont="1" applyFill="1" applyBorder="1" applyAlignment="1">
      <alignment horizontal="center" vertical="center"/>
    </xf>
    <xf numFmtId="172" fontId="91" fillId="43" borderId="4" xfId="5" applyNumberFormat="1" applyFont="1" applyFill="1" applyBorder="1" applyAlignment="1">
      <alignment horizontal="center" vertical="center"/>
    </xf>
    <xf numFmtId="0" fontId="93" fillId="0" borderId="4" xfId="5" applyFont="1" applyFill="1" applyBorder="1" applyAlignment="1">
      <alignment horizontal="center"/>
    </xf>
    <xf numFmtId="172" fontId="93" fillId="0" borderId="4" xfId="5" applyNumberFormat="1" applyFont="1" applyFill="1" applyBorder="1" applyAlignment="1">
      <alignment horizontal="center"/>
    </xf>
    <xf numFmtId="172" fontId="93" fillId="0" borderId="4" xfId="5" quotePrefix="1" applyNumberFormat="1" applyFont="1" applyFill="1" applyBorder="1" applyAlignment="1">
      <alignment horizontal="center"/>
    </xf>
    <xf numFmtId="1" fontId="93" fillId="0" borderId="4" xfId="5" quotePrefix="1" applyNumberFormat="1" applyFont="1" applyFill="1" applyBorder="1" applyAlignment="1">
      <alignment horizontal="center"/>
    </xf>
    <xf numFmtId="0" fontId="94" fillId="0" borderId="4" xfId="1" applyFont="1" applyFill="1" applyBorder="1" applyAlignment="1">
      <alignment horizontal="center"/>
    </xf>
    <xf numFmtId="14" fontId="90" fillId="0" borderId="4" xfId="0" applyNumberFormat="1" applyFont="1" applyBorder="1" applyAlignment="1">
      <alignment horizontal="center"/>
    </xf>
    <xf numFmtId="0" fontId="90" fillId="0" borderId="4" xfId="0" applyFont="1" applyBorder="1" applyAlignment="1">
      <alignment horizontal="left"/>
    </xf>
    <xf numFmtId="0" fontId="90" fillId="46" borderId="4" xfId="0" applyFont="1" applyFill="1" applyBorder="1" applyAlignment="1">
      <alignment horizontal="left"/>
    </xf>
    <xf numFmtId="49" fontId="93" fillId="0" borderId="4" xfId="4" applyNumberFormat="1" applyFont="1" applyFill="1" applyBorder="1" applyAlignment="1">
      <alignment horizontal="center" vertical="center"/>
    </xf>
    <xf numFmtId="0" fontId="90" fillId="0" borderId="8" xfId="0" applyFont="1" applyFill="1" applyBorder="1" applyAlignment="1">
      <alignment horizontal="center" vertical="center"/>
    </xf>
    <xf numFmtId="0" fontId="90" fillId="0" borderId="4" xfId="0" applyFont="1" applyFill="1" applyBorder="1" applyAlignment="1">
      <alignment wrapText="1"/>
    </xf>
    <xf numFmtId="0" fontId="90" fillId="0" borderId="4" xfId="0" applyFont="1" applyFill="1" applyBorder="1" applyAlignment="1">
      <alignment horizontal="left" vertical="center" wrapText="1"/>
    </xf>
    <xf numFmtId="0" fontId="91" fillId="41" borderId="4" xfId="5" applyFont="1" applyFill="1" applyBorder="1" applyAlignment="1">
      <alignment horizontal="center" vertical="center"/>
    </xf>
    <xf numFmtId="49" fontId="91" fillId="37" borderId="4" xfId="4" applyNumberFormat="1" applyFont="1" applyFill="1" applyBorder="1" applyAlignment="1">
      <alignment horizontal="left" vertical="center"/>
    </xf>
    <xf numFmtId="49" fontId="95" fillId="37" borderId="4" xfId="4" applyNumberFormat="1" applyFont="1" applyFill="1" applyBorder="1" applyAlignment="1">
      <alignment horizontal="center" vertical="center"/>
    </xf>
    <xf numFmtId="0" fontId="104" fillId="2" borderId="4" xfId="1" applyFont="1" applyFill="1" applyBorder="1" applyAlignment="1">
      <alignment horizontal="center" vertical="center"/>
    </xf>
    <xf numFmtId="0" fontId="104" fillId="2" borderId="4" xfId="1" applyFont="1" applyFill="1" applyBorder="1" applyAlignment="1">
      <alignment horizontal="center"/>
    </xf>
    <xf numFmtId="0" fontId="104" fillId="2" borderId="4" xfId="1" applyFont="1" applyFill="1" applyBorder="1"/>
    <xf numFmtId="0" fontId="104" fillId="2" borderId="4" xfId="1" applyFont="1" applyFill="1" applyBorder="1" applyAlignment="1"/>
    <xf numFmtId="168" fontId="104" fillId="2" borderId="4" xfId="1" applyNumberFormat="1" applyFont="1" applyFill="1" applyBorder="1" applyAlignment="1">
      <alignment horizontal="center"/>
    </xf>
    <xf numFmtId="0" fontId="104" fillId="2" borderId="4" xfId="1" quotePrefix="1" applyFont="1" applyFill="1" applyBorder="1" applyAlignment="1">
      <alignment horizontal="center"/>
    </xf>
    <xf numFmtId="0" fontId="104" fillId="2" borderId="4" xfId="1" applyFont="1" applyFill="1" applyBorder="1" applyAlignment="1">
      <alignment horizontal="left"/>
    </xf>
    <xf numFmtId="0" fontId="104" fillId="2" borderId="4" xfId="1" applyFont="1" applyFill="1" applyBorder="1" applyAlignment="1">
      <alignment wrapText="1"/>
    </xf>
    <xf numFmtId="0" fontId="105" fillId="3" borderId="4" xfId="3" applyFont="1" applyFill="1" applyBorder="1" applyAlignment="1" applyProtection="1">
      <alignment horizontal="center" vertical="center"/>
    </xf>
    <xf numFmtId="49" fontId="93" fillId="0" borderId="4" xfId="7" quotePrefix="1" applyNumberFormat="1" applyFont="1" applyFill="1" applyBorder="1" applyAlignment="1">
      <alignment horizontal="center" vertical="center"/>
    </xf>
    <xf numFmtId="172" fontId="93" fillId="38" borderId="4" xfId="5" quotePrefix="1" applyNumberFormat="1" applyFont="1" applyFill="1" applyBorder="1" applyAlignment="1">
      <alignment horizontal="center" vertical="center"/>
    </xf>
    <xf numFmtId="49" fontId="93" fillId="0" borderId="4" xfId="6" applyNumberFormat="1" applyFont="1" applyFill="1" applyBorder="1" applyAlignment="1">
      <alignment horizontal="center" vertical="center" wrapText="1"/>
    </xf>
    <xf numFmtId="49" fontId="93" fillId="40" borderId="4" xfId="7" quotePrefix="1" applyNumberFormat="1" applyFont="1" applyFill="1" applyBorder="1" applyAlignment="1">
      <alignment horizontal="center" vertical="center"/>
    </xf>
    <xf numFmtId="0" fontId="96" fillId="40" borderId="4" xfId="3" applyFont="1" applyFill="1" applyBorder="1" applyAlignment="1" applyProtection="1">
      <alignment horizontal="center" vertical="center"/>
    </xf>
    <xf numFmtId="14" fontId="93" fillId="0" borderId="4" xfId="5" applyNumberFormat="1" applyFont="1" applyFill="1" applyBorder="1" applyAlignment="1">
      <alignment horizontal="center" vertical="center"/>
    </xf>
    <xf numFmtId="171" fontId="90" fillId="0" borderId="4" xfId="0" applyNumberFormat="1" applyFont="1" applyBorder="1" applyAlignment="1">
      <alignment horizontal="center" vertical="center"/>
    </xf>
    <xf numFmtId="1" fontId="93" fillId="0" borderId="7" xfId="5" quotePrefix="1" applyNumberFormat="1" applyFont="1" applyFill="1" applyBorder="1" applyAlignment="1">
      <alignment horizontal="center" vertical="center"/>
    </xf>
    <xf numFmtId="0" fontId="16" fillId="5" borderId="6" xfId="4" applyFont="1" applyFill="1" applyBorder="1" applyAlignment="1">
      <alignment horizontal="left" vertical="center"/>
    </xf>
    <xf numFmtId="0" fontId="16" fillId="5" borderId="8" xfId="4" applyFont="1" applyFill="1" applyBorder="1" applyAlignment="1">
      <alignment horizontal="left" vertical="center"/>
    </xf>
    <xf numFmtId="0" fontId="9" fillId="34" borderId="4" xfId="1" applyFont="1" applyFill="1" applyBorder="1" applyAlignment="1">
      <alignment horizontal="center" vertical="center" wrapText="1"/>
    </xf>
    <xf numFmtId="0" fontId="14" fillId="34" borderId="5" xfId="4" applyFont="1" applyFill="1" applyBorder="1" applyAlignment="1">
      <alignment horizontal="center" vertical="center"/>
    </xf>
    <xf numFmtId="0" fontId="14" fillId="34" borderId="10" xfId="4" applyFont="1" applyFill="1" applyBorder="1" applyAlignment="1">
      <alignment horizontal="center" vertical="center"/>
    </xf>
    <xf numFmtId="0" fontId="14" fillId="34" borderId="6" xfId="4" applyFont="1" applyFill="1" applyBorder="1" applyAlignment="1">
      <alignment horizontal="center" vertical="center"/>
    </xf>
    <xf numFmtId="0" fontId="14" fillId="34" borderId="8" xfId="4" applyFont="1" applyFill="1" applyBorder="1" applyAlignment="1">
      <alignment horizontal="center" vertical="center"/>
    </xf>
    <xf numFmtId="0" fontId="14" fillId="34" borderId="7" xfId="4" applyFont="1" applyFill="1" applyBorder="1" applyAlignment="1">
      <alignment horizontal="center" vertical="center"/>
    </xf>
    <xf numFmtId="49" fontId="14" fillId="34" borderId="5" xfId="4" applyNumberFormat="1" applyFont="1" applyFill="1" applyBorder="1" applyAlignment="1">
      <alignment horizontal="center" vertical="center" wrapText="1"/>
    </xf>
    <xf numFmtId="49" fontId="14" fillId="34" borderId="13" xfId="4" applyNumberFormat="1" applyFont="1" applyFill="1" applyBorder="1" applyAlignment="1">
      <alignment horizontal="center" vertical="center" wrapText="1"/>
    </xf>
    <xf numFmtId="49" fontId="14" fillId="34" borderId="10" xfId="4" applyNumberFormat="1" applyFont="1" applyFill="1" applyBorder="1" applyAlignment="1">
      <alignment horizontal="center" vertical="center" wrapText="1"/>
    </xf>
    <xf numFmtId="49" fontId="14" fillId="34" borderId="5" xfId="4" applyNumberFormat="1" applyFont="1" applyFill="1" applyBorder="1" applyAlignment="1">
      <alignment horizontal="center" vertical="center"/>
    </xf>
    <xf numFmtId="49" fontId="14" fillId="34" borderId="10" xfId="4" applyNumberFormat="1" applyFont="1" applyFill="1" applyBorder="1" applyAlignment="1">
      <alignment horizontal="center" vertical="center"/>
    </xf>
    <xf numFmtId="0" fontId="14" fillId="34" borderId="5" xfId="5" applyNumberFormat="1" applyFont="1" applyFill="1" applyBorder="1" applyAlignment="1">
      <alignment horizontal="center" vertical="center"/>
    </xf>
    <xf numFmtId="0" fontId="14" fillId="34" borderId="10" xfId="5" applyNumberFormat="1" applyFont="1" applyFill="1" applyBorder="1" applyAlignment="1">
      <alignment horizontal="center" vertical="center"/>
    </xf>
    <xf numFmtId="0" fontId="14" fillId="34" borderId="13" xfId="4" applyFont="1" applyFill="1" applyBorder="1" applyAlignment="1">
      <alignment horizontal="center" vertical="center"/>
    </xf>
    <xf numFmtId="0" fontId="14" fillId="34" borderId="5" xfId="4" applyFont="1" applyFill="1" applyBorder="1" applyAlignment="1">
      <alignment horizontal="center" vertical="center" wrapText="1"/>
    </xf>
    <xf numFmtId="0" fontId="14" fillId="34" borderId="10" xfId="4" applyFont="1" applyFill="1" applyBorder="1" applyAlignment="1">
      <alignment horizontal="center" vertical="center" wrapText="1"/>
    </xf>
    <xf numFmtId="0" fontId="14" fillId="34" borderId="13" xfId="4" applyFont="1" applyFill="1" applyBorder="1" applyAlignment="1">
      <alignment horizontal="center" vertical="center" wrapText="1"/>
    </xf>
    <xf numFmtId="0" fontId="14" fillId="34" borderId="6" xfId="5" applyNumberFormat="1" applyFont="1" applyFill="1" applyBorder="1" applyAlignment="1">
      <alignment horizontal="center" vertical="center"/>
    </xf>
    <xf numFmtId="0" fontId="14" fillId="34" borderId="8" xfId="5" applyNumberFormat="1" applyFont="1" applyFill="1" applyBorder="1" applyAlignment="1">
      <alignment horizontal="center" vertical="center"/>
    </xf>
    <xf numFmtId="0" fontId="14" fillId="34" borderId="7" xfId="5" applyNumberFormat="1" applyFont="1" applyFill="1" applyBorder="1" applyAlignment="1">
      <alignment horizontal="center" vertical="center"/>
    </xf>
    <xf numFmtId="172" fontId="14" fillId="34" borderId="5" xfId="4" applyNumberFormat="1" applyFont="1" applyFill="1" applyBorder="1" applyAlignment="1">
      <alignment horizontal="center" vertical="center"/>
    </xf>
    <xf numFmtId="172" fontId="14" fillId="34" borderId="10" xfId="4" applyNumberFormat="1" applyFont="1" applyFill="1" applyBorder="1" applyAlignment="1">
      <alignment horizontal="center" vertical="center"/>
    </xf>
    <xf numFmtId="172" fontId="14" fillId="34" borderId="13" xfId="4" applyNumberFormat="1" applyFont="1" applyFill="1" applyBorder="1" applyAlignment="1">
      <alignment horizontal="center" vertical="center"/>
    </xf>
    <xf numFmtId="170" fontId="11" fillId="2" borderId="0" xfId="1" applyNumberFormat="1" applyFont="1" applyFill="1" applyAlignment="1">
      <alignment horizontal="left" vertical="center"/>
    </xf>
    <xf numFmtId="0" fontId="14" fillId="34" borderId="2" xfId="4" applyFont="1" applyFill="1" applyBorder="1" applyAlignment="1">
      <alignment horizontal="center" vertical="center"/>
    </xf>
    <xf numFmtId="0" fontId="14" fillId="34" borderId="9" xfId="4" applyFont="1" applyFill="1" applyBorder="1" applyAlignment="1">
      <alignment horizontal="center" vertical="center"/>
    </xf>
    <xf numFmtId="0" fontId="14" fillId="34" borderId="4" xfId="4" applyFont="1" applyFill="1" applyBorder="1" applyAlignment="1">
      <alignment horizontal="center" vertical="center" wrapText="1"/>
    </xf>
    <xf numFmtId="0" fontId="14" fillId="34" borderId="3" xfId="4" applyFont="1" applyFill="1" applyBorder="1" applyAlignment="1">
      <alignment horizontal="center" vertical="center"/>
    </xf>
    <xf numFmtId="0" fontId="14" fillId="34" borderId="11" xfId="4" applyFont="1" applyFill="1" applyBorder="1" applyAlignment="1">
      <alignment horizontal="center" vertical="center"/>
    </xf>
    <xf numFmtId="0" fontId="14" fillId="34" borderId="12" xfId="4" applyFont="1" applyFill="1" applyBorder="1" applyAlignment="1">
      <alignment horizontal="center" vertical="center"/>
    </xf>
    <xf numFmtId="172" fontId="14" fillId="34" borderId="4" xfId="4" applyNumberFormat="1" applyFont="1" applyFill="1" applyBorder="1" applyAlignment="1">
      <alignment horizontal="center" vertical="center" wrapText="1"/>
    </xf>
    <xf numFmtId="172" fontId="14" fillId="34" borderId="5" xfId="4" applyNumberFormat="1" applyFont="1" applyFill="1" applyBorder="1" applyAlignment="1">
      <alignment horizontal="center" vertical="center" wrapText="1"/>
    </xf>
    <xf numFmtId="172" fontId="14" fillId="34" borderId="13" xfId="4" applyNumberFormat="1" applyFont="1" applyFill="1" applyBorder="1" applyAlignment="1">
      <alignment horizontal="center" vertical="center" wrapText="1"/>
    </xf>
    <xf numFmtId="0" fontId="14" fillId="34" borderId="4" xfId="4" applyFont="1" applyFill="1" applyBorder="1" applyAlignment="1">
      <alignment horizontal="center" vertical="center"/>
    </xf>
    <xf numFmtId="168" fontId="14" fillId="34" borderId="4" xfId="4" applyNumberFormat="1" applyFont="1" applyFill="1" applyBorder="1" applyAlignment="1">
      <alignment horizontal="center" vertical="center" wrapText="1"/>
    </xf>
    <xf numFmtId="168" fontId="14" fillId="34" borderId="5" xfId="4" applyNumberFormat="1" applyFont="1" applyFill="1" applyBorder="1" applyAlignment="1">
      <alignment horizontal="center" vertical="center" wrapText="1"/>
    </xf>
    <xf numFmtId="168" fontId="16" fillId="39" borderId="44" xfId="4" applyNumberFormat="1" applyFont="1" applyFill="1" applyBorder="1" applyAlignment="1">
      <alignment horizontal="center" vertical="center" wrapText="1"/>
    </xf>
    <xf numFmtId="168" fontId="16" fillId="39" borderId="51" xfId="4" applyNumberFormat="1" applyFont="1" applyFill="1" applyBorder="1" applyAlignment="1">
      <alignment horizontal="center" vertical="center" wrapText="1"/>
    </xf>
    <xf numFmtId="168" fontId="16" fillId="39" borderId="45" xfId="4" applyNumberFormat="1" applyFont="1" applyFill="1" applyBorder="1" applyAlignment="1">
      <alignment horizontal="center" vertical="center" wrapText="1"/>
    </xf>
    <xf numFmtId="168" fontId="16" fillId="39" borderId="49" xfId="4" applyNumberFormat="1" applyFont="1" applyFill="1" applyBorder="1" applyAlignment="1">
      <alignment horizontal="center" vertical="center" wrapText="1"/>
    </xf>
    <xf numFmtId="168" fontId="16" fillId="39" borderId="52" xfId="4" applyNumberFormat="1" applyFont="1" applyFill="1" applyBorder="1" applyAlignment="1">
      <alignment horizontal="center" vertical="center" wrapText="1"/>
    </xf>
    <xf numFmtId="168" fontId="16" fillId="39" borderId="53" xfId="4" applyNumberFormat="1" applyFont="1" applyFill="1" applyBorder="1" applyAlignment="1">
      <alignment horizontal="center" vertical="center" wrapText="1"/>
    </xf>
    <xf numFmtId="0" fontId="16" fillId="39" borderId="31" xfId="4" applyFont="1" applyFill="1" applyBorder="1" applyAlignment="1">
      <alignment horizontal="center" vertical="center" wrapText="1"/>
    </xf>
    <xf numFmtId="0" fontId="16" fillId="39" borderId="10" xfId="4" applyFont="1" applyFill="1" applyBorder="1" applyAlignment="1">
      <alignment horizontal="center" vertical="center" wrapText="1"/>
    </xf>
    <xf numFmtId="0" fontId="16" fillId="39" borderId="48" xfId="4" applyFont="1" applyFill="1" applyBorder="1" applyAlignment="1">
      <alignment horizontal="center" vertical="center" wrapText="1"/>
    </xf>
    <xf numFmtId="0" fontId="16" fillId="39" borderId="44" xfId="4" applyFont="1" applyFill="1" applyBorder="1" applyAlignment="1">
      <alignment horizontal="center" vertical="center"/>
    </xf>
    <xf numFmtId="0" fontId="16" fillId="39" borderId="9" xfId="4" applyFont="1" applyFill="1" applyBorder="1" applyAlignment="1">
      <alignment horizontal="center" vertical="center"/>
    </xf>
    <xf numFmtId="0" fontId="16" fillId="39" borderId="49" xfId="4" applyFont="1" applyFill="1" applyBorder="1" applyAlignment="1">
      <alignment horizontal="center" vertical="center"/>
    </xf>
    <xf numFmtId="0" fontId="16" fillId="39" borderId="30" xfId="4" applyFont="1" applyFill="1" applyBorder="1" applyAlignment="1">
      <alignment horizontal="center" vertical="center" wrapText="1"/>
    </xf>
    <xf numFmtId="0" fontId="16" fillId="39" borderId="4" xfId="4" applyFont="1" applyFill="1" applyBorder="1" applyAlignment="1">
      <alignment horizontal="center" vertical="center" wrapText="1"/>
    </xf>
    <xf numFmtId="0" fontId="16" fillId="39" borderId="35" xfId="4" applyFont="1" applyFill="1" applyBorder="1" applyAlignment="1">
      <alignment horizontal="center" vertical="center" wrapText="1"/>
    </xf>
    <xf numFmtId="0" fontId="16" fillId="5" borderId="0" xfId="4" applyFont="1" applyFill="1" applyBorder="1" applyAlignment="1">
      <alignment horizontal="left" vertical="center"/>
    </xf>
    <xf numFmtId="0" fontId="16" fillId="5" borderId="13" xfId="4" applyFont="1" applyFill="1" applyBorder="1" applyAlignment="1">
      <alignment horizontal="left" vertical="center"/>
    </xf>
    <xf numFmtId="0" fontId="16" fillId="5" borderId="11" xfId="4" applyFont="1" applyFill="1" applyBorder="1" applyAlignment="1">
      <alignment horizontal="left" vertical="center"/>
    </xf>
    <xf numFmtId="0" fontId="16" fillId="5" borderId="1" xfId="4" applyFont="1" applyFill="1" applyBorder="1" applyAlignment="1">
      <alignment horizontal="left" vertical="center"/>
    </xf>
    <xf numFmtId="0" fontId="16" fillId="39" borderId="29" xfId="4" applyFont="1" applyFill="1" applyBorder="1" applyAlignment="1">
      <alignment horizontal="center" vertical="center"/>
    </xf>
    <xf numFmtId="0" fontId="16" fillId="39" borderId="33" xfId="4" applyFont="1" applyFill="1" applyBorder="1" applyAlignment="1">
      <alignment horizontal="center" vertical="center"/>
    </xf>
    <xf numFmtId="0" fontId="16" fillId="39" borderId="47" xfId="4" applyFont="1" applyFill="1" applyBorder="1" applyAlignment="1">
      <alignment horizontal="center" vertical="center"/>
    </xf>
    <xf numFmtId="0" fontId="16" fillId="39" borderId="30" xfId="4" applyFont="1" applyFill="1" applyBorder="1" applyAlignment="1">
      <alignment horizontal="center" vertical="center"/>
    </xf>
    <xf numFmtId="0" fontId="16" fillId="39" borderId="5" xfId="4" applyFont="1" applyFill="1" applyBorder="1" applyAlignment="1">
      <alignment horizontal="center" vertical="center"/>
    </xf>
    <xf numFmtId="0" fontId="16" fillId="39" borderId="35" xfId="4" applyFont="1" applyFill="1" applyBorder="1" applyAlignment="1">
      <alignment horizontal="center" vertical="center"/>
    </xf>
    <xf numFmtId="0" fontId="84" fillId="39" borderId="38" xfId="1" applyFont="1" applyFill="1" applyBorder="1" applyAlignment="1">
      <alignment horizontal="center" vertical="center" wrapText="1"/>
    </xf>
    <xf numFmtId="0" fontId="84" fillId="39" borderId="39" xfId="1" applyFont="1" applyFill="1" applyBorder="1" applyAlignment="1">
      <alignment horizontal="center" vertical="center" wrapText="1"/>
    </xf>
    <xf numFmtId="0" fontId="84" fillId="39" borderId="40" xfId="1" applyFont="1" applyFill="1" applyBorder="1" applyAlignment="1">
      <alignment horizontal="center" vertical="center" wrapText="1"/>
    </xf>
    <xf numFmtId="172" fontId="16" fillId="39" borderId="4" xfId="4" applyNumberFormat="1" applyFont="1" applyFill="1" applyBorder="1" applyAlignment="1">
      <alignment horizontal="center" vertical="center" wrapText="1"/>
    </xf>
    <xf numFmtId="0" fontId="16" fillId="39" borderId="48" xfId="4" applyFont="1" applyFill="1" applyBorder="1" applyAlignment="1">
      <alignment horizontal="center" vertical="center"/>
    </xf>
    <xf numFmtId="0" fontId="16" fillId="39" borderId="42" xfId="5" applyNumberFormat="1" applyFont="1" applyFill="1" applyBorder="1" applyAlignment="1">
      <alignment horizontal="center" vertical="center"/>
    </xf>
    <xf numFmtId="0" fontId="16" fillId="39" borderId="46" xfId="5" applyNumberFormat="1" applyFont="1" applyFill="1" applyBorder="1" applyAlignment="1">
      <alignment horizontal="center" vertical="center"/>
    </xf>
    <xf numFmtId="0" fontId="16" fillId="39" borderId="43" xfId="5" applyNumberFormat="1" applyFont="1" applyFill="1" applyBorder="1" applyAlignment="1">
      <alignment horizontal="center" vertical="center"/>
    </xf>
    <xf numFmtId="0" fontId="16" fillId="39" borderId="42" xfId="4" applyFont="1" applyFill="1" applyBorder="1" applyAlignment="1">
      <alignment horizontal="center" vertical="center"/>
    </xf>
    <xf numFmtId="0" fontId="16" fillId="39" borderId="43" xfId="4" applyFont="1" applyFill="1" applyBorder="1" applyAlignment="1">
      <alignment horizontal="center" vertical="center"/>
    </xf>
    <xf numFmtId="0" fontId="16" fillId="39" borderId="31" xfId="4" applyFont="1" applyFill="1" applyBorder="1" applyAlignment="1">
      <alignment horizontal="center" vertical="center"/>
    </xf>
    <xf numFmtId="0" fontId="16" fillId="39" borderId="10" xfId="4" applyFont="1" applyFill="1" applyBorder="1" applyAlignment="1">
      <alignment horizontal="center" vertical="center"/>
    </xf>
    <xf numFmtId="172" fontId="16" fillId="39" borderId="5" xfId="4" applyNumberFormat="1" applyFont="1" applyFill="1" applyBorder="1" applyAlignment="1">
      <alignment horizontal="center" vertical="center"/>
    </xf>
    <xf numFmtId="172" fontId="16" fillId="39" borderId="48" xfId="4" applyNumberFormat="1" applyFont="1" applyFill="1" applyBorder="1" applyAlignment="1">
      <alignment horizontal="center" vertical="center"/>
    </xf>
    <xf numFmtId="172" fontId="16" fillId="39" borderId="31" xfId="4" applyNumberFormat="1" applyFont="1" applyFill="1" applyBorder="1" applyAlignment="1">
      <alignment horizontal="center" vertical="center" wrapText="1"/>
    </xf>
    <xf numFmtId="172" fontId="16" fillId="39" borderId="13" xfId="4" applyNumberFormat="1" applyFont="1" applyFill="1" applyBorder="1" applyAlignment="1">
      <alignment horizontal="center" vertical="center" wrapText="1"/>
    </xf>
    <xf numFmtId="0" fontId="16" fillId="39" borderId="45" xfId="4" applyFont="1" applyFill="1" applyBorder="1" applyAlignment="1">
      <alignment horizontal="center" vertical="center"/>
    </xf>
    <xf numFmtId="0" fontId="16" fillId="39" borderId="11" xfId="4" applyFont="1" applyFill="1" applyBorder="1" applyAlignment="1">
      <alignment horizontal="center" vertical="center"/>
    </xf>
    <xf numFmtId="0" fontId="16" fillId="39" borderId="12" xfId="4" applyFont="1" applyFill="1" applyBorder="1" applyAlignment="1">
      <alignment horizontal="center" vertical="center"/>
    </xf>
    <xf numFmtId="0" fontId="16" fillId="39" borderId="46" xfId="4" applyFont="1" applyFill="1" applyBorder="1" applyAlignment="1">
      <alignment horizontal="center" vertical="center"/>
    </xf>
    <xf numFmtId="0" fontId="17" fillId="43" borderId="6" xfId="5" applyFont="1" applyFill="1" applyBorder="1" applyAlignment="1">
      <alignment horizontal="left" vertical="center"/>
    </xf>
    <xf numFmtId="0" fontId="17" fillId="43" borderId="8" xfId="5" applyFont="1" applyFill="1" applyBorder="1" applyAlignment="1">
      <alignment horizontal="left" vertical="center"/>
    </xf>
    <xf numFmtId="0" fontId="16" fillId="37" borderId="6" xfId="4" applyFont="1" applyFill="1" applyBorder="1" applyAlignment="1">
      <alignment horizontal="left" vertical="center"/>
    </xf>
    <xf numFmtId="0" fontId="16" fillId="37" borderId="8" xfId="4" applyFont="1" applyFill="1" applyBorder="1" applyAlignment="1">
      <alignment horizontal="left" vertical="center"/>
    </xf>
    <xf numFmtId="49" fontId="16" fillId="39" borderId="5" xfId="4" applyNumberFormat="1" applyFont="1" applyFill="1" applyBorder="1" applyAlignment="1">
      <alignment horizontal="center" vertical="center" wrapText="1"/>
    </xf>
    <xf numFmtId="49" fontId="16" fillId="39" borderId="48" xfId="4" applyNumberFormat="1" applyFont="1" applyFill="1" applyBorder="1" applyAlignment="1">
      <alignment horizontal="center" vertical="center" wrapText="1"/>
    </xf>
    <xf numFmtId="168" fontId="16" fillId="39" borderId="30" xfId="4" applyNumberFormat="1" applyFont="1" applyFill="1" applyBorder="1" applyAlignment="1">
      <alignment horizontal="center" vertical="center" wrapText="1"/>
    </xf>
    <xf numFmtId="168" fontId="16" fillId="39" borderId="5" xfId="4" applyNumberFormat="1" applyFont="1" applyFill="1" applyBorder="1" applyAlignment="1">
      <alignment horizontal="center" vertical="center" wrapText="1"/>
    </xf>
    <xf numFmtId="168" fontId="16" fillId="39" borderId="35" xfId="4" applyNumberFormat="1" applyFont="1" applyFill="1" applyBorder="1" applyAlignment="1">
      <alignment horizontal="center" vertical="center" wrapText="1"/>
    </xf>
    <xf numFmtId="49" fontId="16" fillId="39" borderId="5" xfId="4" applyNumberFormat="1" applyFont="1" applyFill="1" applyBorder="1" applyAlignment="1">
      <alignment horizontal="center" vertical="center"/>
    </xf>
    <xf numFmtId="49" fontId="16" fillId="39" borderId="48" xfId="4" applyNumberFormat="1" applyFont="1" applyFill="1" applyBorder="1" applyAlignment="1">
      <alignment horizontal="center" vertical="center"/>
    </xf>
    <xf numFmtId="49" fontId="16" fillId="39" borderId="31" xfId="4" applyNumberFormat="1" applyFont="1" applyFill="1" applyBorder="1" applyAlignment="1">
      <alignment horizontal="center" vertical="center"/>
    </xf>
    <xf numFmtId="49" fontId="16" fillId="39" borderId="10" xfId="4" applyNumberFormat="1" applyFont="1" applyFill="1" applyBorder="1" applyAlignment="1">
      <alignment horizontal="center" vertical="center"/>
    </xf>
    <xf numFmtId="0" fontId="16" fillId="39" borderId="5" xfId="5" applyNumberFormat="1" applyFont="1" applyFill="1" applyBorder="1" applyAlignment="1">
      <alignment horizontal="center" vertical="center"/>
    </xf>
    <xf numFmtId="0" fontId="16" fillId="39" borderId="48" xfId="5" applyNumberFormat="1" applyFont="1" applyFill="1" applyBorder="1" applyAlignment="1">
      <alignment horizontal="center" vertical="center"/>
    </xf>
    <xf numFmtId="0" fontId="91" fillId="37" borderId="6" xfId="4" applyFont="1" applyFill="1" applyBorder="1" applyAlignment="1">
      <alignment horizontal="center" vertical="center"/>
    </xf>
    <xf numFmtId="0" fontId="91" fillId="37" borderId="8" xfId="4" applyFont="1" applyFill="1" applyBorder="1" applyAlignment="1">
      <alignment horizontal="center" vertical="center"/>
    </xf>
    <xf numFmtId="0" fontId="91" fillId="37" borderId="7" xfId="4" applyFont="1" applyFill="1" applyBorder="1" applyAlignment="1">
      <alignment horizontal="center" vertical="center"/>
    </xf>
    <xf numFmtId="170" fontId="92" fillId="2" borderId="59" xfId="1" applyNumberFormat="1" applyFont="1" applyFill="1" applyBorder="1" applyAlignment="1">
      <alignment horizontal="left" vertical="center"/>
    </xf>
    <xf numFmtId="170" fontId="92" fillId="2" borderId="60" xfId="1" applyNumberFormat="1" applyFont="1" applyFill="1" applyBorder="1" applyAlignment="1">
      <alignment horizontal="left" vertical="center"/>
    </xf>
    <xf numFmtId="170" fontId="92" fillId="2" borderId="61" xfId="1" applyNumberFormat="1" applyFont="1" applyFill="1" applyBorder="1" applyAlignment="1">
      <alignment horizontal="left" vertical="center"/>
    </xf>
    <xf numFmtId="0" fontId="91" fillId="39" borderId="37" xfId="4" applyFont="1" applyFill="1" applyBorder="1" applyAlignment="1">
      <alignment horizontal="center" vertical="center"/>
    </xf>
    <xf numFmtId="0" fontId="91" fillId="39" borderId="34" xfId="4" applyFont="1" applyFill="1" applyBorder="1" applyAlignment="1">
      <alignment horizontal="center" vertical="center"/>
    </xf>
    <xf numFmtId="0" fontId="91" fillId="39" borderId="57" xfId="4" applyFont="1" applyFill="1" applyBorder="1" applyAlignment="1">
      <alignment horizontal="center" vertical="center"/>
    </xf>
    <xf numFmtId="0" fontId="91" fillId="39" borderId="30" xfId="4" applyFont="1" applyFill="1" applyBorder="1" applyAlignment="1">
      <alignment horizontal="center" vertical="center"/>
    </xf>
    <xf numFmtId="0" fontId="91" fillId="39" borderId="4" xfId="4" applyFont="1" applyFill="1" applyBorder="1" applyAlignment="1">
      <alignment horizontal="center" vertical="center"/>
    </xf>
    <xf numFmtId="0" fontId="91" fillId="39" borderId="35" xfId="4" applyFont="1" applyFill="1" applyBorder="1" applyAlignment="1">
      <alignment horizontal="center" vertical="center"/>
    </xf>
    <xf numFmtId="0" fontId="107" fillId="2" borderId="52" xfId="1" applyFont="1" applyFill="1" applyBorder="1" applyAlignment="1">
      <alignment horizontal="center" vertical="center"/>
    </xf>
    <xf numFmtId="168" fontId="91" fillId="39" borderId="44" xfId="4" applyNumberFormat="1" applyFont="1" applyFill="1" applyBorder="1" applyAlignment="1">
      <alignment horizontal="center" vertical="center" wrapText="1"/>
    </xf>
    <xf numFmtId="168" fontId="91" fillId="39" borderId="51" xfId="4" applyNumberFormat="1" applyFont="1" applyFill="1" applyBorder="1" applyAlignment="1">
      <alignment horizontal="center" vertical="center" wrapText="1"/>
    </xf>
    <xf numFmtId="168" fontId="91" fillId="39" borderId="45" xfId="4" applyNumberFormat="1" applyFont="1" applyFill="1" applyBorder="1" applyAlignment="1">
      <alignment horizontal="center" vertical="center" wrapText="1"/>
    </xf>
    <xf numFmtId="168" fontId="91" fillId="39" borderId="9" xfId="4" applyNumberFormat="1" applyFont="1" applyFill="1" applyBorder="1" applyAlignment="1">
      <alignment horizontal="center" vertical="center" wrapText="1"/>
    </xf>
    <xf numFmtId="168" fontId="91" fillId="39" borderId="0" xfId="4" applyNumberFormat="1" applyFont="1" applyFill="1" applyBorder="1" applyAlignment="1">
      <alignment horizontal="center" vertical="center" wrapText="1"/>
    </xf>
    <xf numFmtId="168" fontId="91" fillId="39" borderId="55" xfId="4" applyNumberFormat="1" applyFont="1" applyFill="1" applyBorder="1" applyAlignment="1">
      <alignment horizontal="center" vertical="center" wrapText="1"/>
    </xf>
    <xf numFmtId="0" fontId="91" fillId="39" borderId="31" xfId="4" applyFont="1" applyFill="1" applyBorder="1" applyAlignment="1">
      <alignment horizontal="center" vertical="center" wrapText="1"/>
    </xf>
    <xf numFmtId="0" fontId="91" fillId="39" borderId="10" xfId="4" applyFont="1" applyFill="1" applyBorder="1" applyAlignment="1">
      <alignment horizontal="center" vertical="center" wrapText="1"/>
    </xf>
    <xf numFmtId="0" fontId="91" fillId="39" borderId="48" xfId="4" applyFont="1" applyFill="1" applyBorder="1" applyAlignment="1">
      <alignment horizontal="center" vertical="center" wrapText="1"/>
    </xf>
    <xf numFmtId="168" fontId="91" fillId="39" borderId="30" xfId="4" applyNumberFormat="1" applyFont="1" applyFill="1" applyBorder="1" applyAlignment="1">
      <alignment horizontal="center" vertical="center" wrapText="1"/>
    </xf>
    <xf numFmtId="168" fontId="91" fillId="39" borderId="5" xfId="4" applyNumberFormat="1" applyFont="1" applyFill="1" applyBorder="1" applyAlignment="1">
      <alignment horizontal="center" vertical="center" wrapText="1"/>
    </xf>
    <xf numFmtId="168" fontId="91" fillId="39" borderId="35" xfId="4" applyNumberFormat="1" applyFont="1" applyFill="1" applyBorder="1" applyAlignment="1">
      <alignment horizontal="center" vertical="center" wrapText="1"/>
    </xf>
    <xf numFmtId="0" fontId="92" fillId="39" borderId="38" xfId="1" applyFont="1" applyFill="1" applyBorder="1" applyAlignment="1">
      <alignment horizontal="center" vertical="center" wrapText="1"/>
    </xf>
    <xf numFmtId="0" fontId="92" fillId="39" borderId="39" xfId="1" applyFont="1" applyFill="1" applyBorder="1" applyAlignment="1">
      <alignment horizontal="center" vertical="center" wrapText="1"/>
    </xf>
    <xf numFmtId="0" fontId="92" fillId="39" borderId="40" xfId="1" applyFont="1" applyFill="1" applyBorder="1" applyAlignment="1">
      <alignment horizontal="center" vertical="center" wrapText="1"/>
    </xf>
    <xf numFmtId="0" fontId="91" fillId="39" borderId="5" xfId="4" applyFont="1" applyFill="1" applyBorder="1" applyAlignment="1">
      <alignment horizontal="center" vertical="center"/>
    </xf>
    <xf numFmtId="0" fontId="91" fillId="39" borderId="48" xfId="4" applyFont="1" applyFill="1" applyBorder="1" applyAlignment="1">
      <alignment horizontal="center" vertical="center"/>
    </xf>
    <xf numFmtId="0" fontId="91" fillId="39" borderId="42" xfId="5" applyNumberFormat="1" applyFont="1" applyFill="1" applyBorder="1" applyAlignment="1">
      <alignment horizontal="center" vertical="center"/>
    </xf>
    <xf numFmtId="0" fontId="91" fillId="39" borderId="43" xfId="5" applyNumberFormat="1" applyFont="1" applyFill="1" applyBorder="1" applyAlignment="1">
      <alignment horizontal="center" vertical="center"/>
    </xf>
    <xf numFmtId="0" fontId="91" fillId="39" borderId="46" xfId="5" applyNumberFormat="1" applyFont="1" applyFill="1" applyBorder="1" applyAlignment="1">
      <alignment horizontal="center" vertical="center"/>
    </xf>
    <xf numFmtId="0" fontId="99" fillId="39" borderId="43" xfId="4" applyFont="1" applyFill="1" applyBorder="1" applyAlignment="1">
      <alignment horizontal="center" vertical="center"/>
    </xf>
    <xf numFmtId="0" fontId="91" fillId="39" borderId="3" xfId="4" applyFont="1" applyFill="1" applyBorder="1" applyAlignment="1">
      <alignment horizontal="center" vertical="center"/>
    </xf>
    <xf numFmtId="0" fontId="91" fillId="39" borderId="58" xfId="4" applyFont="1" applyFill="1" applyBorder="1" applyAlignment="1">
      <alignment horizontal="center" vertical="center"/>
    </xf>
    <xf numFmtId="0" fontId="91" fillId="39" borderId="30" xfId="4" applyFont="1" applyFill="1" applyBorder="1" applyAlignment="1">
      <alignment horizontal="center" vertical="center" wrapText="1"/>
    </xf>
    <xf numFmtId="0" fontId="91" fillId="39" borderId="4" xfId="4" applyFont="1" applyFill="1" applyBorder="1" applyAlignment="1">
      <alignment horizontal="center" vertical="center" wrapText="1"/>
    </xf>
    <xf numFmtId="0" fontId="91" fillId="39" borderId="35" xfId="4" applyFont="1" applyFill="1" applyBorder="1" applyAlignment="1">
      <alignment horizontal="center" vertical="center" wrapText="1"/>
    </xf>
    <xf numFmtId="172" fontId="91" fillId="39" borderId="31" xfId="4" applyNumberFormat="1" applyFont="1" applyFill="1" applyBorder="1" applyAlignment="1">
      <alignment horizontal="center" vertical="center" wrapText="1"/>
    </xf>
    <xf numFmtId="172" fontId="91" fillId="39" borderId="13" xfId="4" applyNumberFormat="1" applyFont="1" applyFill="1" applyBorder="1" applyAlignment="1">
      <alignment horizontal="center" vertical="center" wrapText="1"/>
    </xf>
    <xf numFmtId="0" fontId="91" fillId="43" borderId="4" xfId="5" applyFont="1" applyFill="1" applyBorder="1" applyAlignment="1">
      <alignment horizontal="center" vertical="center"/>
    </xf>
    <xf numFmtId="0" fontId="91" fillId="43" borderId="6" xfId="5" applyFont="1" applyFill="1" applyBorder="1" applyAlignment="1">
      <alignment horizontal="center" vertical="center"/>
    </xf>
    <xf numFmtId="0" fontId="91" fillId="43" borderId="8" xfId="5" applyFont="1" applyFill="1" applyBorder="1" applyAlignment="1">
      <alignment horizontal="center" vertical="center"/>
    </xf>
    <xf numFmtId="0" fontId="91" fillId="37" borderId="4" xfId="4" applyFont="1" applyFill="1" applyBorder="1" applyAlignment="1">
      <alignment horizontal="center" vertical="center"/>
    </xf>
    <xf numFmtId="0" fontId="91" fillId="43" borderId="7" xfId="5" applyFont="1" applyFill="1" applyBorder="1" applyAlignment="1">
      <alignment horizontal="center" vertical="center"/>
    </xf>
    <xf numFmtId="0" fontId="91" fillId="5" borderId="4" xfId="4" applyFont="1" applyFill="1" applyBorder="1" applyAlignment="1">
      <alignment horizontal="center" vertical="center"/>
    </xf>
    <xf numFmtId="0" fontId="91" fillId="39" borderId="44" xfId="4" applyFont="1" applyFill="1" applyBorder="1" applyAlignment="1">
      <alignment horizontal="center" vertical="center"/>
    </xf>
    <xf numFmtId="0" fontId="91" fillId="39" borderId="9" xfId="4" applyFont="1" applyFill="1" applyBorder="1" applyAlignment="1">
      <alignment horizontal="center" vertical="center"/>
    </xf>
    <xf numFmtId="0" fontId="91" fillId="39" borderId="49" xfId="4" applyFont="1" applyFill="1" applyBorder="1" applyAlignment="1">
      <alignment horizontal="center" vertical="center"/>
    </xf>
    <xf numFmtId="172" fontId="91" fillId="39" borderId="4" xfId="4" applyNumberFormat="1" applyFont="1" applyFill="1" applyBorder="1" applyAlignment="1">
      <alignment horizontal="center" vertical="center" wrapText="1"/>
    </xf>
    <xf numFmtId="0" fontId="91" fillId="39" borderId="45" xfId="4" applyFont="1" applyFill="1" applyBorder="1" applyAlignment="1">
      <alignment horizontal="center" vertical="center"/>
    </xf>
    <xf numFmtId="0" fontId="91" fillId="39" borderId="11" xfId="4" applyFont="1" applyFill="1" applyBorder="1" applyAlignment="1">
      <alignment horizontal="center" vertical="center"/>
    </xf>
    <xf numFmtId="0" fontId="91" fillId="39" borderId="12" xfId="4" applyFont="1" applyFill="1" applyBorder="1" applyAlignment="1">
      <alignment horizontal="center" vertical="center"/>
    </xf>
    <xf numFmtId="0" fontId="91" fillId="39" borderId="42" xfId="4" applyFont="1" applyFill="1" applyBorder="1" applyAlignment="1">
      <alignment horizontal="center" vertical="center"/>
    </xf>
    <xf numFmtId="0" fontId="91" fillId="39" borderId="46" xfId="4" applyFont="1" applyFill="1" applyBorder="1" applyAlignment="1">
      <alignment horizontal="center" vertical="center"/>
    </xf>
    <xf numFmtId="0" fontId="91" fillId="39" borderId="43" xfId="4" applyFont="1" applyFill="1" applyBorder="1" applyAlignment="1">
      <alignment horizontal="center" vertical="center"/>
    </xf>
    <xf numFmtId="0" fontId="91" fillId="39" borderId="31" xfId="4" applyFont="1" applyFill="1" applyBorder="1" applyAlignment="1">
      <alignment horizontal="center" vertical="center"/>
    </xf>
    <xf numFmtId="0" fontId="91" fillId="39" borderId="10" xfId="4" applyFont="1" applyFill="1" applyBorder="1" applyAlignment="1">
      <alignment horizontal="center" vertical="center"/>
    </xf>
    <xf numFmtId="172" fontId="91" fillId="39" borderId="5" xfId="4" applyNumberFormat="1" applyFont="1" applyFill="1" applyBorder="1" applyAlignment="1">
      <alignment horizontal="center" vertical="center"/>
    </xf>
    <xf numFmtId="172" fontId="91" fillId="39" borderId="48" xfId="4" applyNumberFormat="1" applyFont="1" applyFill="1" applyBorder="1" applyAlignment="1">
      <alignment horizontal="center" vertical="center"/>
    </xf>
    <xf numFmtId="49" fontId="91" fillId="39" borderId="5" xfId="4" applyNumberFormat="1" applyFont="1" applyFill="1" applyBorder="1" applyAlignment="1">
      <alignment horizontal="center" vertical="center" wrapText="1"/>
    </xf>
    <xf numFmtId="49" fontId="91" fillId="39" borderId="48" xfId="4" applyNumberFormat="1" applyFont="1" applyFill="1" applyBorder="1" applyAlignment="1">
      <alignment horizontal="center" vertical="center" wrapText="1"/>
    </xf>
    <xf numFmtId="49" fontId="91" fillId="39" borderId="31" xfId="4" applyNumberFormat="1" applyFont="1" applyFill="1" applyBorder="1" applyAlignment="1">
      <alignment horizontal="center" vertical="center"/>
    </xf>
    <xf numFmtId="49" fontId="91" fillId="39" borderId="10" xfId="4" applyNumberFormat="1" applyFont="1" applyFill="1" applyBorder="1" applyAlignment="1">
      <alignment horizontal="center" vertical="center"/>
    </xf>
    <xf numFmtId="49" fontId="91" fillId="39" borderId="48" xfId="4" applyNumberFormat="1" applyFont="1" applyFill="1" applyBorder="1" applyAlignment="1">
      <alignment horizontal="center" vertical="center"/>
    </xf>
    <xf numFmtId="49" fontId="91" fillId="39" borderId="5" xfId="4" applyNumberFormat="1" applyFont="1" applyFill="1" applyBorder="1" applyAlignment="1">
      <alignment horizontal="center" vertical="center"/>
    </xf>
    <xf numFmtId="0" fontId="91" fillId="39" borderId="5" xfId="5" applyNumberFormat="1" applyFont="1" applyFill="1" applyBorder="1" applyAlignment="1">
      <alignment horizontal="center" vertical="center"/>
    </xf>
    <xf numFmtId="0" fontId="91" fillId="39" borderId="48" xfId="5" applyNumberFormat="1" applyFont="1" applyFill="1" applyBorder="1" applyAlignment="1">
      <alignment horizontal="center" vertical="center"/>
    </xf>
    <xf numFmtId="0" fontId="91" fillId="5" borderId="42" xfId="4" applyFont="1" applyFill="1" applyBorder="1" applyAlignment="1">
      <alignment horizontal="center" vertical="center"/>
    </xf>
    <xf numFmtId="0" fontId="91" fillId="5" borderId="46" xfId="4" applyFont="1" applyFill="1" applyBorder="1" applyAlignment="1">
      <alignment horizontal="center" vertical="center"/>
    </xf>
    <xf numFmtId="0" fontId="91" fillId="5" borderId="43" xfId="4" applyFont="1" applyFill="1" applyBorder="1" applyAlignment="1">
      <alignment horizontal="center" vertical="center"/>
    </xf>
    <xf numFmtId="0" fontId="91" fillId="5" borderId="6" xfId="4" applyFont="1" applyFill="1" applyBorder="1" applyAlignment="1">
      <alignment horizontal="center" vertical="center"/>
    </xf>
    <xf numFmtId="0" fontId="91" fillId="5" borderId="8" xfId="4" applyFont="1" applyFill="1" applyBorder="1" applyAlignment="1">
      <alignment horizontal="center" vertical="center"/>
    </xf>
    <xf numFmtId="0" fontId="91" fillId="5" borderId="7" xfId="4" applyFont="1" applyFill="1" applyBorder="1" applyAlignment="1">
      <alignment horizontal="center" vertical="center"/>
    </xf>
    <xf numFmtId="0" fontId="90" fillId="0" borderId="5" xfId="0" applyFont="1" applyBorder="1" applyAlignment="1">
      <alignment horizontal="center" vertical="center"/>
    </xf>
    <xf numFmtId="0" fontId="90" fillId="0" borderId="13" xfId="0" applyFont="1" applyBorder="1" applyAlignment="1">
      <alignment horizontal="center" vertical="center"/>
    </xf>
    <xf numFmtId="0" fontId="113" fillId="0" borderId="0" xfId="0" applyFont="1" applyAlignment="1">
      <alignment horizontal="center" vertical="center"/>
    </xf>
    <xf numFmtId="168" fontId="14" fillId="34" borderId="31" xfId="4" applyNumberFormat="1" applyFont="1" applyFill="1" applyBorder="1" applyAlignment="1">
      <alignment horizontal="center" vertical="center" wrapText="1"/>
    </xf>
    <xf numFmtId="168" fontId="14" fillId="34" borderId="10" xfId="4" applyNumberFormat="1" applyFont="1" applyFill="1" applyBorder="1" applyAlignment="1">
      <alignment horizontal="center" vertical="center" wrapText="1"/>
    </xf>
    <xf numFmtId="172" fontId="14" fillId="34" borderId="32" xfId="4" applyNumberFormat="1" applyFont="1" applyFill="1" applyBorder="1" applyAlignment="1">
      <alignment horizontal="center" vertical="center" wrapText="1"/>
    </xf>
    <xf numFmtId="172" fontId="14" fillId="34" borderId="36" xfId="4" applyNumberFormat="1" applyFont="1" applyFill="1" applyBorder="1" applyAlignment="1">
      <alignment horizontal="center" vertical="center" wrapText="1"/>
    </xf>
    <xf numFmtId="168" fontId="14" fillId="34" borderId="30" xfId="4" applyNumberFormat="1" applyFont="1" applyFill="1" applyBorder="1" applyAlignment="1">
      <alignment horizontal="center" vertical="center" wrapText="1"/>
    </xf>
    <xf numFmtId="0" fontId="14" fillId="34" borderId="29" xfId="4" applyFont="1" applyFill="1" applyBorder="1" applyAlignment="1">
      <alignment horizontal="center" vertical="center"/>
    </xf>
    <xf numFmtId="0" fontId="14" fillId="34" borderId="33" xfId="4" applyFont="1" applyFill="1" applyBorder="1" applyAlignment="1">
      <alignment horizontal="center" vertical="center"/>
    </xf>
    <xf numFmtId="0" fontId="14" fillId="34" borderId="30" xfId="4" applyFont="1" applyFill="1" applyBorder="1" applyAlignment="1">
      <alignment horizontal="center" vertical="center"/>
    </xf>
    <xf numFmtId="49" fontId="14" fillId="34" borderId="31" xfId="4" applyNumberFormat="1" applyFont="1" applyFill="1" applyBorder="1" applyAlignment="1">
      <alignment horizontal="center" vertical="center" wrapText="1"/>
    </xf>
    <xf numFmtId="0" fontId="112" fillId="0" borderId="1" xfId="0" applyFont="1" applyFill="1" applyBorder="1" applyAlignment="1">
      <alignment horizontal="center" vertical="center"/>
    </xf>
    <xf numFmtId="0" fontId="91" fillId="41" borderId="4" xfId="5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81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49" fontId="91" fillId="43" borderId="6" xfId="4" applyNumberFormat="1" applyFont="1" applyFill="1" applyBorder="1" applyAlignment="1">
      <alignment horizontal="center" vertical="center"/>
    </xf>
    <xf numFmtId="49" fontId="91" fillId="43" borderId="8" xfId="4" applyNumberFormat="1" applyFont="1" applyFill="1" applyBorder="1" applyAlignment="1">
      <alignment horizontal="center" vertical="center"/>
    </xf>
  </cellXfs>
  <cellStyles count="9004">
    <cellStyle name="_1. SAP Januari 2012" xfId="11"/>
    <cellStyle name="_1. SAP Januari 2012_GI Week 20" xfId="12"/>
    <cellStyle name="_1. SAP Januari 2012_Laporan Bulanan SHE Januari 2012" xfId="13"/>
    <cellStyle name="_1. SAP Januari 2012_Laporan Bulanan SHE Januari 2012_GI Week 20" xfId="14"/>
    <cellStyle name="_10. SAP Oktober 2011" xfId="15"/>
    <cellStyle name="_10. SAP Oktober 2011_GI Week 20" xfId="16"/>
    <cellStyle name="_10. SAP Oktober 2011_Laporan Bulanan SHE Januari 2012" xfId="17"/>
    <cellStyle name="_10. SAP Oktober 2011_Laporan Bulanan SHE Januari 2012_GI Week 20" xfId="18"/>
    <cellStyle name="_11. SAP November 2011" xfId="19"/>
    <cellStyle name="_11. SAP November 2011_GI Week 20" xfId="20"/>
    <cellStyle name="_11. SAP November 2011_Laporan Bulanan SHE Januari 2012" xfId="21"/>
    <cellStyle name="_11. SAP November 2011_Laporan Bulanan SHE Januari 2012_GI Week 20" xfId="22"/>
    <cellStyle name="_12. SAP Desember 2011" xfId="23"/>
    <cellStyle name="_12. SAP Desember 2011_GI Week 20" xfId="24"/>
    <cellStyle name="_12. SAP Desember 2011_Laporan Bulanan SHE Januari 2012" xfId="25"/>
    <cellStyle name="_12. SAP Desember 2011_Laporan Bulanan SHE Januari 2012_GI Week 20" xfId="26"/>
    <cellStyle name="_4. April 2011" xfId="27"/>
    <cellStyle name="_4. April 2011_GI Week 20" xfId="28"/>
    <cellStyle name="_4. April 2011_Laporan Bulanan SHE Januari 2012" xfId="29"/>
    <cellStyle name="_4. April 2011_Laporan Bulanan SHE Januari 2012_GI Week 20" xfId="30"/>
    <cellStyle name="_4. SAP April 2011" xfId="31"/>
    <cellStyle name="_4. SAP April 2011_GI Week 20" xfId="32"/>
    <cellStyle name="_4. SAP April 2011_Laporan Bulanan SHE Januari 2012" xfId="33"/>
    <cellStyle name="_4. SAP April 2011_Laporan Bulanan SHE Januari 2012_GI Week 20" xfId="34"/>
    <cellStyle name="_6. SAP Juni 2011" xfId="35"/>
    <cellStyle name="_6. SAP Juni 2011_GI Week 20" xfId="36"/>
    <cellStyle name="_6. SAP Juni 2011_Laporan Bulanan SHE Januari 2012" xfId="37"/>
    <cellStyle name="_6. SAP Juni 2011_Laporan Bulanan SHE Januari 2012_GI Week 20" xfId="38"/>
    <cellStyle name="_7. SAP Juli 2011" xfId="39"/>
    <cellStyle name="_7. SAP Juli 2011_GI Week 20" xfId="40"/>
    <cellStyle name="_7. SAP Juli 2011_Laporan Bulanan SHE Januari 2012" xfId="41"/>
    <cellStyle name="_7. SAP Juli 2011_Laporan Bulanan SHE Januari 2012_GI Week 20" xfId="42"/>
    <cellStyle name="_8. SAP Agustus 2011" xfId="43"/>
    <cellStyle name="_8. SAP Agustus 2011_GI Week 20" xfId="44"/>
    <cellStyle name="_8. SAP Agustus 2011_Laporan Bulanan SHE Januari 2012" xfId="45"/>
    <cellStyle name="_8. SAP Agustus 2011_Laporan Bulanan SHE Januari 2012_GI Week 20" xfId="46"/>
    <cellStyle name="_9. SAP September 2011 to BC" xfId="47"/>
    <cellStyle name="_9. SAP September 2011 to BC_GI Week 20" xfId="48"/>
    <cellStyle name="_9. SAP September 2011 to BC_Laporan Bulanan SHE Januari 2012" xfId="49"/>
    <cellStyle name="_9. SAP September 2011 to BC_Laporan Bulanan SHE Januari 2012_GI Week 20" xfId="50"/>
    <cellStyle name="_Agustus 2011" xfId="51"/>
    <cellStyle name="_Agustus 2011_GI Week 20" xfId="52"/>
    <cellStyle name="_Agustus 2011_Laporan Bulanan SHE Januari 2012" xfId="53"/>
    <cellStyle name="_Agustus 2011_Laporan Bulanan SHE Januari 2012_GI Week 20" xfId="54"/>
    <cellStyle name="_April 2011" xfId="55"/>
    <cellStyle name="_April 2011_GI Week 20" xfId="56"/>
    <cellStyle name="_April 2011_Laporan Bulanan SHE Januari 2012" xfId="57"/>
    <cellStyle name="_April 2011_Laporan Bulanan SHE Januari 2012_GI Week 20" xfId="58"/>
    <cellStyle name="_Book1" xfId="59"/>
    <cellStyle name="_Book1_GI Week 20" xfId="60"/>
    <cellStyle name="_Book1_Laporan Bulanan SHE Januari 2012" xfId="61"/>
    <cellStyle name="_Book1_Laporan Bulanan SHE Januari 2012_GI Week 20" xfId="62"/>
    <cellStyle name="_Desember 2011" xfId="63"/>
    <cellStyle name="_Desember 2011_GI Week 20" xfId="64"/>
    <cellStyle name="_Desember 2011_Laporan Bulanan SHE Januari 2012" xfId="65"/>
    <cellStyle name="_Desember 2011_Laporan Bulanan SHE Januari 2012_GI Week 20" xfId="66"/>
    <cellStyle name="_Draft Laporan Bulanan Excel Baru" xfId="67"/>
    <cellStyle name="_Draft Laporan Bulanan Excel Baru_7. SAP Juli 2011" xfId="68"/>
    <cellStyle name="_Draft Laporan Bulanan Excel Baru_7. SAP Juli 2011_GI Week 20" xfId="69"/>
    <cellStyle name="_Draft Laporan Bulanan Excel Baru_7. SAP Juli 2011_Laporan Bulanan SHE Januari 2012" xfId="70"/>
    <cellStyle name="_Draft Laporan Bulanan Excel Baru_7. SAP Juli 2011_Laporan Bulanan SHE Januari 2012_GI Week 20" xfId="71"/>
    <cellStyle name="_Draft Laporan Bulanan Excel Baru_Format HO" xfId="72"/>
    <cellStyle name="_Draft Laporan Bulanan Excel Baru_FORMAT HO_Format Juli" xfId="73"/>
    <cellStyle name="_Draft Laporan Bulanan Excel Baru_FORMAT HO_Format Juli_GI Week 20" xfId="74"/>
    <cellStyle name="_Draft Laporan Bulanan Excel Baru_FORMAT HO_Format Juli_Laporan Bulanan SHE Januari 2012" xfId="75"/>
    <cellStyle name="_Draft Laporan Bulanan Excel Baru_FORMAT HO_Format Juli_Laporan Bulanan SHE Januari 2012_GI Week 20" xfId="76"/>
    <cellStyle name="_Draft Laporan Bulanan Excel Baru_Format HO_GI Week 20" xfId="77"/>
    <cellStyle name="_Draft Laporan Bulanan Excel Baru_Format Juli" xfId="78"/>
    <cellStyle name="_Draft Laporan Bulanan Excel Baru_Format Juli_GI Week 20" xfId="79"/>
    <cellStyle name="_Draft Laporan Bulanan Excel Baru_GI Week 20" xfId="80"/>
    <cellStyle name="_Draft Laporan Bulanan Excel Baru_Laporan Bulanan SHE Januari 2012" xfId="81"/>
    <cellStyle name="_Draft Laporan Bulanan Excel Baru_Laporan Bulanan SHE Januari 2012_GI Week 20" xfId="82"/>
    <cellStyle name="_Draft Laporan Bulanan Excel Baru_Laporan Bulanan SHE Juni 2011" xfId="83"/>
    <cellStyle name="_Draft Laporan Bulanan Excel Baru_Laporan Bulanan SHE Juni 2011_GI Week 20" xfId="84"/>
    <cellStyle name="_Draft Laporan Bulanan Excel Baru_Laporan Bulanan SHE Juni 2011_Laporan Bulanan SHE Januari 2012" xfId="85"/>
    <cellStyle name="_Draft Laporan Bulanan Excel Baru_Laporan Bulanan SHE Juni 2011_Laporan Bulanan SHE Januari 2012_GI Week 20" xfId="86"/>
    <cellStyle name="_Draft Laporan Bulanan Excel Baru_May-Juni 2011" xfId="87"/>
    <cellStyle name="_Draft Laporan Bulanan Excel Baru_May-Juni 2011_GI Week 20" xfId="88"/>
    <cellStyle name="_Draft Laporan Bulanan Excel Baru_Monthly Report Juni 2011 to BC" xfId="89"/>
    <cellStyle name="_Draft Laporan Bulanan Excel Baru_Monthly Report Juni 2011 to HO" xfId="90"/>
    <cellStyle name="_Draft Laporan Bulanan Excel Baru_YTD" xfId="91"/>
    <cellStyle name="_Draft Laporan Bulanan Excel Baru_YTD_GI Week 20" xfId="92"/>
    <cellStyle name="_Draft Laporan Bulanan Excel Baru_YTD_Laporan Bulanan SHE Januari 2012" xfId="93"/>
    <cellStyle name="_Draft Laporan Bulanan Excel Baru_YTD_Laporan Bulanan SHE Januari 2012_GI Week 20" xfId="94"/>
    <cellStyle name="_Draft Laporan Bulanan Excel February" xfId="95"/>
    <cellStyle name="_Draft Laporan Bulanan Excel February_7. SAP Juli 2011" xfId="96"/>
    <cellStyle name="_Draft Laporan Bulanan Excel February_7. SAP Juli 2011_GI Week 20" xfId="97"/>
    <cellStyle name="_Draft Laporan Bulanan Excel February_7. SAP Juli 2011_Laporan Bulanan SHE Januari 2012" xfId="98"/>
    <cellStyle name="_Draft Laporan Bulanan Excel February_7. SAP Juli 2011_Laporan Bulanan SHE Januari 2012_GI Week 20" xfId="99"/>
    <cellStyle name="_Draft Laporan Bulanan Excel February_Format HO" xfId="100"/>
    <cellStyle name="_Draft Laporan Bulanan Excel February_FORMAT HO_Format Juli" xfId="101"/>
    <cellStyle name="_Draft Laporan Bulanan Excel February_FORMAT HO_Format Juli_GI Week 20" xfId="102"/>
    <cellStyle name="_Draft Laporan Bulanan Excel February_FORMAT HO_Format Juli_Laporan Bulanan SHE Januari 2012" xfId="103"/>
    <cellStyle name="_Draft Laporan Bulanan Excel February_FORMAT HO_Format Juli_Laporan Bulanan SHE Januari 2012_GI Week 20" xfId="104"/>
    <cellStyle name="_Draft Laporan Bulanan Excel February_Format HO_GI Week 20" xfId="105"/>
    <cellStyle name="_Draft Laporan Bulanan Excel February_Format Juli" xfId="106"/>
    <cellStyle name="_Draft Laporan Bulanan Excel February_Format Juli_GI Week 20" xfId="107"/>
    <cellStyle name="_Draft Laporan Bulanan Excel February_GI Week 20" xfId="108"/>
    <cellStyle name="_Draft Laporan Bulanan Excel February_Laporan Bulanan SHE Januari 2012" xfId="109"/>
    <cellStyle name="_Draft Laporan Bulanan Excel February_Laporan Bulanan SHE Januari 2012_GI Week 20" xfId="110"/>
    <cellStyle name="_Draft Laporan Bulanan Excel February_Laporan Bulanan SHE Juni 2011" xfId="111"/>
    <cellStyle name="_Draft Laporan Bulanan Excel February_Laporan Bulanan SHE Juni 2011_GI Week 20" xfId="112"/>
    <cellStyle name="_Draft Laporan Bulanan Excel February_Laporan Bulanan SHE Juni 2011_Laporan Bulanan SHE Januari 2012" xfId="113"/>
    <cellStyle name="_Draft Laporan Bulanan Excel February_Laporan Bulanan SHE Juni 2011_Laporan Bulanan SHE Januari 2012_GI Week 20" xfId="114"/>
    <cellStyle name="_Draft Laporan Bulanan Excel February_May-Juni 2011" xfId="115"/>
    <cellStyle name="_Draft Laporan Bulanan Excel February_May-Juni 2011_GI Week 20" xfId="116"/>
    <cellStyle name="_Draft Laporan Bulanan Excel February_Monthly Report Juni 2011 to BC" xfId="117"/>
    <cellStyle name="_Draft Laporan Bulanan Excel February_Monthly Report Juni 2011 to HO" xfId="118"/>
    <cellStyle name="_Draft Laporan Bulanan Excel February_YTD" xfId="119"/>
    <cellStyle name="_Draft Laporan Bulanan Excel February_YTD_GI Week 20" xfId="120"/>
    <cellStyle name="_Draft Laporan Bulanan Excel February_YTD_Laporan Bulanan SHE Januari 2012" xfId="121"/>
    <cellStyle name="_Draft Laporan Bulanan Excel February_YTD_Laporan Bulanan SHE Januari 2012_GI Week 20" xfId="122"/>
    <cellStyle name="_Februari 2012" xfId="123"/>
    <cellStyle name="_Februari 2012_GI Week 20" xfId="124"/>
    <cellStyle name="_FORMAT HO" xfId="125"/>
    <cellStyle name="_FORMAT HO_GI Week 20" xfId="126"/>
    <cellStyle name="_FORMAT HO_Laporan Bulanan SHE Januari 2012" xfId="127"/>
    <cellStyle name="_FORMAT HO_Laporan Bulanan SHE Januari 2012_GI Week 20" xfId="128"/>
    <cellStyle name="_Inspeksi Catering 26-02-11" xfId="129"/>
    <cellStyle name="_Inspeksi Catering 26-02-11_5. Mei 2011" xfId="130"/>
    <cellStyle name="_Inspeksi Catering 26-02-11_5. Mei 2011_GI Week 20" xfId="131"/>
    <cellStyle name="_Inspeksi Catering 26-02-11_7. SAP Juli 2011" xfId="132"/>
    <cellStyle name="_Inspeksi Catering 26-02-11_7. SAP Juli 2011_GI Week 20" xfId="133"/>
    <cellStyle name="_Inspeksi Catering 26-02-11_7. SAP Juli 2011_Laporan Bulanan SHE Januari 2012" xfId="134"/>
    <cellStyle name="_Inspeksi Catering 26-02-11_7. SAP Juli 2011_Laporan Bulanan SHE Januari 2012_GI Week 20" xfId="135"/>
    <cellStyle name="_Inspeksi Catering 26-02-11_Format HO" xfId="136"/>
    <cellStyle name="_Inspeksi Catering 26-02-11_FORMAT HO_Format Juli" xfId="137"/>
    <cellStyle name="_Inspeksi Catering 26-02-11_FORMAT HO_Format Juli_GI Week 20" xfId="138"/>
    <cellStyle name="_Inspeksi Catering 26-02-11_FORMAT HO_Format Juli_Laporan Bulanan SHE Januari 2012" xfId="139"/>
    <cellStyle name="_Inspeksi Catering 26-02-11_FORMAT HO_Format Juli_Laporan Bulanan SHE Januari 2012_GI Week 20" xfId="140"/>
    <cellStyle name="_Inspeksi Catering 26-02-11_Format HO_GI Week 20" xfId="141"/>
    <cellStyle name="_Inspeksi Catering 26-02-11_Format Juli" xfId="142"/>
    <cellStyle name="_Inspeksi Catering 26-02-11_Format Juli_GI Week 20" xfId="143"/>
    <cellStyle name="_Inspeksi Catering 26-02-11_GI Week 20" xfId="144"/>
    <cellStyle name="_Inspeksi Catering 26-02-11_Laporan Bulanan SHE Januari 2012" xfId="145"/>
    <cellStyle name="_Inspeksi Catering 26-02-11_Laporan Bulanan SHE Januari 2012_GI Week 20" xfId="146"/>
    <cellStyle name="_Inspeksi Catering 26-02-11_Laporan Bulanan SHE Juni 2011" xfId="147"/>
    <cellStyle name="_Inspeksi Catering 26-02-11_Laporan Bulanan SHE Juni 2011_GI Week 20" xfId="148"/>
    <cellStyle name="_Inspeksi Catering 26-02-11_Laporan Bulanan SHE Juni 2011_Laporan Bulanan SHE Januari 2012" xfId="149"/>
    <cellStyle name="_Inspeksi Catering 26-02-11_Laporan Bulanan SHE Juni 2011_Laporan Bulanan SHE Januari 2012_GI Week 20" xfId="150"/>
    <cellStyle name="_Inspeksi Catering 26-02-11_May-Juni 2011" xfId="151"/>
    <cellStyle name="_Inspeksi Catering 26-02-11_May-Juni 2011_GI Week 20" xfId="152"/>
    <cellStyle name="_Inspeksi Catering 26-02-11_Monthly Report Juni 2011 to BC" xfId="153"/>
    <cellStyle name="_Inspeksi Catering 26-02-11_Monthly Report Juni 2011 to HO" xfId="154"/>
    <cellStyle name="_Inspeksi Catering 26-02-11_YTD" xfId="155"/>
    <cellStyle name="_Inspeksi Catering 26-02-11_YTD_GI Week 20" xfId="156"/>
    <cellStyle name="_Inspeksi Catering 26-02-11_YTD_Laporan Bulanan SHE Januari 2012" xfId="157"/>
    <cellStyle name="_Inspeksi Catering 26-02-11_YTD_Laporan Bulanan SHE Januari 2012_GI Week 20" xfId="158"/>
    <cellStyle name="_Januari 2012" xfId="159"/>
    <cellStyle name="_Januari 2012_GI Week 20" xfId="160"/>
    <cellStyle name="_Juli 2011" xfId="161"/>
    <cellStyle name="_Juli 2011_GI Week 20" xfId="162"/>
    <cellStyle name="_Juli 2011_Laporan Bulanan SHE Januari 2012" xfId="163"/>
    <cellStyle name="_Juli 2011_Laporan Bulanan SHE Januari 2012_GI Week 20" xfId="164"/>
    <cellStyle name="_Juni 2011" xfId="165"/>
    <cellStyle name="_Juni 2011_GI Week 20" xfId="166"/>
    <cellStyle name="_Juni 2011_Laporan Bulanan SHE Januari 2012" xfId="167"/>
    <cellStyle name="_Juni 2011_Laporan Bulanan SHE Januari 2012_GI Week 20" xfId="168"/>
    <cellStyle name="_Laporan Bulanan SHE April 2011" xfId="169"/>
    <cellStyle name="_Laporan Bulanan SHE April 2011_GI Week 20" xfId="170"/>
    <cellStyle name="_Laporan Bulanan SHE April 2011_Laporan Bulanan SHE Januari 2012" xfId="171"/>
    <cellStyle name="_Laporan Bulanan SHE April 2011_Laporan Bulanan SHE Januari 2012_GI Week 20" xfId="172"/>
    <cellStyle name="_Maret 2011" xfId="173"/>
    <cellStyle name="_Maret 2011_7. SAP Juli 2011" xfId="174"/>
    <cellStyle name="_Maret 2011_7. SAP Juli 2011_GI Week 20" xfId="175"/>
    <cellStyle name="_Maret 2011_7. SAP Juli 2011_Laporan Bulanan SHE Januari 2012" xfId="176"/>
    <cellStyle name="_Maret 2011_7. SAP Juli 2011_Laporan Bulanan SHE Januari 2012_GI Week 20" xfId="177"/>
    <cellStyle name="_Maret 2011_Format HO" xfId="178"/>
    <cellStyle name="_Maret 2011_FORMAT HO_Format Juli" xfId="179"/>
    <cellStyle name="_Maret 2011_FORMAT HO_Format Juli_GI Week 20" xfId="180"/>
    <cellStyle name="_Maret 2011_FORMAT HO_Format Juli_Laporan Bulanan SHE Januari 2012" xfId="181"/>
    <cellStyle name="_Maret 2011_FORMAT HO_Format Juli_Laporan Bulanan SHE Januari 2012_GI Week 20" xfId="182"/>
    <cellStyle name="_Maret 2011_Format HO_GI Week 20" xfId="183"/>
    <cellStyle name="_Maret 2011_Format Juli" xfId="184"/>
    <cellStyle name="_Maret 2011_Format Juli_GI Week 20" xfId="185"/>
    <cellStyle name="_Maret 2011_GI Week 20" xfId="186"/>
    <cellStyle name="_Maret 2011_Laporan Bulanan SHE Januari 2012" xfId="187"/>
    <cellStyle name="_Maret 2011_Laporan Bulanan SHE Januari 2012_GI Week 20" xfId="188"/>
    <cellStyle name="_Maret 2011_Laporan Bulanan SHE Juni 2011" xfId="189"/>
    <cellStyle name="_Maret 2011_Laporan Bulanan SHE Juni 2011_GI Week 20" xfId="190"/>
    <cellStyle name="_Maret 2011_Laporan Bulanan SHE Juni 2011_Laporan Bulanan SHE Januari 2012" xfId="191"/>
    <cellStyle name="_Maret 2011_Laporan Bulanan SHE Juni 2011_Laporan Bulanan SHE Januari 2012_GI Week 20" xfId="192"/>
    <cellStyle name="_Maret 2011_May-Juni 2011" xfId="193"/>
    <cellStyle name="_Maret 2011_May-Juni 2011_GI Week 20" xfId="194"/>
    <cellStyle name="_Maret 2011_Monthly Report Juni 2011 to BC" xfId="195"/>
    <cellStyle name="_Maret 2011_Monthly Report Juni 2011 to HO" xfId="196"/>
    <cellStyle name="_Maret 2011_YTD" xfId="197"/>
    <cellStyle name="_Maret 2011_YTD_GI Week 20" xfId="198"/>
    <cellStyle name="_Maret 2011_YTD_Laporan Bulanan SHE Januari 2012" xfId="199"/>
    <cellStyle name="_Maret 2011_YTD_Laporan Bulanan SHE Januari 2012_GI Week 20" xfId="200"/>
    <cellStyle name="_Monthly Report April 2011 to HO" xfId="201"/>
    <cellStyle name="_Monthly Report April 2011 to HO_GI Week 20" xfId="202"/>
    <cellStyle name="_Monthly Report April 2011 to HO_Laporan Bulanan SHE Januari 2012" xfId="203"/>
    <cellStyle name="_Monthly Report April 2011 to HO_Laporan Bulanan SHE Januari 2012_GI Week 20" xfId="204"/>
    <cellStyle name="_Monthly Report Juni 2011 to HO" xfId="205"/>
    <cellStyle name="_Monthly Report Juni 2011 to HO_GI Week 20" xfId="206"/>
    <cellStyle name="_Monthly Report Juni 2011 to HO_Laporan Bulanan SHE Januari 2012" xfId="207"/>
    <cellStyle name="_Monthly Report Juni 2011 to HO_Laporan Bulanan SHE Januari 2012_GI Week 20" xfId="208"/>
    <cellStyle name="_November 2011" xfId="209"/>
    <cellStyle name="_November 2011_GI Week 20" xfId="210"/>
    <cellStyle name="_November 2011_Laporan Bulanan SHE Januari 2012" xfId="211"/>
    <cellStyle name="_November 2011_Laporan Bulanan SHE Januari 2012_GI Week 20" xfId="212"/>
    <cellStyle name="_Oktober 2011" xfId="213"/>
    <cellStyle name="_Oktober 2011_GI Week 20" xfId="214"/>
    <cellStyle name="_Oktober 2011_Laporan Bulanan SHE Januari 2012" xfId="215"/>
    <cellStyle name="_Oktober 2011_Laporan Bulanan SHE Januari 2012_GI Week 20" xfId="216"/>
    <cellStyle name="_Plan Mar" xfId="217"/>
    <cellStyle name="_Plan Mar_5. Mei 2011" xfId="218"/>
    <cellStyle name="_Plan Mar_5. Mei 2011_GI Week 20" xfId="219"/>
    <cellStyle name="_Plan Mar_7. SAP Juli 2011" xfId="220"/>
    <cellStyle name="_Plan Mar_7. SAP Juli 2011_GI Week 20" xfId="221"/>
    <cellStyle name="_Plan Mar_7. SAP Juli 2011_Laporan Bulanan SHE Januari 2012" xfId="222"/>
    <cellStyle name="_Plan Mar_7. SAP Juli 2011_Laporan Bulanan SHE Januari 2012_GI Week 20" xfId="223"/>
    <cellStyle name="_Plan Mar_Format HO" xfId="224"/>
    <cellStyle name="_Plan Mar_FORMAT HO_Format Juli" xfId="225"/>
    <cellStyle name="_Plan Mar_FORMAT HO_Format Juli_GI Week 20" xfId="226"/>
    <cellStyle name="_Plan Mar_FORMAT HO_Format Juli_Laporan Bulanan SHE Januari 2012" xfId="227"/>
    <cellStyle name="_Plan Mar_FORMAT HO_Format Juli_Laporan Bulanan SHE Januari 2012_GI Week 20" xfId="228"/>
    <cellStyle name="_Plan Mar_Format HO_GI Week 20" xfId="229"/>
    <cellStyle name="_Plan Mar_Format Juli" xfId="230"/>
    <cellStyle name="_Plan Mar_Format Juli_GI Week 20" xfId="231"/>
    <cellStyle name="_Plan Mar_GI Week 20" xfId="232"/>
    <cellStyle name="_Plan Mar_Laporan Bulanan SHE Januari 2012" xfId="233"/>
    <cellStyle name="_Plan Mar_Laporan Bulanan SHE Januari 2012_GI Week 20" xfId="234"/>
    <cellStyle name="_Plan Mar_Laporan Bulanan SHE Juni 2011" xfId="235"/>
    <cellStyle name="_Plan Mar_Laporan Bulanan SHE Juni 2011_GI Week 20" xfId="236"/>
    <cellStyle name="_Plan Mar_Laporan Bulanan SHE Juni 2011_Laporan Bulanan SHE Januari 2012" xfId="237"/>
    <cellStyle name="_Plan Mar_Laporan Bulanan SHE Juni 2011_Laporan Bulanan SHE Januari 2012_GI Week 20" xfId="238"/>
    <cellStyle name="_Plan Mar_May-Juni 2011" xfId="239"/>
    <cellStyle name="_Plan Mar_May-Juni 2011_GI Week 20" xfId="240"/>
    <cellStyle name="_Plan Mar_Monthly Report Juni 2011 to BC" xfId="241"/>
    <cellStyle name="_Plan Mar_Monthly Report Juni 2011 to HO" xfId="242"/>
    <cellStyle name="_Plan Mar_YTD" xfId="243"/>
    <cellStyle name="_Plan Mar_YTD_GI Week 20" xfId="244"/>
    <cellStyle name="_Plan Mar_YTD_Laporan Bulanan SHE Januari 2012" xfId="245"/>
    <cellStyle name="_Plan Mar_YTD_Laporan Bulanan SHE Januari 2012_GI Week 20" xfId="246"/>
    <cellStyle name="_prx" xfId="247"/>
    <cellStyle name="_prx 2" xfId="248"/>
    <cellStyle name="_prx 2 2" xfId="249"/>
    <cellStyle name="_prx 3" xfId="250"/>
    <cellStyle name="_prx 4" xfId="251"/>
    <cellStyle name="_prx 5" xfId="252"/>
    <cellStyle name="_prx_Format Baru weekly" xfId="253"/>
    <cellStyle name="_prx_GENERAL WORK_2012" xfId="254"/>
    <cellStyle name="_prx_Monthly Report Juni 2011 to HO" xfId="255"/>
    <cellStyle name="_prx_print BAB I.1" xfId="256"/>
    <cellStyle name="_prx_Sheet1" xfId="257"/>
    <cellStyle name="_prx_Week 32 - Plan 33 (senin)" xfId="258"/>
    <cellStyle name="_prx_Weekly to BC_36(PLan)" xfId="259"/>
    <cellStyle name="_Review april dan plan maret 2011" xfId="260"/>
    <cellStyle name="_Review april dan plan maret 2011_7. SAP Juli 2011" xfId="261"/>
    <cellStyle name="_Review april dan plan maret 2011_7. SAP Juli 2011_GI Week 20" xfId="262"/>
    <cellStyle name="_Review april dan plan maret 2011_7. SAP Juli 2011_Laporan Bulanan SHE Januari 2012" xfId="263"/>
    <cellStyle name="_Review april dan plan maret 2011_7. SAP Juli 2011_Laporan Bulanan SHE Januari 2012_GI Week 20" xfId="264"/>
    <cellStyle name="_Review april dan plan maret 2011_Format HO" xfId="265"/>
    <cellStyle name="_Review april dan plan maret 2011_FORMAT HO_Format Juli" xfId="266"/>
    <cellStyle name="_Review april dan plan maret 2011_FORMAT HO_Format Juli_GI Week 20" xfId="267"/>
    <cellStyle name="_Review april dan plan maret 2011_FORMAT HO_Format Juli_Laporan Bulanan SHE Januari 2012" xfId="268"/>
    <cellStyle name="_Review april dan plan maret 2011_FORMAT HO_Format Juli_Laporan Bulanan SHE Januari 2012_GI Week 20" xfId="269"/>
    <cellStyle name="_Review april dan plan maret 2011_Format HO_GI Week 20" xfId="270"/>
    <cellStyle name="_Review april dan plan maret 2011_Format Juli" xfId="271"/>
    <cellStyle name="_Review april dan plan maret 2011_Format Juli_GI Week 20" xfId="272"/>
    <cellStyle name="_Review april dan plan maret 2011_GI Week 20" xfId="273"/>
    <cellStyle name="_Review april dan plan maret 2011_Laporan Bulanan SHE Januari 2012" xfId="274"/>
    <cellStyle name="_Review april dan plan maret 2011_Laporan Bulanan SHE Januari 2012_GI Week 20" xfId="275"/>
    <cellStyle name="_Review april dan plan maret 2011_Laporan Bulanan SHE Juni 2011" xfId="276"/>
    <cellStyle name="_Review april dan plan maret 2011_Laporan Bulanan SHE Juni 2011_GI Week 20" xfId="277"/>
    <cellStyle name="_Review april dan plan maret 2011_Laporan Bulanan SHE Juni 2011_Laporan Bulanan SHE Januari 2012" xfId="278"/>
    <cellStyle name="_Review april dan plan maret 2011_Laporan Bulanan SHE Juni 2011_Laporan Bulanan SHE Januari 2012_GI Week 20" xfId="279"/>
    <cellStyle name="_Review april dan plan maret 2011_May-Juni 2011" xfId="280"/>
    <cellStyle name="_Review april dan plan maret 2011_May-Juni 2011_GI Week 20" xfId="281"/>
    <cellStyle name="_Review april dan plan maret 2011_Monthly Report Juni 2011 to BC" xfId="282"/>
    <cellStyle name="_Review april dan plan maret 2011_Monthly Report Juni 2011 to HO" xfId="283"/>
    <cellStyle name="_Review april dan plan maret 2011_YTD" xfId="284"/>
    <cellStyle name="_Review april dan plan maret 2011_YTD_GI Week 20" xfId="285"/>
    <cellStyle name="_Review april dan plan maret 2011_YTD_Laporan Bulanan SHE Januari 2012" xfId="286"/>
    <cellStyle name="_Review april dan plan maret 2011_YTD_Laporan Bulanan SHE Januari 2012_GI Week 20" xfId="287"/>
    <cellStyle name="_SAP &amp; Acc To HRGA Maret" xfId="288"/>
    <cellStyle name="_SAP &amp; Acc To HRGA Maret_7. SAP Juli 2011" xfId="289"/>
    <cellStyle name="_SAP &amp; Acc To HRGA Maret_7. SAP Juli 2011_GI Week 20" xfId="290"/>
    <cellStyle name="_SAP &amp; Acc To HRGA Maret_7. SAP Juli 2011_Laporan Bulanan SHE Januari 2012" xfId="291"/>
    <cellStyle name="_SAP &amp; Acc To HRGA Maret_7. SAP Juli 2011_Laporan Bulanan SHE Januari 2012_GI Week 20" xfId="292"/>
    <cellStyle name="_SAP &amp; Acc To HRGA Maret_Format HO" xfId="293"/>
    <cellStyle name="_SAP &amp; Acc To HRGA Maret_FORMAT HO_Format Juli" xfId="294"/>
    <cellStyle name="_SAP &amp; Acc To HRGA Maret_FORMAT HO_Format Juli_GI Week 20" xfId="295"/>
    <cellStyle name="_SAP &amp; Acc To HRGA Maret_FORMAT HO_Format Juli_Laporan Bulanan SHE Januari 2012" xfId="296"/>
    <cellStyle name="_SAP &amp; Acc To HRGA Maret_FORMAT HO_Format Juli_Laporan Bulanan SHE Januari 2012_GI Week 20" xfId="297"/>
    <cellStyle name="_SAP &amp; Acc To HRGA Maret_Format HO_GI Week 20" xfId="298"/>
    <cellStyle name="_SAP &amp; Acc To HRGA Maret_Format Juli" xfId="299"/>
    <cellStyle name="_SAP &amp; Acc To HRGA Maret_Format Juli_GI Week 20" xfId="300"/>
    <cellStyle name="_SAP &amp; Acc To HRGA Maret_GI Week 20" xfId="301"/>
    <cellStyle name="_SAP &amp; Acc To HRGA Maret_Laporan Bulanan SHE Januari 2012" xfId="302"/>
    <cellStyle name="_SAP &amp; Acc To HRGA Maret_Laporan Bulanan SHE Januari 2012_GI Week 20" xfId="303"/>
    <cellStyle name="_SAP &amp; Acc To HRGA Maret_Laporan Bulanan SHE Juni 2011" xfId="304"/>
    <cellStyle name="_SAP &amp; Acc To HRGA Maret_Laporan Bulanan SHE Juni 2011_GI Week 20" xfId="305"/>
    <cellStyle name="_SAP &amp; Acc To HRGA Maret_Laporan Bulanan SHE Juni 2011_Laporan Bulanan SHE Januari 2012" xfId="306"/>
    <cellStyle name="_SAP &amp; Acc To HRGA Maret_Laporan Bulanan SHE Juni 2011_Laporan Bulanan SHE Januari 2012_GI Week 20" xfId="307"/>
    <cellStyle name="_SAP &amp; Acc To HRGA Maret_May-Juni 2011" xfId="308"/>
    <cellStyle name="_SAP &amp; Acc To HRGA Maret_May-Juni 2011_GI Week 20" xfId="309"/>
    <cellStyle name="_SAP &amp; Acc To HRGA Maret_Monthly Report Juni 2011 to BC" xfId="310"/>
    <cellStyle name="_SAP &amp; Acc To HRGA Maret_Monthly Report Juni 2011 to HO" xfId="311"/>
    <cellStyle name="_SAP &amp; Acc To HRGA Maret_YTD" xfId="312"/>
    <cellStyle name="_SAP &amp; Acc To HRGA Maret_YTD_GI Week 20" xfId="313"/>
    <cellStyle name="_SAP &amp; Acc To HRGA Maret_YTD_Laporan Bulanan SHE Januari 2012" xfId="314"/>
    <cellStyle name="_SAP &amp; Acc To HRGA Maret_YTD_Laporan Bulanan SHE Januari 2012_GI Week 20" xfId="315"/>
    <cellStyle name="_September 2011" xfId="316"/>
    <cellStyle name="_September 2011_GI Week 20" xfId="317"/>
    <cellStyle name="_September 2011_Laporan Bulanan SHE Januari 2012" xfId="318"/>
    <cellStyle name="_September 2011_Laporan Bulanan SHE Januari 2012_GI Week 20" xfId="319"/>
    <cellStyle name="_Sheet1" xfId="320"/>
    <cellStyle name="_Sheet1 2" xfId="321"/>
    <cellStyle name="_Sheet1 2 2" xfId="322"/>
    <cellStyle name="_Sheet1 3" xfId="323"/>
    <cellStyle name="_Sheet1 4" xfId="324"/>
    <cellStyle name="_Sheet1 5" xfId="325"/>
    <cellStyle name="_Sheet1_Format Baru weekly" xfId="326"/>
    <cellStyle name="_Sheet1_GENERAL WORK_2012" xfId="327"/>
    <cellStyle name="_Sheet1_Monthly Report Juni 2011 to HO" xfId="328"/>
    <cellStyle name="_Sheet1_print BAB I.1" xfId="329"/>
    <cellStyle name="_Sheet1_Sheet1" xfId="330"/>
    <cellStyle name="_Sheet1_Week 32 - Plan 33 (senin)" xfId="331"/>
    <cellStyle name="_Sheet1_Weekly to BC_36(PLan)" xfId="332"/>
    <cellStyle name="_Time Sheet Mei 2011" xfId="333"/>
    <cellStyle name="_Time Sheet Mei 2011_GI Week 20" xfId="334"/>
    <cellStyle name="_Time Sheet Mei 2011_Laporan Bulanan SHE Januari 2012" xfId="335"/>
    <cellStyle name="_Time Sheet Mei 2011_Laporan Bulanan SHE Januari 2012_GI Week 20" xfId="336"/>
    <cellStyle name="_YTD" xfId="337"/>
    <cellStyle name="_YTD_GI Week 20" xfId="338"/>
    <cellStyle name="_YTD_Laporan Bulanan SHE Januari 2012" xfId="339"/>
    <cellStyle name="_YTD_Laporan Bulanan SHE Januari 2012_GI Week 20" xfId="340"/>
    <cellStyle name="20% - Accent1 10" xfId="341"/>
    <cellStyle name="20% - Accent1 10 10" xfId="342"/>
    <cellStyle name="20% - Accent1 10 11" xfId="343"/>
    <cellStyle name="20% - Accent1 10 12" xfId="344"/>
    <cellStyle name="20% - Accent1 10 2" xfId="345"/>
    <cellStyle name="20% - Accent1 10 3" xfId="346"/>
    <cellStyle name="20% - Accent1 10 4" xfId="347"/>
    <cellStyle name="20% - Accent1 10 5" xfId="348"/>
    <cellStyle name="20% - Accent1 10 6" xfId="349"/>
    <cellStyle name="20% - Accent1 10 7" xfId="350"/>
    <cellStyle name="20% - Accent1 10 8" xfId="351"/>
    <cellStyle name="20% - Accent1 10 9" xfId="352"/>
    <cellStyle name="20% - Accent1 11" xfId="353"/>
    <cellStyle name="20% - Accent1 12" xfId="354"/>
    <cellStyle name="20% - Accent1 13" xfId="355"/>
    <cellStyle name="20% - Accent1 14" xfId="356"/>
    <cellStyle name="20% - Accent1 14 10" xfId="357"/>
    <cellStyle name="20% - Accent1 14 11" xfId="358"/>
    <cellStyle name="20% - Accent1 14 12" xfId="359"/>
    <cellStyle name="20% - Accent1 14 2" xfId="360"/>
    <cellStyle name="20% - Accent1 14 3" xfId="361"/>
    <cellStyle name="20% - Accent1 14 4" xfId="362"/>
    <cellStyle name="20% - Accent1 14 5" xfId="363"/>
    <cellStyle name="20% - Accent1 14 6" xfId="364"/>
    <cellStyle name="20% - Accent1 14 7" xfId="365"/>
    <cellStyle name="20% - Accent1 14 8" xfId="366"/>
    <cellStyle name="20% - Accent1 14 9" xfId="367"/>
    <cellStyle name="20% - Accent1 15" xfId="368"/>
    <cellStyle name="20% - Accent1 15 10" xfId="369"/>
    <cellStyle name="20% - Accent1 15 11" xfId="370"/>
    <cellStyle name="20% - Accent1 15 12" xfId="371"/>
    <cellStyle name="20% - Accent1 15 2" xfId="372"/>
    <cellStyle name="20% - Accent1 15 3" xfId="373"/>
    <cellStyle name="20% - Accent1 15 4" xfId="374"/>
    <cellStyle name="20% - Accent1 15 5" xfId="375"/>
    <cellStyle name="20% - Accent1 15 6" xfId="376"/>
    <cellStyle name="20% - Accent1 15 7" xfId="377"/>
    <cellStyle name="20% - Accent1 15 8" xfId="378"/>
    <cellStyle name="20% - Accent1 15 9" xfId="379"/>
    <cellStyle name="20% - Accent1 16" xfId="380"/>
    <cellStyle name="20% - Accent1 16 10" xfId="381"/>
    <cellStyle name="20% - Accent1 16 11" xfId="382"/>
    <cellStyle name="20% - Accent1 16 12" xfId="383"/>
    <cellStyle name="20% - Accent1 16 2" xfId="384"/>
    <cellStyle name="20% - Accent1 16 3" xfId="385"/>
    <cellStyle name="20% - Accent1 16 4" xfId="386"/>
    <cellStyle name="20% - Accent1 16 5" xfId="387"/>
    <cellStyle name="20% - Accent1 16 6" xfId="388"/>
    <cellStyle name="20% - Accent1 16 7" xfId="389"/>
    <cellStyle name="20% - Accent1 16 8" xfId="390"/>
    <cellStyle name="20% - Accent1 16 9" xfId="391"/>
    <cellStyle name="20% - Accent1 17" xfId="392"/>
    <cellStyle name="20% - Accent1 17 10" xfId="393"/>
    <cellStyle name="20% - Accent1 17 11" xfId="394"/>
    <cellStyle name="20% - Accent1 17 12" xfId="395"/>
    <cellStyle name="20% - Accent1 17 2" xfId="396"/>
    <cellStyle name="20% - Accent1 17 3" xfId="397"/>
    <cellStyle name="20% - Accent1 17 4" xfId="398"/>
    <cellStyle name="20% - Accent1 17 5" xfId="399"/>
    <cellStyle name="20% - Accent1 17 6" xfId="400"/>
    <cellStyle name="20% - Accent1 17 7" xfId="401"/>
    <cellStyle name="20% - Accent1 17 8" xfId="402"/>
    <cellStyle name="20% - Accent1 17 9" xfId="403"/>
    <cellStyle name="20% - Accent1 18" xfId="404"/>
    <cellStyle name="20% - Accent1 18 10" xfId="405"/>
    <cellStyle name="20% - Accent1 18 11" xfId="406"/>
    <cellStyle name="20% - Accent1 18 12" xfId="407"/>
    <cellStyle name="20% - Accent1 18 2" xfId="408"/>
    <cellStyle name="20% - Accent1 18 3" xfId="409"/>
    <cellStyle name="20% - Accent1 18 4" xfId="410"/>
    <cellStyle name="20% - Accent1 18 5" xfId="411"/>
    <cellStyle name="20% - Accent1 18 6" xfId="412"/>
    <cellStyle name="20% - Accent1 18 7" xfId="413"/>
    <cellStyle name="20% - Accent1 18 8" xfId="414"/>
    <cellStyle name="20% - Accent1 18 9" xfId="415"/>
    <cellStyle name="20% - Accent1 19" xfId="416"/>
    <cellStyle name="20% - Accent1 19 10" xfId="417"/>
    <cellStyle name="20% - Accent1 19 11" xfId="418"/>
    <cellStyle name="20% - Accent1 19 12" xfId="419"/>
    <cellStyle name="20% - Accent1 19 2" xfId="420"/>
    <cellStyle name="20% - Accent1 19 3" xfId="421"/>
    <cellStyle name="20% - Accent1 19 4" xfId="422"/>
    <cellStyle name="20% - Accent1 19 5" xfId="423"/>
    <cellStyle name="20% - Accent1 19 6" xfId="424"/>
    <cellStyle name="20% - Accent1 19 7" xfId="425"/>
    <cellStyle name="20% - Accent1 19 8" xfId="426"/>
    <cellStyle name="20% - Accent1 19 9" xfId="427"/>
    <cellStyle name="20% - Accent1 2" xfId="428"/>
    <cellStyle name="20% - Accent1 2 10" xfId="429"/>
    <cellStyle name="20% - Accent1 2 11" xfId="430"/>
    <cellStyle name="20% - Accent1 2 2" xfId="431"/>
    <cellStyle name="20% - Accent1 2 3" xfId="432"/>
    <cellStyle name="20% - Accent1 2 4" xfId="433"/>
    <cellStyle name="20% - Accent1 2 5" xfId="434"/>
    <cellStyle name="20% - Accent1 2 5 10" xfId="435"/>
    <cellStyle name="20% - Accent1 2 5 11" xfId="436"/>
    <cellStyle name="20% - Accent1 2 5 12" xfId="437"/>
    <cellStyle name="20% - Accent1 2 5 2" xfId="438"/>
    <cellStyle name="20% - Accent1 2 5 3" xfId="439"/>
    <cellStyle name="20% - Accent1 2 5 4" xfId="440"/>
    <cellStyle name="20% - Accent1 2 5 5" xfId="441"/>
    <cellStyle name="20% - Accent1 2 5 6" xfId="442"/>
    <cellStyle name="20% - Accent1 2 5 7" xfId="443"/>
    <cellStyle name="20% - Accent1 2 5 8" xfId="444"/>
    <cellStyle name="20% - Accent1 2 5 9" xfId="445"/>
    <cellStyle name="20% - Accent1 2 6" xfId="446"/>
    <cellStyle name="20% - Accent1 2 6 10" xfId="447"/>
    <cellStyle name="20% - Accent1 2 6 11" xfId="448"/>
    <cellStyle name="20% - Accent1 2 6 12" xfId="449"/>
    <cellStyle name="20% - Accent1 2 6 2" xfId="450"/>
    <cellStyle name="20% - Accent1 2 6 3" xfId="451"/>
    <cellStyle name="20% - Accent1 2 6 4" xfId="452"/>
    <cellStyle name="20% - Accent1 2 6 5" xfId="453"/>
    <cellStyle name="20% - Accent1 2 6 6" xfId="454"/>
    <cellStyle name="20% - Accent1 2 6 7" xfId="455"/>
    <cellStyle name="20% - Accent1 2 6 8" xfId="456"/>
    <cellStyle name="20% - Accent1 2 6 9" xfId="457"/>
    <cellStyle name="20% - Accent1 2 7" xfId="458"/>
    <cellStyle name="20% - Accent1 2 8" xfId="459"/>
    <cellStyle name="20% - Accent1 2 9" xfId="460"/>
    <cellStyle name="20% - Accent1 2_MPP new" xfId="461"/>
    <cellStyle name="20% - Accent1 20" xfId="462"/>
    <cellStyle name="20% - Accent1 20 10" xfId="463"/>
    <cellStyle name="20% - Accent1 20 11" xfId="464"/>
    <cellStyle name="20% - Accent1 20 12" xfId="465"/>
    <cellStyle name="20% - Accent1 20 2" xfId="466"/>
    <cellStyle name="20% - Accent1 20 3" xfId="467"/>
    <cellStyle name="20% - Accent1 20 4" xfId="468"/>
    <cellStyle name="20% - Accent1 20 5" xfId="469"/>
    <cellStyle name="20% - Accent1 20 6" xfId="470"/>
    <cellStyle name="20% - Accent1 20 7" xfId="471"/>
    <cellStyle name="20% - Accent1 20 8" xfId="472"/>
    <cellStyle name="20% - Accent1 20 9" xfId="473"/>
    <cellStyle name="20% - Accent1 21" xfId="474"/>
    <cellStyle name="20% - Accent1 21 10" xfId="475"/>
    <cellStyle name="20% - Accent1 21 11" xfId="476"/>
    <cellStyle name="20% - Accent1 21 12" xfId="477"/>
    <cellStyle name="20% - Accent1 21 2" xfId="478"/>
    <cellStyle name="20% - Accent1 21 3" xfId="479"/>
    <cellStyle name="20% - Accent1 21 4" xfId="480"/>
    <cellStyle name="20% - Accent1 21 5" xfId="481"/>
    <cellStyle name="20% - Accent1 21 6" xfId="482"/>
    <cellStyle name="20% - Accent1 21 7" xfId="483"/>
    <cellStyle name="20% - Accent1 21 8" xfId="484"/>
    <cellStyle name="20% - Accent1 21 9" xfId="485"/>
    <cellStyle name="20% - Accent1 3" xfId="486"/>
    <cellStyle name="20% - Accent1 4" xfId="487"/>
    <cellStyle name="20% - Accent1 5" xfId="488"/>
    <cellStyle name="20% - Accent1 6" xfId="489"/>
    <cellStyle name="20% - Accent1 7" xfId="490"/>
    <cellStyle name="20% - Accent1 8" xfId="491"/>
    <cellStyle name="20% - Accent1 9" xfId="492"/>
    <cellStyle name="20% - Accent2 10" xfId="493"/>
    <cellStyle name="20% - Accent2 10 10" xfId="494"/>
    <cellStyle name="20% - Accent2 10 11" xfId="495"/>
    <cellStyle name="20% - Accent2 10 12" xfId="496"/>
    <cellStyle name="20% - Accent2 10 2" xfId="497"/>
    <cellStyle name="20% - Accent2 10 3" xfId="498"/>
    <cellStyle name="20% - Accent2 10 4" xfId="499"/>
    <cellStyle name="20% - Accent2 10 5" xfId="500"/>
    <cellStyle name="20% - Accent2 10 6" xfId="501"/>
    <cellStyle name="20% - Accent2 10 7" xfId="502"/>
    <cellStyle name="20% - Accent2 10 8" xfId="503"/>
    <cellStyle name="20% - Accent2 10 9" xfId="504"/>
    <cellStyle name="20% - Accent2 11" xfId="505"/>
    <cellStyle name="20% - Accent2 12" xfId="506"/>
    <cellStyle name="20% - Accent2 13" xfId="507"/>
    <cellStyle name="20% - Accent2 14" xfId="508"/>
    <cellStyle name="20% - Accent2 14 10" xfId="509"/>
    <cellStyle name="20% - Accent2 14 11" xfId="510"/>
    <cellStyle name="20% - Accent2 14 12" xfId="511"/>
    <cellStyle name="20% - Accent2 14 2" xfId="512"/>
    <cellStyle name="20% - Accent2 14 3" xfId="513"/>
    <cellStyle name="20% - Accent2 14 4" xfId="514"/>
    <cellStyle name="20% - Accent2 14 5" xfId="515"/>
    <cellStyle name="20% - Accent2 14 6" xfId="516"/>
    <cellStyle name="20% - Accent2 14 7" xfId="517"/>
    <cellStyle name="20% - Accent2 14 8" xfId="518"/>
    <cellStyle name="20% - Accent2 14 9" xfId="519"/>
    <cellStyle name="20% - Accent2 15" xfId="520"/>
    <cellStyle name="20% - Accent2 15 10" xfId="521"/>
    <cellStyle name="20% - Accent2 15 11" xfId="522"/>
    <cellStyle name="20% - Accent2 15 12" xfId="523"/>
    <cellStyle name="20% - Accent2 15 2" xfId="524"/>
    <cellStyle name="20% - Accent2 15 3" xfId="525"/>
    <cellStyle name="20% - Accent2 15 4" xfId="526"/>
    <cellStyle name="20% - Accent2 15 5" xfId="527"/>
    <cellStyle name="20% - Accent2 15 6" xfId="528"/>
    <cellStyle name="20% - Accent2 15 7" xfId="529"/>
    <cellStyle name="20% - Accent2 15 8" xfId="530"/>
    <cellStyle name="20% - Accent2 15 9" xfId="531"/>
    <cellStyle name="20% - Accent2 16" xfId="532"/>
    <cellStyle name="20% - Accent2 16 10" xfId="533"/>
    <cellStyle name="20% - Accent2 16 11" xfId="534"/>
    <cellStyle name="20% - Accent2 16 12" xfId="535"/>
    <cellStyle name="20% - Accent2 16 2" xfId="536"/>
    <cellStyle name="20% - Accent2 16 3" xfId="537"/>
    <cellStyle name="20% - Accent2 16 4" xfId="538"/>
    <cellStyle name="20% - Accent2 16 5" xfId="539"/>
    <cellStyle name="20% - Accent2 16 6" xfId="540"/>
    <cellStyle name="20% - Accent2 16 7" xfId="541"/>
    <cellStyle name="20% - Accent2 16 8" xfId="542"/>
    <cellStyle name="20% - Accent2 16 9" xfId="543"/>
    <cellStyle name="20% - Accent2 17" xfId="544"/>
    <cellStyle name="20% - Accent2 17 10" xfId="545"/>
    <cellStyle name="20% - Accent2 17 11" xfId="546"/>
    <cellStyle name="20% - Accent2 17 12" xfId="547"/>
    <cellStyle name="20% - Accent2 17 2" xfId="548"/>
    <cellStyle name="20% - Accent2 17 3" xfId="549"/>
    <cellStyle name="20% - Accent2 17 4" xfId="550"/>
    <cellStyle name="20% - Accent2 17 5" xfId="551"/>
    <cellStyle name="20% - Accent2 17 6" xfId="552"/>
    <cellStyle name="20% - Accent2 17 7" xfId="553"/>
    <cellStyle name="20% - Accent2 17 8" xfId="554"/>
    <cellStyle name="20% - Accent2 17 9" xfId="555"/>
    <cellStyle name="20% - Accent2 18" xfId="556"/>
    <cellStyle name="20% - Accent2 18 10" xfId="557"/>
    <cellStyle name="20% - Accent2 18 11" xfId="558"/>
    <cellStyle name="20% - Accent2 18 12" xfId="559"/>
    <cellStyle name="20% - Accent2 18 2" xfId="560"/>
    <cellStyle name="20% - Accent2 18 3" xfId="561"/>
    <cellStyle name="20% - Accent2 18 4" xfId="562"/>
    <cellStyle name="20% - Accent2 18 5" xfId="563"/>
    <cellStyle name="20% - Accent2 18 6" xfId="564"/>
    <cellStyle name="20% - Accent2 18 7" xfId="565"/>
    <cellStyle name="20% - Accent2 18 8" xfId="566"/>
    <cellStyle name="20% - Accent2 18 9" xfId="567"/>
    <cellStyle name="20% - Accent2 19" xfId="568"/>
    <cellStyle name="20% - Accent2 19 10" xfId="569"/>
    <cellStyle name="20% - Accent2 19 11" xfId="570"/>
    <cellStyle name="20% - Accent2 19 12" xfId="571"/>
    <cellStyle name="20% - Accent2 19 2" xfId="572"/>
    <cellStyle name="20% - Accent2 19 3" xfId="573"/>
    <cellStyle name="20% - Accent2 19 4" xfId="574"/>
    <cellStyle name="20% - Accent2 19 5" xfId="575"/>
    <cellStyle name="20% - Accent2 19 6" xfId="576"/>
    <cellStyle name="20% - Accent2 19 7" xfId="577"/>
    <cellStyle name="20% - Accent2 19 8" xfId="578"/>
    <cellStyle name="20% - Accent2 19 9" xfId="579"/>
    <cellStyle name="20% - Accent2 2" xfId="580"/>
    <cellStyle name="20% - Accent2 2 10" xfId="581"/>
    <cellStyle name="20% - Accent2 2 11" xfId="582"/>
    <cellStyle name="20% - Accent2 2 2" xfId="583"/>
    <cellStyle name="20% - Accent2 2 3" xfId="584"/>
    <cellStyle name="20% - Accent2 2 4" xfId="585"/>
    <cellStyle name="20% - Accent2 2 5" xfId="586"/>
    <cellStyle name="20% - Accent2 2 5 10" xfId="587"/>
    <cellStyle name="20% - Accent2 2 5 11" xfId="588"/>
    <cellStyle name="20% - Accent2 2 5 12" xfId="589"/>
    <cellStyle name="20% - Accent2 2 5 2" xfId="590"/>
    <cellStyle name="20% - Accent2 2 5 3" xfId="591"/>
    <cellStyle name="20% - Accent2 2 5 4" xfId="592"/>
    <cellStyle name="20% - Accent2 2 5 5" xfId="593"/>
    <cellStyle name="20% - Accent2 2 5 6" xfId="594"/>
    <cellStyle name="20% - Accent2 2 5 7" xfId="595"/>
    <cellStyle name="20% - Accent2 2 5 8" xfId="596"/>
    <cellStyle name="20% - Accent2 2 5 9" xfId="597"/>
    <cellStyle name="20% - Accent2 2 6" xfId="598"/>
    <cellStyle name="20% - Accent2 2 6 10" xfId="599"/>
    <cellStyle name="20% - Accent2 2 6 11" xfId="600"/>
    <cellStyle name="20% - Accent2 2 6 12" xfId="601"/>
    <cellStyle name="20% - Accent2 2 6 2" xfId="602"/>
    <cellStyle name="20% - Accent2 2 6 3" xfId="603"/>
    <cellStyle name="20% - Accent2 2 6 4" xfId="604"/>
    <cellStyle name="20% - Accent2 2 6 5" xfId="605"/>
    <cellStyle name="20% - Accent2 2 6 6" xfId="606"/>
    <cellStyle name="20% - Accent2 2 6 7" xfId="607"/>
    <cellStyle name="20% - Accent2 2 6 8" xfId="608"/>
    <cellStyle name="20% - Accent2 2 6 9" xfId="609"/>
    <cellStyle name="20% - Accent2 2 7" xfId="610"/>
    <cellStyle name="20% - Accent2 2 8" xfId="611"/>
    <cellStyle name="20% - Accent2 2 9" xfId="612"/>
    <cellStyle name="20% - Accent2 2_MPP new" xfId="613"/>
    <cellStyle name="20% - Accent2 20" xfId="614"/>
    <cellStyle name="20% - Accent2 20 10" xfId="615"/>
    <cellStyle name="20% - Accent2 20 11" xfId="616"/>
    <cellStyle name="20% - Accent2 20 12" xfId="617"/>
    <cellStyle name="20% - Accent2 20 2" xfId="618"/>
    <cellStyle name="20% - Accent2 20 3" xfId="619"/>
    <cellStyle name="20% - Accent2 20 4" xfId="620"/>
    <cellStyle name="20% - Accent2 20 5" xfId="621"/>
    <cellStyle name="20% - Accent2 20 6" xfId="622"/>
    <cellStyle name="20% - Accent2 20 7" xfId="623"/>
    <cellStyle name="20% - Accent2 20 8" xfId="624"/>
    <cellStyle name="20% - Accent2 20 9" xfId="625"/>
    <cellStyle name="20% - Accent2 21" xfId="626"/>
    <cellStyle name="20% - Accent2 21 10" xfId="627"/>
    <cellStyle name="20% - Accent2 21 11" xfId="628"/>
    <cellStyle name="20% - Accent2 21 12" xfId="629"/>
    <cellStyle name="20% - Accent2 21 2" xfId="630"/>
    <cellStyle name="20% - Accent2 21 3" xfId="631"/>
    <cellStyle name="20% - Accent2 21 4" xfId="632"/>
    <cellStyle name="20% - Accent2 21 5" xfId="633"/>
    <cellStyle name="20% - Accent2 21 6" xfId="634"/>
    <cellStyle name="20% - Accent2 21 7" xfId="635"/>
    <cellStyle name="20% - Accent2 21 8" xfId="636"/>
    <cellStyle name="20% - Accent2 21 9" xfId="637"/>
    <cellStyle name="20% - Accent2 3" xfId="638"/>
    <cellStyle name="20% - Accent2 4" xfId="639"/>
    <cellStyle name="20% - Accent2 5" xfId="640"/>
    <cellStyle name="20% - Accent2 6" xfId="641"/>
    <cellStyle name="20% - Accent2 7" xfId="642"/>
    <cellStyle name="20% - Accent2 8" xfId="643"/>
    <cellStyle name="20% - Accent2 9" xfId="644"/>
    <cellStyle name="20% - Accent3 10" xfId="645"/>
    <cellStyle name="20% - Accent3 10 10" xfId="646"/>
    <cellStyle name="20% - Accent3 10 11" xfId="647"/>
    <cellStyle name="20% - Accent3 10 12" xfId="648"/>
    <cellStyle name="20% - Accent3 10 2" xfId="649"/>
    <cellStyle name="20% - Accent3 10 3" xfId="650"/>
    <cellStyle name="20% - Accent3 10 4" xfId="651"/>
    <cellStyle name="20% - Accent3 10 5" xfId="652"/>
    <cellStyle name="20% - Accent3 10 6" xfId="653"/>
    <cellStyle name="20% - Accent3 10 7" xfId="654"/>
    <cellStyle name="20% - Accent3 10 8" xfId="655"/>
    <cellStyle name="20% - Accent3 10 9" xfId="656"/>
    <cellStyle name="20% - Accent3 11" xfId="657"/>
    <cellStyle name="20% - Accent3 12" xfId="658"/>
    <cellStyle name="20% - Accent3 13" xfId="659"/>
    <cellStyle name="20% - Accent3 14" xfId="660"/>
    <cellStyle name="20% - Accent3 14 10" xfId="661"/>
    <cellStyle name="20% - Accent3 14 11" xfId="662"/>
    <cellStyle name="20% - Accent3 14 12" xfId="663"/>
    <cellStyle name="20% - Accent3 14 2" xfId="664"/>
    <cellStyle name="20% - Accent3 14 3" xfId="665"/>
    <cellStyle name="20% - Accent3 14 4" xfId="666"/>
    <cellStyle name="20% - Accent3 14 5" xfId="667"/>
    <cellStyle name="20% - Accent3 14 6" xfId="668"/>
    <cellStyle name="20% - Accent3 14 7" xfId="669"/>
    <cellStyle name="20% - Accent3 14 8" xfId="670"/>
    <cellStyle name="20% - Accent3 14 9" xfId="671"/>
    <cellStyle name="20% - Accent3 15" xfId="672"/>
    <cellStyle name="20% - Accent3 15 10" xfId="673"/>
    <cellStyle name="20% - Accent3 15 11" xfId="674"/>
    <cellStyle name="20% - Accent3 15 12" xfId="675"/>
    <cellStyle name="20% - Accent3 15 2" xfId="676"/>
    <cellStyle name="20% - Accent3 15 3" xfId="677"/>
    <cellStyle name="20% - Accent3 15 4" xfId="678"/>
    <cellStyle name="20% - Accent3 15 5" xfId="679"/>
    <cellStyle name="20% - Accent3 15 6" xfId="680"/>
    <cellStyle name="20% - Accent3 15 7" xfId="681"/>
    <cellStyle name="20% - Accent3 15 8" xfId="682"/>
    <cellStyle name="20% - Accent3 15 9" xfId="683"/>
    <cellStyle name="20% - Accent3 16" xfId="684"/>
    <cellStyle name="20% - Accent3 16 10" xfId="685"/>
    <cellStyle name="20% - Accent3 16 11" xfId="686"/>
    <cellStyle name="20% - Accent3 16 12" xfId="687"/>
    <cellStyle name="20% - Accent3 16 2" xfId="688"/>
    <cellStyle name="20% - Accent3 16 3" xfId="689"/>
    <cellStyle name="20% - Accent3 16 4" xfId="690"/>
    <cellStyle name="20% - Accent3 16 5" xfId="691"/>
    <cellStyle name="20% - Accent3 16 6" xfId="692"/>
    <cellStyle name="20% - Accent3 16 7" xfId="693"/>
    <cellStyle name="20% - Accent3 16 8" xfId="694"/>
    <cellStyle name="20% - Accent3 16 9" xfId="695"/>
    <cellStyle name="20% - Accent3 17" xfId="696"/>
    <cellStyle name="20% - Accent3 17 10" xfId="697"/>
    <cellStyle name="20% - Accent3 17 11" xfId="698"/>
    <cellStyle name="20% - Accent3 17 12" xfId="699"/>
    <cellStyle name="20% - Accent3 17 2" xfId="700"/>
    <cellStyle name="20% - Accent3 17 3" xfId="701"/>
    <cellStyle name="20% - Accent3 17 4" xfId="702"/>
    <cellStyle name="20% - Accent3 17 5" xfId="703"/>
    <cellStyle name="20% - Accent3 17 6" xfId="704"/>
    <cellStyle name="20% - Accent3 17 7" xfId="705"/>
    <cellStyle name="20% - Accent3 17 8" xfId="706"/>
    <cellStyle name="20% - Accent3 17 9" xfId="707"/>
    <cellStyle name="20% - Accent3 18" xfId="708"/>
    <cellStyle name="20% - Accent3 18 10" xfId="709"/>
    <cellStyle name="20% - Accent3 18 11" xfId="710"/>
    <cellStyle name="20% - Accent3 18 12" xfId="711"/>
    <cellStyle name="20% - Accent3 18 2" xfId="712"/>
    <cellStyle name="20% - Accent3 18 3" xfId="713"/>
    <cellStyle name="20% - Accent3 18 4" xfId="714"/>
    <cellStyle name="20% - Accent3 18 5" xfId="715"/>
    <cellStyle name="20% - Accent3 18 6" xfId="716"/>
    <cellStyle name="20% - Accent3 18 7" xfId="717"/>
    <cellStyle name="20% - Accent3 18 8" xfId="718"/>
    <cellStyle name="20% - Accent3 18 9" xfId="719"/>
    <cellStyle name="20% - Accent3 19" xfId="720"/>
    <cellStyle name="20% - Accent3 19 10" xfId="721"/>
    <cellStyle name="20% - Accent3 19 11" xfId="722"/>
    <cellStyle name="20% - Accent3 19 12" xfId="723"/>
    <cellStyle name="20% - Accent3 19 2" xfId="724"/>
    <cellStyle name="20% - Accent3 19 3" xfId="725"/>
    <cellStyle name="20% - Accent3 19 4" xfId="726"/>
    <cellStyle name="20% - Accent3 19 5" xfId="727"/>
    <cellStyle name="20% - Accent3 19 6" xfId="728"/>
    <cellStyle name="20% - Accent3 19 7" xfId="729"/>
    <cellStyle name="20% - Accent3 19 8" xfId="730"/>
    <cellStyle name="20% - Accent3 19 9" xfId="731"/>
    <cellStyle name="20% - Accent3 2" xfId="732"/>
    <cellStyle name="20% - Accent3 2 10" xfId="733"/>
    <cellStyle name="20% - Accent3 2 11" xfId="734"/>
    <cellStyle name="20% - Accent3 2 2" xfId="735"/>
    <cellStyle name="20% - Accent3 2 3" xfId="736"/>
    <cellStyle name="20% - Accent3 2 4" xfId="737"/>
    <cellStyle name="20% - Accent3 2 5" xfId="738"/>
    <cellStyle name="20% - Accent3 2 5 10" xfId="739"/>
    <cellStyle name="20% - Accent3 2 5 11" xfId="740"/>
    <cellStyle name="20% - Accent3 2 5 12" xfId="741"/>
    <cellStyle name="20% - Accent3 2 5 2" xfId="742"/>
    <cellStyle name="20% - Accent3 2 5 3" xfId="743"/>
    <cellStyle name="20% - Accent3 2 5 4" xfId="744"/>
    <cellStyle name="20% - Accent3 2 5 5" xfId="745"/>
    <cellStyle name="20% - Accent3 2 5 6" xfId="746"/>
    <cellStyle name="20% - Accent3 2 5 7" xfId="747"/>
    <cellStyle name="20% - Accent3 2 5 8" xfId="748"/>
    <cellStyle name="20% - Accent3 2 5 9" xfId="749"/>
    <cellStyle name="20% - Accent3 2 6" xfId="750"/>
    <cellStyle name="20% - Accent3 2 6 10" xfId="751"/>
    <cellStyle name="20% - Accent3 2 6 11" xfId="752"/>
    <cellStyle name="20% - Accent3 2 6 12" xfId="753"/>
    <cellStyle name="20% - Accent3 2 6 2" xfId="754"/>
    <cellStyle name="20% - Accent3 2 6 3" xfId="755"/>
    <cellStyle name="20% - Accent3 2 6 4" xfId="756"/>
    <cellStyle name="20% - Accent3 2 6 5" xfId="757"/>
    <cellStyle name="20% - Accent3 2 6 6" xfId="758"/>
    <cellStyle name="20% - Accent3 2 6 7" xfId="759"/>
    <cellStyle name="20% - Accent3 2 6 8" xfId="760"/>
    <cellStyle name="20% - Accent3 2 6 9" xfId="761"/>
    <cellStyle name="20% - Accent3 2 7" xfId="762"/>
    <cellStyle name="20% - Accent3 2 8" xfId="763"/>
    <cellStyle name="20% - Accent3 2 9" xfId="764"/>
    <cellStyle name="20% - Accent3 2_MPP new" xfId="765"/>
    <cellStyle name="20% - Accent3 20" xfId="766"/>
    <cellStyle name="20% - Accent3 20 10" xfId="767"/>
    <cellStyle name="20% - Accent3 20 11" xfId="768"/>
    <cellStyle name="20% - Accent3 20 12" xfId="769"/>
    <cellStyle name="20% - Accent3 20 2" xfId="770"/>
    <cellStyle name="20% - Accent3 20 3" xfId="771"/>
    <cellStyle name="20% - Accent3 20 4" xfId="772"/>
    <cellStyle name="20% - Accent3 20 5" xfId="773"/>
    <cellStyle name="20% - Accent3 20 6" xfId="774"/>
    <cellStyle name="20% - Accent3 20 7" xfId="775"/>
    <cellStyle name="20% - Accent3 20 8" xfId="776"/>
    <cellStyle name="20% - Accent3 20 9" xfId="777"/>
    <cellStyle name="20% - Accent3 21" xfId="778"/>
    <cellStyle name="20% - Accent3 21 10" xfId="779"/>
    <cellStyle name="20% - Accent3 21 11" xfId="780"/>
    <cellStyle name="20% - Accent3 21 12" xfId="781"/>
    <cellStyle name="20% - Accent3 21 2" xfId="782"/>
    <cellStyle name="20% - Accent3 21 3" xfId="783"/>
    <cellStyle name="20% - Accent3 21 4" xfId="784"/>
    <cellStyle name="20% - Accent3 21 5" xfId="785"/>
    <cellStyle name="20% - Accent3 21 6" xfId="786"/>
    <cellStyle name="20% - Accent3 21 7" xfId="787"/>
    <cellStyle name="20% - Accent3 21 8" xfId="788"/>
    <cellStyle name="20% - Accent3 21 9" xfId="789"/>
    <cellStyle name="20% - Accent3 3" xfId="790"/>
    <cellStyle name="20% - Accent3 4" xfId="791"/>
    <cellStyle name="20% - Accent3 5" xfId="792"/>
    <cellStyle name="20% - Accent3 6" xfId="793"/>
    <cellStyle name="20% - Accent3 7" xfId="794"/>
    <cellStyle name="20% - Accent3 8" xfId="795"/>
    <cellStyle name="20% - Accent3 9" xfId="796"/>
    <cellStyle name="20% - Accent4 10" xfId="797"/>
    <cellStyle name="20% - Accent4 10 10" xfId="798"/>
    <cellStyle name="20% - Accent4 10 11" xfId="799"/>
    <cellStyle name="20% - Accent4 10 12" xfId="800"/>
    <cellStyle name="20% - Accent4 10 2" xfId="801"/>
    <cellStyle name="20% - Accent4 10 3" xfId="802"/>
    <cellStyle name="20% - Accent4 10 4" xfId="803"/>
    <cellStyle name="20% - Accent4 10 5" xfId="804"/>
    <cellStyle name="20% - Accent4 10 6" xfId="805"/>
    <cellStyle name="20% - Accent4 10 7" xfId="806"/>
    <cellStyle name="20% - Accent4 10 8" xfId="807"/>
    <cellStyle name="20% - Accent4 10 9" xfId="808"/>
    <cellStyle name="20% - Accent4 11" xfId="809"/>
    <cellStyle name="20% - Accent4 12" xfId="810"/>
    <cellStyle name="20% - Accent4 13" xfId="811"/>
    <cellStyle name="20% - Accent4 14" xfId="812"/>
    <cellStyle name="20% - Accent4 14 10" xfId="813"/>
    <cellStyle name="20% - Accent4 14 11" xfId="814"/>
    <cellStyle name="20% - Accent4 14 12" xfId="815"/>
    <cellStyle name="20% - Accent4 14 2" xfId="816"/>
    <cellStyle name="20% - Accent4 14 3" xfId="817"/>
    <cellStyle name="20% - Accent4 14 4" xfId="818"/>
    <cellStyle name="20% - Accent4 14 5" xfId="819"/>
    <cellStyle name="20% - Accent4 14 6" xfId="820"/>
    <cellStyle name="20% - Accent4 14 7" xfId="821"/>
    <cellStyle name="20% - Accent4 14 8" xfId="822"/>
    <cellStyle name="20% - Accent4 14 9" xfId="823"/>
    <cellStyle name="20% - Accent4 15" xfId="824"/>
    <cellStyle name="20% - Accent4 15 10" xfId="825"/>
    <cellStyle name="20% - Accent4 15 11" xfId="826"/>
    <cellStyle name="20% - Accent4 15 12" xfId="827"/>
    <cellStyle name="20% - Accent4 15 2" xfId="828"/>
    <cellStyle name="20% - Accent4 15 3" xfId="829"/>
    <cellStyle name="20% - Accent4 15 4" xfId="830"/>
    <cellStyle name="20% - Accent4 15 5" xfId="831"/>
    <cellStyle name="20% - Accent4 15 6" xfId="832"/>
    <cellStyle name="20% - Accent4 15 7" xfId="833"/>
    <cellStyle name="20% - Accent4 15 8" xfId="834"/>
    <cellStyle name="20% - Accent4 15 9" xfId="835"/>
    <cellStyle name="20% - Accent4 16" xfId="836"/>
    <cellStyle name="20% - Accent4 16 10" xfId="837"/>
    <cellStyle name="20% - Accent4 16 11" xfId="838"/>
    <cellStyle name="20% - Accent4 16 12" xfId="839"/>
    <cellStyle name="20% - Accent4 16 2" xfId="840"/>
    <cellStyle name="20% - Accent4 16 3" xfId="841"/>
    <cellStyle name="20% - Accent4 16 4" xfId="842"/>
    <cellStyle name="20% - Accent4 16 5" xfId="843"/>
    <cellStyle name="20% - Accent4 16 6" xfId="844"/>
    <cellStyle name="20% - Accent4 16 7" xfId="845"/>
    <cellStyle name="20% - Accent4 16 8" xfId="846"/>
    <cellStyle name="20% - Accent4 16 9" xfId="847"/>
    <cellStyle name="20% - Accent4 17" xfId="848"/>
    <cellStyle name="20% - Accent4 17 10" xfId="849"/>
    <cellStyle name="20% - Accent4 17 11" xfId="850"/>
    <cellStyle name="20% - Accent4 17 12" xfId="851"/>
    <cellStyle name="20% - Accent4 17 2" xfId="852"/>
    <cellStyle name="20% - Accent4 17 3" xfId="853"/>
    <cellStyle name="20% - Accent4 17 4" xfId="854"/>
    <cellStyle name="20% - Accent4 17 5" xfId="855"/>
    <cellStyle name="20% - Accent4 17 6" xfId="856"/>
    <cellStyle name="20% - Accent4 17 7" xfId="857"/>
    <cellStyle name="20% - Accent4 17 8" xfId="858"/>
    <cellStyle name="20% - Accent4 17 9" xfId="859"/>
    <cellStyle name="20% - Accent4 18" xfId="860"/>
    <cellStyle name="20% - Accent4 18 10" xfId="861"/>
    <cellStyle name="20% - Accent4 18 11" xfId="862"/>
    <cellStyle name="20% - Accent4 18 12" xfId="863"/>
    <cellStyle name="20% - Accent4 18 2" xfId="864"/>
    <cellStyle name="20% - Accent4 18 3" xfId="865"/>
    <cellStyle name="20% - Accent4 18 4" xfId="866"/>
    <cellStyle name="20% - Accent4 18 5" xfId="867"/>
    <cellStyle name="20% - Accent4 18 6" xfId="868"/>
    <cellStyle name="20% - Accent4 18 7" xfId="869"/>
    <cellStyle name="20% - Accent4 18 8" xfId="870"/>
    <cellStyle name="20% - Accent4 18 9" xfId="871"/>
    <cellStyle name="20% - Accent4 19" xfId="872"/>
    <cellStyle name="20% - Accent4 19 10" xfId="873"/>
    <cellStyle name="20% - Accent4 19 11" xfId="874"/>
    <cellStyle name="20% - Accent4 19 12" xfId="875"/>
    <cellStyle name="20% - Accent4 19 2" xfId="876"/>
    <cellStyle name="20% - Accent4 19 3" xfId="877"/>
    <cellStyle name="20% - Accent4 19 4" xfId="878"/>
    <cellStyle name="20% - Accent4 19 5" xfId="879"/>
    <cellStyle name="20% - Accent4 19 6" xfId="880"/>
    <cellStyle name="20% - Accent4 19 7" xfId="881"/>
    <cellStyle name="20% - Accent4 19 8" xfId="882"/>
    <cellStyle name="20% - Accent4 19 9" xfId="883"/>
    <cellStyle name="20% - Accent4 2" xfId="884"/>
    <cellStyle name="20% - Accent4 2 10" xfId="885"/>
    <cellStyle name="20% - Accent4 2 11" xfId="886"/>
    <cellStyle name="20% - Accent4 2 2" xfId="887"/>
    <cellStyle name="20% - Accent4 2 3" xfId="888"/>
    <cellStyle name="20% - Accent4 2 4" xfId="889"/>
    <cellStyle name="20% - Accent4 2 5" xfId="890"/>
    <cellStyle name="20% - Accent4 2 5 10" xfId="891"/>
    <cellStyle name="20% - Accent4 2 5 11" xfId="892"/>
    <cellStyle name="20% - Accent4 2 5 12" xfId="893"/>
    <cellStyle name="20% - Accent4 2 5 2" xfId="894"/>
    <cellStyle name="20% - Accent4 2 5 3" xfId="895"/>
    <cellStyle name="20% - Accent4 2 5 4" xfId="896"/>
    <cellStyle name="20% - Accent4 2 5 5" xfId="897"/>
    <cellStyle name="20% - Accent4 2 5 6" xfId="898"/>
    <cellStyle name="20% - Accent4 2 5 7" xfId="899"/>
    <cellStyle name="20% - Accent4 2 5 8" xfId="900"/>
    <cellStyle name="20% - Accent4 2 5 9" xfId="901"/>
    <cellStyle name="20% - Accent4 2 6" xfId="902"/>
    <cellStyle name="20% - Accent4 2 6 10" xfId="903"/>
    <cellStyle name="20% - Accent4 2 6 11" xfId="904"/>
    <cellStyle name="20% - Accent4 2 6 12" xfId="905"/>
    <cellStyle name="20% - Accent4 2 6 2" xfId="906"/>
    <cellStyle name="20% - Accent4 2 6 3" xfId="907"/>
    <cellStyle name="20% - Accent4 2 6 4" xfId="908"/>
    <cellStyle name="20% - Accent4 2 6 5" xfId="909"/>
    <cellStyle name="20% - Accent4 2 6 6" xfId="910"/>
    <cellStyle name="20% - Accent4 2 6 7" xfId="911"/>
    <cellStyle name="20% - Accent4 2 6 8" xfId="912"/>
    <cellStyle name="20% - Accent4 2 6 9" xfId="913"/>
    <cellStyle name="20% - Accent4 2 7" xfId="914"/>
    <cellStyle name="20% - Accent4 2 8" xfId="915"/>
    <cellStyle name="20% - Accent4 2 9" xfId="916"/>
    <cellStyle name="20% - Accent4 2_MPP new" xfId="917"/>
    <cellStyle name="20% - Accent4 20" xfId="918"/>
    <cellStyle name="20% - Accent4 20 10" xfId="919"/>
    <cellStyle name="20% - Accent4 20 11" xfId="920"/>
    <cellStyle name="20% - Accent4 20 12" xfId="921"/>
    <cellStyle name="20% - Accent4 20 2" xfId="922"/>
    <cellStyle name="20% - Accent4 20 3" xfId="923"/>
    <cellStyle name="20% - Accent4 20 4" xfId="924"/>
    <cellStyle name="20% - Accent4 20 5" xfId="925"/>
    <cellStyle name="20% - Accent4 20 6" xfId="926"/>
    <cellStyle name="20% - Accent4 20 7" xfId="927"/>
    <cellStyle name="20% - Accent4 20 8" xfId="928"/>
    <cellStyle name="20% - Accent4 20 9" xfId="929"/>
    <cellStyle name="20% - Accent4 21" xfId="930"/>
    <cellStyle name="20% - Accent4 21 10" xfId="931"/>
    <cellStyle name="20% - Accent4 21 11" xfId="932"/>
    <cellStyle name="20% - Accent4 21 12" xfId="933"/>
    <cellStyle name="20% - Accent4 21 2" xfId="934"/>
    <cellStyle name="20% - Accent4 21 3" xfId="935"/>
    <cellStyle name="20% - Accent4 21 4" xfId="936"/>
    <cellStyle name="20% - Accent4 21 5" xfId="937"/>
    <cellStyle name="20% - Accent4 21 6" xfId="938"/>
    <cellStyle name="20% - Accent4 21 7" xfId="939"/>
    <cellStyle name="20% - Accent4 21 8" xfId="940"/>
    <cellStyle name="20% - Accent4 21 9" xfId="941"/>
    <cellStyle name="20% - Accent4 3" xfId="942"/>
    <cellStyle name="20% - Accent4 4" xfId="943"/>
    <cellStyle name="20% - Accent4 5" xfId="944"/>
    <cellStyle name="20% - Accent4 6" xfId="945"/>
    <cellStyle name="20% - Accent4 7" xfId="946"/>
    <cellStyle name="20% - Accent4 8" xfId="947"/>
    <cellStyle name="20% - Accent4 9" xfId="948"/>
    <cellStyle name="20% - Accent5 10" xfId="949"/>
    <cellStyle name="20% - Accent5 10 10" xfId="950"/>
    <cellStyle name="20% - Accent5 10 11" xfId="951"/>
    <cellStyle name="20% - Accent5 10 12" xfId="952"/>
    <cellStyle name="20% - Accent5 10 2" xfId="953"/>
    <cellStyle name="20% - Accent5 10 3" xfId="954"/>
    <cellStyle name="20% - Accent5 10 4" xfId="955"/>
    <cellStyle name="20% - Accent5 10 5" xfId="956"/>
    <cellStyle name="20% - Accent5 10 6" xfId="957"/>
    <cellStyle name="20% - Accent5 10 7" xfId="958"/>
    <cellStyle name="20% - Accent5 10 8" xfId="959"/>
    <cellStyle name="20% - Accent5 10 9" xfId="960"/>
    <cellStyle name="20% - Accent5 11" xfId="961"/>
    <cellStyle name="20% - Accent5 12" xfId="962"/>
    <cellStyle name="20% - Accent5 13" xfId="963"/>
    <cellStyle name="20% - Accent5 14" xfId="964"/>
    <cellStyle name="20% - Accent5 14 10" xfId="965"/>
    <cellStyle name="20% - Accent5 14 11" xfId="966"/>
    <cellStyle name="20% - Accent5 14 12" xfId="967"/>
    <cellStyle name="20% - Accent5 14 2" xfId="968"/>
    <cellStyle name="20% - Accent5 14 3" xfId="969"/>
    <cellStyle name="20% - Accent5 14 4" xfId="970"/>
    <cellStyle name="20% - Accent5 14 5" xfId="971"/>
    <cellStyle name="20% - Accent5 14 6" xfId="972"/>
    <cellStyle name="20% - Accent5 14 7" xfId="973"/>
    <cellStyle name="20% - Accent5 14 8" xfId="974"/>
    <cellStyle name="20% - Accent5 14 9" xfId="975"/>
    <cellStyle name="20% - Accent5 15" xfId="976"/>
    <cellStyle name="20% - Accent5 15 10" xfId="977"/>
    <cellStyle name="20% - Accent5 15 11" xfId="978"/>
    <cellStyle name="20% - Accent5 15 12" xfId="979"/>
    <cellStyle name="20% - Accent5 15 2" xfId="980"/>
    <cellStyle name="20% - Accent5 15 3" xfId="981"/>
    <cellStyle name="20% - Accent5 15 4" xfId="982"/>
    <cellStyle name="20% - Accent5 15 5" xfId="983"/>
    <cellStyle name="20% - Accent5 15 6" xfId="984"/>
    <cellStyle name="20% - Accent5 15 7" xfId="985"/>
    <cellStyle name="20% - Accent5 15 8" xfId="986"/>
    <cellStyle name="20% - Accent5 15 9" xfId="987"/>
    <cellStyle name="20% - Accent5 16" xfId="988"/>
    <cellStyle name="20% - Accent5 16 10" xfId="989"/>
    <cellStyle name="20% - Accent5 16 11" xfId="990"/>
    <cellStyle name="20% - Accent5 16 12" xfId="991"/>
    <cellStyle name="20% - Accent5 16 2" xfId="992"/>
    <cellStyle name="20% - Accent5 16 3" xfId="993"/>
    <cellStyle name="20% - Accent5 16 4" xfId="994"/>
    <cellStyle name="20% - Accent5 16 5" xfId="995"/>
    <cellStyle name="20% - Accent5 16 6" xfId="996"/>
    <cellStyle name="20% - Accent5 16 7" xfId="997"/>
    <cellStyle name="20% - Accent5 16 8" xfId="998"/>
    <cellStyle name="20% - Accent5 16 9" xfId="999"/>
    <cellStyle name="20% - Accent5 17" xfId="1000"/>
    <cellStyle name="20% - Accent5 17 10" xfId="1001"/>
    <cellStyle name="20% - Accent5 17 11" xfId="1002"/>
    <cellStyle name="20% - Accent5 17 12" xfId="1003"/>
    <cellStyle name="20% - Accent5 17 2" xfId="1004"/>
    <cellStyle name="20% - Accent5 17 3" xfId="1005"/>
    <cellStyle name="20% - Accent5 17 4" xfId="1006"/>
    <cellStyle name="20% - Accent5 17 5" xfId="1007"/>
    <cellStyle name="20% - Accent5 17 6" xfId="1008"/>
    <cellStyle name="20% - Accent5 17 7" xfId="1009"/>
    <cellStyle name="20% - Accent5 17 8" xfId="1010"/>
    <cellStyle name="20% - Accent5 17 9" xfId="1011"/>
    <cellStyle name="20% - Accent5 18" xfId="1012"/>
    <cellStyle name="20% - Accent5 18 10" xfId="1013"/>
    <cellStyle name="20% - Accent5 18 11" xfId="1014"/>
    <cellStyle name="20% - Accent5 18 12" xfId="1015"/>
    <cellStyle name="20% - Accent5 18 2" xfId="1016"/>
    <cellStyle name="20% - Accent5 18 3" xfId="1017"/>
    <cellStyle name="20% - Accent5 18 4" xfId="1018"/>
    <cellStyle name="20% - Accent5 18 5" xfId="1019"/>
    <cellStyle name="20% - Accent5 18 6" xfId="1020"/>
    <cellStyle name="20% - Accent5 18 7" xfId="1021"/>
    <cellStyle name="20% - Accent5 18 8" xfId="1022"/>
    <cellStyle name="20% - Accent5 18 9" xfId="1023"/>
    <cellStyle name="20% - Accent5 19" xfId="1024"/>
    <cellStyle name="20% - Accent5 19 10" xfId="1025"/>
    <cellStyle name="20% - Accent5 19 11" xfId="1026"/>
    <cellStyle name="20% - Accent5 19 12" xfId="1027"/>
    <cellStyle name="20% - Accent5 19 2" xfId="1028"/>
    <cellStyle name="20% - Accent5 19 3" xfId="1029"/>
    <cellStyle name="20% - Accent5 19 4" xfId="1030"/>
    <cellStyle name="20% - Accent5 19 5" xfId="1031"/>
    <cellStyle name="20% - Accent5 19 6" xfId="1032"/>
    <cellStyle name="20% - Accent5 19 7" xfId="1033"/>
    <cellStyle name="20% - Accent5 19 8" xfId="1034"/>
    <cellStyle name="20% - Accent5 19 9" xfId="1035"/>
    <cellStyle name="20% - Accent5 2" xfId="1036"/>
    <cellStyle name="20% - Accent5 2 10" xfId="1037"/>
    <cellStyle name="20% - Accent5 2 11" xfId="1038"/>
    <cellStyle name="20% - Accent5 2 2" xfId="1039"/>
    <cellStyle name="20% - Accent5 2 3" xfId="1040"/>
    <cellStyle name="20% - Accent5 2 4" xfId="1041"/>
    <cellStyle name="20% - Accent5 2 5" xfId="1042"/>
    <cellStyle name="20% - Accent5 2 5 10" xfId="1043"/>
    <cellStyle name="20% - Accent5 2 5 11" xfId="1044"/>
    <cellStyle name="20% - Accent5 2 5 12" xfId="1045"/>
    <cellStyle name="20% - Accent5 2 5 2" xfId="1046"/>
    <cellStyle name="20% - Accent5 2 5 3" xfId="1047"/>
    <cellStyle name="20% - Accent5 2 5 4" xfId="1048"/>
    <cellStyle name="20% - Accent5 2 5 5" xfId="1049"/>
    <cellStyle name="20% - Accent5 2 5 6" xfId="1050"/>
    <cellStyle name="20% - Accent5 2 5 7" xfId="1051"/>
    <cellStyle name="20% - Accent5 2 5 8" xfId="1052"/>
    <cellStyle name="20% - Accent5 2 5 9" xfId="1053"/>
    <cellStyle name="20% - Accent5 2 6" xfId="1054"/>
    <cellStyle name="20% - Accent5 2 7" xfId="1055"/>
    <cellStyle name="20% - Accent5 2 8" xfId="1056"/>
    <cellStyle name="20% - Accent5 2 9" xfId="1057"/>
    <cellStyle name="20% - Accent5 2_MPP new" xfId="1058"/>
    <cellStyle name="20% - Accent5 20" xfId="1059"/>
    <cellStyle name="20% - Accent5 20 10" xfId="1060"/>
    <cellStyle name="20% - Accent5 20 11" xfId="1061"/>
    <cellStyle name="20% - Accent5 20 12" xfId="1062"/>
    <cellStyle name="20% - Accent5 20 2" xfId="1063"/>
    <cellStyle name="20% - Accent5 20 3" xfId="1064"/>
    <cellStyle name="20% - Accent5 20 4" xfId="1065"/>
    <cellStyle name="20% - Accent5 20 5" xfId="1066"/>
    <cellStyle name="20% - Accent5 20 6" xfId="1067"/>
    <cellStyle name="20% - Accent5 20 7" xfId="1068"/>
    <cellStyle name="20% - Accent5 20 8" xfId="1069"/>
    <cellStyle name="20% - Accent5 20 9" xfId="1070"/>
    <cellStyle name="20% - Accent5 21" xfId="1071"/>
    <cellStyle name="20% - Accent5 21 10" xfId="1072"/>
    <cellStyle name="20% - Accent5 21 11" xfId="1073"/>
    <cellStyle name="20% - Accent5 21 12" xfId="1074"/>
    <cellStyle name="20% - Accent5 21 2" xfId="1075"/>
    <cellStyle name="20% - Accent5 21 3" xfId="1076"/>
    <cellStyle name="20% - Accent5 21 4" xfId="1077"/>
    <cellStyle name="20% - Accent5 21 5" xfId="1078"/>
    <cellStyle name="20% - Accent5 21 6" xfId="1079"/>
    <cellStyle name="20% - Accent5 21 7" xfId="1080"/>
    <cellStyle name="20% - Accent5 21 8" xfId="1081"/>
    <cellStyle name="20% - Accent5 21 9" xfId="1082"/>
    <cellStyle name="20% - Accent5 3" xfId="1083"/>
    <cellStyle name="20% - Accent5 4" xfId="1084"/>
    <cellStyle name="20% - Accent5 5" xfId="1085"/>
    <cellStyle name="20% - Accent5 6" xfId="1086"/>
    <cellStyle name="20% - Accent5 7" xfId="1087"/>
    <cellStyle name="20% - Accent5 8" xfId="1088"/>
    <cellStyle name="20% - Accent5 9" xfId="1089"/>
    <cellStyle name="20% - Accent6 10" xfId="1090"/>
    <cellStyle name="20% - Accent6 10 10" xfId="1091"/>
    <cellStyle name="20% - Accent6 10 11" xfId="1092"/>
    <cellStyle name="20% - Accent6 10 12" xfId="1093"/>
    <cellStyle name="20% - Accent6 10 2" xfId="1094"/>
    <cellStyle name="20% - Accent6 10 3" xfId="1095"/>
    <cellStyle name="20% - Accent6 10 4" xfId="1096"/>
    <cellStyle name="20% - Accent6 10 5" xfId="1097"/>
    <cellStyle name="20% - Accent6 10 6" xfId="1098"/>
    <cellStyle name="20% - Accent6 10 7" xfId="1099"/>
    <cellStyle name="20% - Accent6 10 8" xfId="1100"/>
    <cellStyle name="20% - Accent6 10 9" xfId="1101"/>
    <cellStyle name="20% - Accent6 11" xfId="1102"/>
    <cellStyle name="20% - Accent6 12" xfId="1103"/>
    <cellStyle name="20% - Accent6 13" xfId="1104"/>
    <cellStyle name="20% - Accent6 14" xfId="1105"/>
    <cellStyle name="20% - Accent6 14 10" xfId="1106"/>
    <cellStyle name="20% - Accent6 14 11" xfId="1107"/>
    <cellStyle name="20% - Accent6 14 12" xfId="1108"/>
    <cellStyle name="20% - Accent6 14 2" xfId="1109"/>
    <cellStyle name="20% - Accent6 14 3" xfId="1110"/>
    <cellStyle name="20% - Accent6 14 4" xfId="1111"/>
    <cellStyle name="20% - Accent6 14 5" xfId="1112"/>
    <cellStyle name="20% - Accent6 14 6" xfId="1113"/>
    <cellStyle name="20% - Accent6 14 7" xfId="1114"/>
    <cellStyle name="20% - Accent6 14 8" xfId="1115"/>
    <cellStyle name="20% - Accent6 14 9" xfId="1116"/>
    <cellStyle name="20% - Accent6 15" xfId="1117"/>
    <cellStyle name="20% - Accent6 15 10" xfId="1118"/>
    <cellStyle name="20% - Accent6 15 11" xfId="1119"/>
    <cellStyle name="20% - Accent6 15 12" xfId="1120"/>
    <cellStyle name="20% - Accent6 15 2" xfId="1121"/>
    <cellStyle name="20% - Accent6 15 3" xfId="1122"/>
    <cellStyle name="20% - Accent6 15 4" xfId="1123"/>
    <cellStyle name="20% - Accent6 15 5" xfId="1124"/>
    <cellStyle name="20% - Accent6 15 6" xfId="1125"/>
    <cellStyle name="20% - Accent6 15 7" xfId="1126"/>
    <cellStyle name="20% - Accent6 15 8" xfId="1127"/>
    <cellStyle name="20% - Accent6 15 9" xfId="1128"/>
    <cellStyle name="20% - Accent6 16" xfId="1129"/>
    <cellStyle name="20% - Accent6 16 10" xfId="1130"/>
    <cellStyle name="20% - Accent6 16 11" xfId="1131"/>
    <cellStyle name="20% - Accent6 16 12" xfId="1132"/>
    <cellStyle name="20% - Accent6 16 2" xfId="1133"/>
    <cellStyle name="20% - Accent6 16 3" xfId="1134"/>
    <cellStyle name="20% - Accent6 16 4" xfId="1135"/>
    <cellStyle name="20% - Accent6 16 5" xfId="1136"/>
    <cellStyle name="20% - Accent6 16 6" xfId="1137"/>
    <cellStyle name="20% - Accent6 16 7" xfId="1138"/>
    <cellStyle name="20% - Accent6 16 8" xfId="1139"/>
    <cellStyle name="20% - Accent6 16 9" xfId="1140"/>
    <cellStyle name="20% - Accent6 17" xfId="1141"/>
    <cellStyle name="20% - Accent6 17 10" xfId="1142"/>
    <cellStyle name="20% - Accent6 17 11" xfId="1143"/>
    <cellStyle name="20% - Accent6 17 12" xfId="1144"/>
    <cellStyle name="20% - Accent6 17 2" xfId="1145"/>
    <cellStyle name="20% - Accent6 17 3" xfId="1146"/>
    <cellStyle name="20% - Accent6 17 4" xfId="1147"/>
    <cellStyle name="20% - Accent6 17 5" xfId="1148"/>
    <cellStyle name="20% - Accent6 17 6" xfId="1149"/>
    <cellStyle name="20% - Accent6 17 7" xfId="1150"/>
    <cellStyle name="20% - Accent6 17 8" xfId="1151"/>
    <cellStyle name="20% - Accent6 17 9" xfId="1152"/>
    <cellStyle name="20% - Accent6 18" xfId="1153"/>
    <cellStyle name="20% - Accent6 18 10" xfId="1154"/>
    <cellStyle name="20% - Accent6 18 11" xfId="1155"/>
    <cellStyle name="20% - Accent6 18 12" xfId="1156"/>
    <cellStyle name="20% - Accent6 18 2" xfId="1157"/>
    <cellStyle name="20% - Accent6 18 3" xfId="1158"/>
    <cellStyle name="20% - Accent6 18 4" xfId="1159"/>
    <cellStyle name="20% - Accent6 18 5" xfId="1160"/>
    <cellStyle name="20% - Accent6 18 6" xfId="1161"/>
    <cellStyle name="20% - Accent6 18 7" xfId="1162"/>
    <cellStyle name="20% - Accent6 18 8" xfId="1163"/>
    <cellStyle name="20% - Accent6 18 9" xfId="1164"/>
    <cellStyle name="20% - Accent6 19" xfId="1165"/>
    <cellStyle name="20% - Accent6 19 10" xfId="1166"/>
    <cellStyle name="20% - Accent6 19 11" xfId="1167"/>
    <cellStyle name="20% - Accent6 19 12" xfId="1168"/>
    <cellStyle name="20% - Accent6 19 2" xfId="1169"/>
    <cellStyle name="20% - Accent6 19 3" xfId="1170"/>
    <cellStyle name="20% - Accent6 19 4" xfId="1171"/>
    <cellStyle name="20% - Accent6 19 5" xfId="1172"/>
    <cellStyle name="20% - Accent6 19 6" xfId="1173"/>
    <cellStyle name="20% - Accent6 19 7" xfId="1174"/>
    <cellStyle name="20% - Accent6 19 8" xfId="1175"/>
    <cellStyle name="20% - Accent6 19 9" xfId="1176"/>
    <cellStyle name="20% - Accent6 2" xfId="1177"/>
    <cellStyle name="20% - Accent6 2 10" xfId="1178"/>
    <cellStyle name="20% - Accent6 2 11" xfId="1179"/>
    <cellStyle name="20% - Accent6 2 2" xfId="1180"/>
    <cellStyle name="20% - Accent6 2 3" xfId="1181"/>
    <cellStyle name="20% - Accent6 2 4" xfId="1182"/>
    <cellStyle name="20% - Accent6 2 5" xfId="1183"/>
    <cellStyle name="20% - Accent6 2 5 10" xfId="1184"/>
    <cellStyle name="20% - Accent6 2 5 11" xfId="1185"/>
    <cellStyle name="20% - Accent6 2 5 12" xfId="1186"/>
    <cellStyle name="20% - Accent6 2 5 2" xfId="1187"/>
    <cellStyle name="20% - Accent6 2 5 3" xfId="1188"/>
    <cellStyle name="20% - Accent6 2 5 4" xfId="1189"/>
    <cellStyle name="20% - Accent6 2 5 5" xfId="1190"/>
    <cellStyle name="20% - Accent6 2 5 6" xfId="1191"/>
    <cellStyle name="20% - Accent6 2 5 7" xfId="1192"/>
    <cellStyle name="20% - Accent6 2 5 8" xfId="1193"/>
    <cellStyle name="20% - Accent6 2 5 9" xfId="1194"/>
    <cellStyle name="20% - Accent6 2 6" xfId="1195"/>
    <cellStyle name="20% - Accent6 2 7" xfId="1196"/>
    <cellStyle name="20% - Accent6 2 8" xfId="1197"/>
    <cellStyle name="20% - Accent6 2 9" xfId="1198"/>
    <cellStyle name="20% - Accent6 2_MPP new" xfId="1199"/>
    <cellStyle name="20% - Accent6 20" xfId="1200"/>
    <cellStyle name="20% - Accent6 20 10" xfId="1201"/>
    <cellStyle name="20% - Accent6 20 11" xfId="1202"/>
    <cellStyle name="20% - Accent6 20 12" xfId="1203"/>
    <cellStyle name="20% - Accent6 20 2" xfId="1204"/>
    <cellStyle name="20% - Accent6 20 3" xfId="1205"/>
    <cellStyle name="20% - Accent6 20 4" xfId="1206"/>
    <cellStyle name="20% - Accent6 20 5" xfId="1207"/>
    <cellStyle name="20% - Accent6 20 6" xfId="1208"/>
    <cellStyle name="20% - Accent6 20 7" xfId="1209"/>
    <cellStyle name="20% - Accent6 20 8" xfId="1210"/>
    <cellStyle name="20% - Accent6 20 9" xfId="1211"/>
    <cellStyle name="20% - Accent6 21" xfId="1212"/>
    <cellStyle name="20% - Accent6 21 10" xfId="1213"/>
    <cellStyle name="20% - Accent6 21 11" xfId="1214"/>
    <cellStyle name="20% - Accent6 21 12" xfId="1215"/>
    <cellStyle name="20% - Accent6 21 2" xfId="1216"/>
    <cellStyle name="20% - Accent6 21 3" xfId="1217"/>
    <cellStyle name="20% - Accent6 21 4" xfId="1218"/>
    <cellStyle name="20% - Accent6 21 5" xfId="1219"/>
    <cellStyle name="20% - Accent6 21 6" xfId="1220"/>
    <cellStyle name="20% - Accent6 21 7" xfId="1221"/>
    <cellStyle name="20% - Accent6 21 8" xfId="1222"/>
    <cellStyle name="20% - Accent6 21 9" xfId="1223"/>
    <cellStyle name="20% - Accent6 3" xfId="1224"/>
    <cellStyle name="20% - Accent6 4" xfId="1225"/>
    <cellStyle name="20% - Accent6 5" xfId="1226"/>
    <cellStyle name="20% - Accent6 6" xfId="1227"/>
    <cellStyle name="20% - Accent6 7" xfId="1228"/>
    <cellStyle name="20% - Accent6 8" xfId="1229"/>
    <cellStyle name="20% - Accent6 9" xfId="1230"/>
    <cellStyle name="40% - Accent1 10" xfId="1231"/>
    <cellStyle name="40% - Accent1 10 10" xfId="1232"/>
    <cellStyle name="40% - Accent1 10 11" xfId="1233"/>
    <cellStyle name="40% - Accent1 10 12" xfId="1234"/>
    <cellStyle name="40% - Accent1 10 2" xfId="1235"/>
    <cellStyle name="40% - Accent1 10 3" xfId="1236"/>
    <cellStyle name="40% - Accent1 10 4" xfId="1237"/>
    <cellStyle name="40% - Accent1 10 5" xfId="1238"/>
    <cellStyle name="40% - Accent1 10 6" xfId="1239"/>
    <cellStyle name="40% - Accent1 10 7" xfId="1240"/>
    <cellStyle name="40% - Accent1 10 8" xfId="1241"/>
    <cellStyle name="40% - Accent1 10 9" xfId="1242"/>
    <cellStyle name="40% - Accent1 11" xfId="1243"/>
    <cellStyle name="40% - Accent1 12" xfId="1244"/>
    <cellStyle name="40% - Accent1 13" xfId="1245"/>
    <cellStyle name="40% - Accent1 14" xfId="1246"/>
    <cellStyle name="40% - Accent1 14 10" xfId="1247"/>
    <cellStyle name="40% - Accent1 14 11" xfId="1248"/>
    <cellStyle name="40% - Accent1 14 12" xfId="1249"/>
    <cellStyle name="40% - Accent1 14 2" xfId="1250"/>
    <cellStyle name="40% - Accent1 14 3" xfId="1251"/>
    <cellStyle name="40% - Accent1 14 4" xfId="1252"/>
    <cellStyle name="40% - Accent1 14 5" xfId="1253"/>
    <cellStyle name="40% - Accent1 14 6" xfId="1254"/>
    <cellStyle name="40% - Accent1 14 7" xfId="1255"/>
    <cellStyle name="40% - Accent1 14 8" xfId="1256"/>
    <cellStyle name="40% - Accent1 14 9" xfId="1257"/>
    <cellStyle name="40% - Accent1 15" xfId="1258"/>
    <cellStyle name="40% - Accent1 15 10" xfId="1259"/>
    <cellStyle name="40% - Accent1 15 11" xfId="1260"/>
    <cellStyle name="40% - Accent1 15 12" xfId="1261"/>
    <cellStyle name="40% - Accent1 15 2" xfId="1262"/>
    <cellStyle name="40% - Accent1 15 3" xfId="1263"/>
    <cellStyle name="40% - Accent1 15 4" xfId="1264"/>
    <cellStyle name="40% - Accent1 15 5" xfId="1265"/>
    <cellStyle name="40% - Accent1 15 6" xfId="1266"/>
    <cellStyle name="40% - Accent1 15 7" xfId="1267"/>
    <cellStyle name="40% - Accent1 15 8" xfId="1268"/>
    <cellStyle name="40% - Accent1 15 9" xfId="1269"/>
    <cellStyle name="40% - Accent1 16" xfId="1270"/>
    <cellStyle name="40% - Accent1 16 10" xfId="1271"/>
    <cellStyle name="40% - Accent1 16 11" xfId="1272"/>
    <cellStyle name="40% - Accent1 16 12" xfId="1273"/>
    <cellStyle name="40% - Accent1 16 2" xfId="1274"/>
    <cellStyle name="40% - Accent1 16 3" xfId="1275"/>
    <cellStyle name="40% - Accent1 16 4" xfId="1276"/>
    <cellStyle name="40% - Accent1 16 5" xfId="1277"/>
    <cellStyle name="40% - Accent1 16 6" xfId="1278"/>
    <cellStyle name="40% - Accent1 16 7" xfId="1279"/>
    <cellStyle name="40% - Accent1 16 8" xfId="1280"/>
    <cellStyle name="40% - Accent1 16 9" xfId="1281"/>
    <cellStyle name="40% - Accent1 17" xfId="1282"/>
    <cellStyle name="40% - Accent1 17 10" xfId="1283"/>
    <cellStyle name="40% - Accent1 17 11" xfId="1284"/>
    <cellStyle name="40% - Accent1 17 12" xfId="1285"/>
    <cellStyle name="40% - Accent1 17 2" xfId="1286"/>
    <cellStyle name="40% - Accent1 17 3" xfId="1287"/>
    <cellStyle name="40% - Accent1 17 4" xfId="1288"/>
    <cellStyle name="40% - Accent1 17 5" xfId="1289"/>
    <cellStyle name="40% - Accent1 17 6" xfId="1290"/>
    <cellStyle name="40% - Accent1 17 7" xfId="1291"/>
    <cellStyle name="40% - Accent1 17 8" xfId="1292"/>
    <cellStyle name="40% - Accent1 17 9" xfId="1293"/>
    <cellStyle name="40% - Accent1 18" xfId="1294"/>
    <cellStyle name="40% - Accent1 18 10" xfId="1295"/>
    <cellStyle name="40% - Accent1 18 11" xfId="1296"/>
    <cellStyle name="40% - Accent1 18 12" xfId="1297"/>
    <cellStyle name="40% - Accent1 18 2" xfId="1298"/>
    <cellStyle name="40% - Accent1 18 3" xfId="1299"/>
    <cellStyle name="40% - Accent1 18 4" xfId="1300"/>
    <cellStyle name="40% - Accent1 18 5" xfId="1301"/>
    <cellStyle name="40% - Accent1 18 6" xfId="1302"/>
    <cellStyle name="40% - Accent1 18 7" xfId="1303"/>
    <cellStyle name="40% - Accent1 18 8" xfId="1304"/>
    <cellStyle name="40% - Accent1 18 9" xfId="1305"/>
    <cellStyle name="40% - Accent1 19" xfId="1306"/>
    <cellStyle name="40% - Accent1 19 10" xfId="1307"/>
    <cellStyle name="40% - Accent1 19 11" xfId="1308"/>
    <cellStyle name="40% - Accent1 19 12" xfId="1309"/>
    <cellStyle name="40% - Accent1 19 2" xfId="1310"/>
    <cellStyle name="40% - Accent1 19 3" xfId="1311"/>
    <cellStyle name="40% - Accent1 19 4" xfId="1312"/>
    <cellStyle name="40% - Accent1 19 5" xfId="1313"/>
    <cellStyle name="40% - Accent1 19 6" xfId="1314"/>
    <cellStyle name="40% - Accent1 19 7" xfId="1315"/>
    <cellStyle name="40% - Accent1 19 8" xfId="1316"/>
    <cellStyle name="40% - Accent1 19 9" xfId="1317"/>
    <cellStyle name="40% - Accent1 2" xfId="1318"/>
    <cellStyle name="40% - Accent1 2 10" xfId="1319"/>
    <cellStyle name="40% - Accent1 2 11" xfId="1320"/>
    <cellStyle name="40% - Accent1 2 2" xfId="1321"/>
    <cellStyle name="40% - Accent1 2 3" xfId="1322"/>
    <cellStyle name="40% - Accent1 2 4" xfId="1323"/>
    <cellStyle name="40% - Accent1 2 5" xfId="1324"/>
    <cellStyle name="40% - Accent1 2 5 10" xfId="1325"/>
    <cellStyle name="40% - Accent1 2 5 11" xfId="1326"/>
    <cellStyle name="40% - Accent1 2 5 12" xfId="1327"/>
    <cellStyle name="40% - Accent1 2 5 2" xfId="1328"/>
    <cellStyle name="40% - Accent1 2 5 3" xfId="1329"/>
    <cellStyle name="40% - Accent1 2 5 4" xfId="1330"/>
    <cellStyle name="40% - Accent1 2 5 5" xfId="1331"/>
    <cellStyle name="40% - Accent1 2 5 6" xfId="1332"/>
    <cellStyle name="40% - Accent1 2 5 7" xfId="1333"/>
    <cellStyle name="40% - Accent1 2 5 8" xfId="1334"/>
    <cellStyle name="40% - Accent1 2 5 9" xfId="1335"/>
    <cellStyle name="40% - Accent1 2 6" xfId="1336"/>
    <cellStyle name="40% - Accent1 2 6 10" xfId="1337"/>
    <cellStyle name="40% - Accent1 2 6 11" xfId="1338"/>
    <cellStyle name="40% - Accent1 2 6 12" xfId="1339"/>
    <cellStyle name="40% - Accent1 2 6 2" xfId="1340"/>
    <cellStyle name="40% - Accent1 2 6 3" xfId="1341"/>
    <cellStyle name="40% - Accent1 2 6 4" xfId="1342"/>
    <cellStyle name="40% - Accent1 2 6 5" xfId="1343"/>
    <cellStyle name="40% - Accent1 2 6 6" xfId="1344"/>
    <cellStyle name="40% - Accent1 2 6 7" xfId="1345"/>
    <cellStyle name="40% - Accent1 2 6 8" xfId="1346"/>
    <cellStyle name="40% - Accent1 2 6 9" xfId="1347"/>
    <cellStyle name="40% - Accent1 2 7" xfId="1348"/>
    <cellStyle name="40% - Accent1 2 8" xfId="1349"/>
    <cellStyle name="40% - Accent1 2 9" xfId="1350"/>
    <cellStyle name="40% - Accent1 2_MPP new" xfId="1351"/>
    <cellStyle name="40% - Accent1 20" xfId="1352"/>
    <cellStyle name="40% - Accent1 20 10" xfId="1353"/>
    <cellStyle name="40% - Accent1 20 11" xfId="1354"/>
    <cellStyle name="40% - Accent1 20 12" xfId="1355"/>
    <cellStyle name="40% - Accent1 20 2" xfId="1356"/>
    <cellStyle name="40% - Accent1 20 3" xfId="1357"/>
    <cellStyle name="40% - Accent1 20 4" xfId="1358"/>
    <cellStyle name="40% - Accent1 20 5" xfId="1359"/>
    <cellStyle name="40% - Accent1 20 6" xfId="1360"/>
    <cellStyle name="40% - Accent1 20 7" xfId="1361"/>
    <cellStyle name="40% - Accent1 20 8" xfId="1362"/>
    <cellStyle name="40% - Accent1 20 9" xfId="1363"/>
    <cellStyle name="40% - Accent1 21" xfId="1364"/>
    <cellStyle name="40% - Accent1 21 10" xfId="1365"/>
    <cellStyle name="40% - Accent1 21 11" xfId="1366"/>
    <cellStyle name="40% - Accent1 21 12" xfId="1367"/>
    <cellStyle name="40% - Accent1 21 2" xfId="1368"/>
    <cellStyle name="40% - Accent1 21 3" xfId="1369"/>
    <cellStyle name="40% - Accent1 21 4" xfId="1370"/>
    <cellStyle name="40% - Accent1 21 5" xfId="1371"/>
    <cellStyle name="40% - Accent1 21 6" xfId="1372"/>
    <cellStyle name="40% - Accent1 21 7" xfId="1373"/>
    <cellStyle name="40% - Accent1 21 8" xfId="1374"/>
    <cellStyle name="40% - Accent1 21 9" xfId="1375"/>
    <cellStyle name="40% - Accent1 3" xfId="1376"/>
    <cellStyle name="40% - Accent1 4" xfId="1377"/>
    <cellStyle name="40% - Accent1 5" xfId="1378"/>
    <cellStyle name="40% - Accent1 6" xfId="1379"/>
    <cellStyle name="40% - Accent1 7" xfId="1380"/>
    <cellStyle name="40% - Accent1 8" xfId="1381"/>
    <cellStyle name="40% - Accent1 9" xfId="1382"/>
    <cellStyle name="40% - Accent2 10" xfId="1383"/>
    <cellStyle name="40% - Accent2 10 10" xfId="1384"/>
    <cellStyle name="40% - Accent2 10 11" xfId="1385"/>
    <cellStyle name="40% - Accent2 10 12" xfId="1386"/>
    <cellStyle name="40% - Accent2 10 2" xfId="1387"/>
    <cellStyle name="40% - Accent2 10 3" xfId="1388"/>
    <cellStyle name="40% - Accent2 10 4" xfId="1389"/>
    <cellStyle name="40% - Accent2 10 5" xfId="1390"/>
    <cellStyle name="40% - Accent2 10 6" xfId="1391"/>
    <cellStyle name="40% - Accent2 10 7" xfId="1392"/>
    <cellStyle name="40% - Accent2 10 8" xfId="1393"/>
    <cellStyle name="40% - Accent2 10 9" xfId="1394"/>
    <cellStyle name="40% - Accent2 11" xfId="1395"/>
    <cellStyle name="40% - Accent2 12" xfId="1396"/>
    <cellStyle name="40% - Accent2 13" xfId="1397"/>
    <cellStyle name="40% - Accent2 14" xfId="1398"/>
    <cellStyle name="40% - Accent2 14 10" xfId="1399"/>
    <cellStyle name="40% - Accent2 14 11" xfId="1400"/>
    <cellStyle name="40% - Accent2 14 12" xfId="1401"/>
    <cellStyle name="40% - Accent2 14 2" xfId="1402"/>
    <cellStyle name="40% - Accent2 14 3" xfId="1403"/>
    <cellStyle name="40% - Accent2 14 4" xfId="1404"/>
    <cellStyle name="40% - Accent2 14 5" xfId="1405"/>
    <cellStyle name="40% - Accent2 14 6" xfId="1406"/>
    <cellStyle name="40% - Accent2 14 7" xfId="1407"/>
    <cellStyle name="40% - Accent2 14 8" xfId="1408"/>
    <cellStyle name="40% - Accent2 14 9" xfId="1409"/>
    <cellStyle name="40% - Accent2 15" xfId="1410"/>
    <cellStyle name="40% - Accent2 15 10" xfId="1411"/>
    <cellStyle name="40% - Accent2 15 11" xfId="1412"/>
    <cellStyle name="40% - Accent2 15 12" xfId="1413"/>
    <cellStyle name="40% - Accent2 15 2" xfId="1414"/>
    <cellStyle name="40% - Accent2 15 3" xfId="1415"/>
    <cellStyle name="40% - Accent2 15 4" xfId="1416"/>
    <cellStyle name="40% - Accent2 15 5" xfId="1417"/>
    <cellStyle name="40% - Accent2 15 6" xfId="1418"/>
    <cellStyle name="40% - Accent2 15 7" xfId="1419"/>
    <cellStyle name="40% - Accent2 15 8" xfId="1420"/>
    <cellStyle name="40% - Accent2 15 9" xfId="1421"/>
    <cellStyle name="40% - Accent2 16" xfId="1422"/>
    <cellStyle name="40% - Accent2 16 10" xfId="1423"/>
    <cellStyle name="40% - Accent2 16 11" xfId="1424"/>
    <cellStyle name="40% - Accent2 16 12" xfId="1425"/>
    <cellStyle name="40% - Accent2 16 2" xfId="1426"/>
    <cellStyle name="40% - Accent2 16 3" xfId="1427"/>
    <cellStyle name="40% - Accent2 16 4" xfId="1428"/>
    <cellStyle name="40% - Accent2 16 5" xfId="1429"/>
    <cellStyle name="40% - Accent2 16 6" xfId="1430"/>
    <cellStyle name="40% - Accent2 16 7" xfId="1431"/>
    <cellStyle name="40% - Accent2 16 8" xfId="1432"/>
    <cellStyle name="40% - Accent2 16 9" xfId="1433"/>
    <cellStyle name="40% - Accent2 17" xfId="1434"/>
    <cellStyle name="40% - Accent2 17 10" xfId="1435"/>
    <cellStyle name="40% - Accent2 17 11" xfId="1436"/>
    <cellStyle name="40% - Accent2 17 12" xfId="1437"/>
    <cellStyle name="40% - Accent2 17 2" xfId="1438"/>
    <cellStyle name="40% - Accent2 17 3" xfId="1439"/>
    <cellStyle name="40% - Accent2 17 4" xfId="1440"/>
    <cellStyle name="40% - Accent2 17 5" xfId="1441"/>
    <cellStyle name="40% - Accent2 17 6" xfId="1442"/>
    <cellStyle name="40% - Accent2 17 7" xfId="1443"/>
    <cellStyle name="40% - Accent2 17 8" xfId="1444"/>
    <cellStyle name="40% - Accent2 17 9" xfId="1445"/>
    <cellStyle name="40% - Accent2 18" xfId="1446"/>
    <cellStyle name="40% - Accent2 18 10" xfId="1447"/>
    <cellStyle name="40% - Accent2 18 11" xfId="1448"/>
    <cellStyle name="40% - Accent2 18 12" xfId="1449"/>
    <cellStyle name="40% - Accent2 18 2" xfId="1450"/>
    <cellStyle name="40% - Accent2 18 3" xfId="1451"/>
    <cellStyle name="40% - Accent2 18 4" xfId="1452"/>
    <cellStyle name="40% - Accent2 18 5" xfId="1453"/>
    <cellStyle name="40% - Accent2 18 6" xfId="1454"/>
    <cellStyle name="40% - Accent2 18 7" xfId="1455"/>
    <cellStyle name="40% - Accent2 18 8" xfId="1456"/>
    <cellStyle name="40% - Accent2 18 9" xfId="1457"/>
    <cellStyle name="40% - Accent2 19" xfId="1458"/>
    <cellStyle name="40% - Accent2 19 10" xfId="1459"/>
    <cellStyle name="40% - Accent2 19 11" xfId="1460"/>
    <cellStyle name="40% - Accent2 19 12" xfId="1461"/>
    <cellStyle name="40% - Accent2 19 2" xfId="1462"/>
    <cellStyle name="40% - Accent2 19 3" xfId="1463"/>
    <cellStyle name="40% - Accent2 19 4" xfId="1464"/>
    <cellStyle name="40% - Accent2 19 5" xfId="1465"/>
    <cellStyle name="40% - Accent2 19 6" xfId="1466"/>
    <cellStyle name="40% - Accent2 19 7" xfId="1467"/>
    <cellStyle name="40% - Accent2 19 8" xfId="1468"/>
    <cellStyle name="40% - Accent2 19 9" xfId="1469"/>
    <cellStyle name="40% - Accent2 2" xfId="1470"/>
    <cellStyle name="40% - Accent2 2 10" xfId="1471"/>
    <cellStyle name="40% - Accent2 2 11" xfId="1472"/>
    <cellStyle name="40% - Accent2 2 2" xfId="1473"/>
    <cellStyle name="40% - Accent2 2 3" xfId="1474"/>
    <cellStyle name="40% - Accent2 2 4" xfId="1475"/>
    <cellStyle name="40% - Accent2 2 5" xfId="1476"/>
    <cellStyle name="40% - Accent2 2 5 10" xfId="1477"/>
    <cellStyle name="40% - Accent2 2 5 11" xfId="1478"/>
    <cellStyle name="40% - Accent2 2 5 12" xfId="1479"/>
    <cellStyle name="40% - Accent2 2 5 2" xfId="1480"/>
    <cellStyle name="40% - Accent2 2 5 3" xfId="1481"/>
    <cellStyle name="40% - Accent2 2 5 4" xfId="1482"/>
    <cellStyle name="40% - Accent2 2 5 5" xfId="1483"/>
    <cellStyle name="40% - Accent2 2 5 6" xfId="1484"/>
    <cellStyle name="40% - Accent2 2 5 7" xfId="1485"/>
    <cellStyle name="40% - Accent2 2 5 8" xfId="1486"/>
    <cellStyle name="40% - Accent2 2 5 9" xfId="1487"/>
    <cellStyle name="40% - Accent2 2 6" xfId="1488"/>
    <cellStyle name="40% - Accent2 2 6 10" xfId="1489"/>
    <cellStyle name="40% - Accent2 2 6 11" xfId="1490"/>
    <cellStyle name="40% - Accent2 2 6 12" xfId="1491"/>
    <cellStyle name="40% - Accent2 2 6 2" xfId="1492"/>
    <cellStyle name="40% - Accent2 2 6 3" xfId="1493"/>
    <cellStyle name="40% - Accent2 2 6 4" xfId="1494"/>
    <cellStyle name="40% - Accent2 2 6 5" xfId="1495"/>
    <cellStyle name="40% - Accent2 2 6 6" xfId="1496"/>
    <cellStyle name="40% - Accent2 2 6 7" xfId="1497"/>
    <cellStyle name="40% - Accent2 2 6 8" xfId="1498"/>
    <cellStyle name="40% - Accent2 2 6 9" xfId="1499"/>
    <cellStyle name="40% - Accent2 2 7" xfId="1500"/>
    <cellStyle name="40% - Accent2 2 8" xfId="1501"/>
    <cellStyle name="40% - Accent2 2 9" xfId="1502"/>
    <cellStyle name="40% - Accent2 2_MPP new" xfId="1503"/>
    <cellStyle name="40% - Accent2 20" xfId="1504"/>
    <cellStyle name="40% - Accent2 20 10" xfId="1505"/>
    <cellStyle name="40% - Accent2 20 11" xfId="1506"/>
    <cellStyle name="40% - Accent2 20 12" xfId="1507"/>
    <cellStyle name="40% - Accent2 20 2" xfId="1508"/>
    <cellStyle name="40% - Accent2 20 3" xfId="1509"/>
    <cellStyle name="40% - Accent2 20 4" xfId="1510"/>
    <cellStyle name="40% - Accent2 20 5" xfId="1511"/>
    <cellStyle name="40% - Accent2 20 6" xfId="1512"/>
    <cellStyle name="40% - Accent2 20 7" xfId="1513"/>
    <cellStyle name="40% - Accent2 20 8" xfId="1514"/>
    <cellStyle name="40% - Accent2 20 9" xfId="1515"/>
    <cellStyle name="40% - Accent2 21" xfId="1516"/>
    <cellStyle name="40% - Accent2 21 10" xfId="1517"/>
    <cellStyle name="40% - Accent2 21 11" xfId="1518"/>
    <cellStyle name="40% - Accent2 21 12" xfId="1519"/>
    <cellStyle name="40% - Accent2 21 2" xfId="1520"/>
    <cellStyle name="40% - Accent2 21 3" xfId="1521"/>
    <cellStyle name="40% - Accent2 21 4" xfId="1522"/>
    <cellStyle name="40% - Accent2 21 5" xfId="1523"/>
    <cellStyle name="40% - Accent2 21 6" xfId="1524"/>
    <cellStyle name="40% - Accent2 21 7" xfId="1525"/>
    <cellStyle name="40% - Accent2 21 8" xfId="1526"/>
    <cellStyle name="40% - Accent2 21 9" xfId="1527"/>
    <cellStyle name="40% - Accent2 3" xfId="1528"/>
    <cellStyle name="40% - Accent2 4" xfId="1529"/>
    <cellStyle name="40% - Accent2 5" xfId="1530"/>
    <cellStyle name="40% - Accent2 6" xfId="1531"/>
    <cellStyle name="40% - Accent2 7" xfId="1532"/>
    <cellStyle name="40% - Accent2 8" xfId="1533"/>
    <cellStyle name="40% - Accent2 9" xfId="1534"/>
    <cellStyle name="40% - Accent3 10" xfId="1535"/>
    <cellStyle name="40% - Accent3 10 10" xfId="1536"/>
    <cellStyle name="40% - Accent3 10 11" xfId="1537"/>
    <cellStyle name="40% - Accent3 10 12" xfId="1538"/>
    <cellStyle name="40% - Accent3 10 2" xfId="1539"/>
    <cellStyle name="40% - Accent3 10 3" xfId="1540"/>
    <cellStyle name="40% - Accent3 10 4" xfId="1541"/>
    <cellStyle name="40% - Accent3 10 5" xfId="1542"/>
    <cellStyle name="40% - Accent3 10 6" xfId="1543"/>
    <cellStyle name="40% - Accent3 10 7" xfId="1544"/>
    <cellStyle name="40% - Accent3 10 8" xfId="1545"/>
    <cellStyle name="40% - Accent3 10 9" xfId="1546"/>
    <cellStyle name="40% - Accent3 11" xfId="1547"/>
    <cellStyle name="40% - Accent3 12" xfId="1548"/>
    <cellStyle name="40% - Accent3 13" xfId="1549"/>
    <cellStyle name="40% - Accent3 14" xfId="1550"/>
    <cellStyle name="40% - Accent3 14 10" xfId="1551"/>
    <cellStyle name="40% - Accent3 14 11" xfId="1552"/>
    <cellStyle name="40% - Accent3 14 12" xfId="1553"/>
    <cellStyle name="40% - Accent3 14 2" xfId="1554"/>
    <cellStyle name="40% - Accent3 14 3" xfId="1555"/>
    <cellStyle name="40% - Accent3 14 4" xfId="1556"/>
    <cellStyle name="40% - Accent3 14 5" xfId="1557"/>
    <cellStyle name="40% - Accent3 14 6" xfId="1558"/>
    <cellStyle name="40% - Accent3 14 7" xfId="1559"/>
    <cellStyle name="40% - Accent3 14 8" xfId="1560"/>
    <cellStyle name="40% - Accent3 14 9" xfId="1561"/>
    <cellStyle name="40% - Accent3 15" xfId="1562"/>
    <cellStyle name="40% - Accent3 15 10" xfId="1563"/>
    <cellStyle name="40% - Accent3 15 11" xfId="1564"/>
    <cellStyle name="40% - Accent3 15 12" xfId="1565"/>
    <cellStyle name="40% - Accent3 15 2" xfId="1566"/>
    <cellStyle name="40% - Accent3 15 3" xfId="1567"/>
    <cellStyle name="40% - Accent3 15 4" xfId="1568"/>
    <cellStyle name="40% - Accent3 15 5" xfId="1569"/>
    <cellStyle name="40% - Accent3 15 6" xfId="1570"/>
    <cellStyle name="40% - Accent3 15 7" xfId="1571"/>
    <cellStyle name="40% - Accent3 15 8" xfId="1572"/>
    <cellStyle name="40% - Accent3 15 9" xfId="1573"/>
    <cellStyle name="40% - Accent3 16" xfId="1574"/>
    <cellStyle name="40% - Accent3 16 10" xfId="1575"/>
    <cellStyle name="40% - Accent3 16 11" xfId="1576"/>
    <cellStyle name="40% - Accent3 16 12" xfId="1577"/>
    <cellStyle name="40% - Accent3 16 2" xfId="1578"/>
    <cellStyle name="40% - Accent3 16 3" xfId="1579"/>
    <cellStyle name="40% - Accent3 16 4" xfId="1580"/>
    <cellStyle name="40% - Accent3 16 5" xfId="1581"/>
    <cellStyle name="40% - Accent3 16 6" xfId="1582"/>
    <cellStyle name="40% - Accent3 16 7" xfId="1583"/>
    <cellStyle name="40% - Accent3 16 8" xfId="1584"/>
    <cellStyle name="40% - Accent3 16 9" xfId="1585"/>
    <cellStyle name="40% - Accent3 17" xfId="1586"/>
    <cellStyle name="40% - Accent3 17 10" xfId="1587"/>
    <cellStyle name="40% - Accent3 17 11" xfId="1588"/>
    <cellStyle name="40% - Accent3 17 12" xfId="1589"/>
    <cellStyle name="40% - Accent3 17 2" xfId="1590"/>
    <cellStyle name="40% - Accent3 17 3" xfId="1591"/>
    <cellStyle name="40% - Accent3 17 4" xfId="1592"/>
    <cellStyle name="40% - Accent3 17 5" xfId="1593"/>
    <cellStyle name="40% - Accent3 17 6" xfId="1594"/>
    <cellStyle name="40% - Accent3 17 7" xfId="1595"/>
    <cellStyle name="40% - Accent3 17 8" xfId="1596"/>
    <cellStyle name="40% - Accent3 17 9" xfId="1597"/>
    <cellStyle name="40% - Accent3 18" xfId="1598"/>
    <cellStyle name="40% - Accent3 18 10" xfId="1599"/>
    <cellStyle name="40% - Accent3 18 11" xfId="1600"/>
    <cellStyle name="40% - Accent3 18 12" xfId="1601"/>
    <cellStyle name="40% - Accent3 18 2" xfId="1602"/>
    <cellStyle name="40% - Accent3 18 3" xfId="1603"/>
    <cellStyle name="40% - Accent3 18 4" xfId="1604"/>
    <cellStyle name="40% - Accent3 18 5" xfId="1605"/>
    <cellStyle name="40% - Accent3 18 6" xfId="1606"/>
    <cellStyle name="40% - Accent3 18 7" xfId="1607"/>
    <cellStyle name="40% - Accent3 18 8" xfId="1608"/>
    <cellStyle name="40% - Accent3 18 9" xfId="1609"/>
    <cellStyle name="40% - Accent3 19" xfId="1610"/>
    <cellStyle name="40% - Accent3 19 10" xfId="1611"/>
    <cellStyle name="40% - Accent3 19 11" xfId="1612"/>
    <cellStyle name="40% - Accent3 19 12" xfId="1613"/>
    <cellStyle name="40% - Accent3 19 2" xfId="1614"/>
    <cellStyle name="40% - Accent3 19 3" xfId="1615"/>
    <cellStyle name="40% - Accent3 19 4" xfId="1616"/>
    <cellStyle name="40% - Accent3 19 5" xfId="1617"/>
    <cellStyle name="40% - Accent3 19 6" xfId="1618"/>
    <cellStyle name="40% - Accent3 19 7" xfId="1619"/>
    <cellStyle name="40% - Accent3 19 8" xfId="1620"/>
    <cellStyle name="40% - Accent3 19 9" xfId="1621"/>
    <cellStyle name="40% - Accent3 2" xfId="1622"/>
    <cellStyle name="40% - Accent3 2 10" xfId="1623"/>
    <cellStyle name="40% - Accent3 2 11" xfId="1624"/>
    <cellStyle name="40% - Accent3 2 2" xfId="1625"/>
    <cellStyle name="40% - Accent3 2 3" xfId="1626"/>
    <cellStyle name="40% - Accent3 2 4" xfId="1627"/>
    <cellStyle name="40% - Accent3 2 5" xfId="1628"/>
    <cellStyle name="40% - Accent3 2 5 10" xfId="1629"/>
    <cellStyle name="40% - Accent3 2 5 11" xfId="1630"/>
    <cellStyle name="40% - Accent3 2 5 12" xfId="1631"/>
    <cellStyle name="40% - Accent3 2 5 2" xfId="1632"/>
    <cellStyle name="40% - Accent3 2 5 3" xfId="1633"/>
    <cellStyle name="40% - Accent3 2 5 4" xfId="1634"/>
    <cellStyle name="40% - Accent3 2 5 5" xfId="1635"/>
    <cellStyle name="40% - Accent3 2 5 6" xfId="1636"/>
    <cellStyle name="40% - Accent3 2 5 7" xfId="1637"/>
    <cellStyle name="40% - Accent3 2 5 8" xfId="1638"/>
    <cellStyle name="40% - Accent3 2 5 9" xfId="1639"/>
    <cellStyle name="40% - Accent3 2 6" xfId="1640"/>
    <cellStyle name="40% - Accent3 2 6 10" xfId="1641"/>
    <cellStyle name="40% - Accent3 2 6 11" xfId="1642"/>
    <cellStyle name="40% - Accent3 2 6 12" xfId="1643"/>
    <cellStyle name="40% - Accent3 2 6 2" xfId="1644"/>
    <cellStyle name="40% - Accent3 2 6 3" xfId="1645"/>
    <cellStyle name="40% - Accent3 2 6 4" xfId="1646"/>
    <cellStyle name="40% - Accent3 2 6 5" xfId="1647"/>
    <cellStyle name="40% - Accent3 2 6 6" xfId="1648"/>
    <cellStyle name="40% - Accent3 2 6 7" xfId="1649"/>
    <cellStyle name="40% - Accent3 2 6 8" xfId="1650"/>
    <cellStyle name="40% - Accent3 2 6 9" xfId="1651"/>
    <cellStyle name="40% - Accent3 2 7" xfId="1652"/>
    <cellStyle name="40% - Accent3 2 8" xfId="1653"/>
    <cellStyle name="40% - Accent3 2 9" xfId="1654"/>
    <cellStyle name="40% - Accent3 2_MPP new" xfId="1655"/>
    <cellStyle name="40% - Accent3 20" xfId="1656"/>
    <cellStyle name="40% - Accent3 20 10" xfId="1657"/>
    <cellStyle name="40% - Accent3 20 11" xfId="1658"/>
    <cellStyle name="40% - Accent3 20 12" xfId="1659"/>
    <cellStyle name="40% - Accent3 20 2" xfId="1660"/>
    <cellStyle name="40% - Accent3 20 3" xfId="1661"/>
    <cellStyle name="40% - Accent3 20 4" xfId="1662"/>
    <cellStyle name="40% - Accent3 20 5" xfId="1663"/>
    <cellStyle name="40% - Accent3 20 6" xfId="1664"/>
    <cellStyle name="40% - Accent3 20 7" xfId="1665"/>
    <cellStyle name="40% - Accent3 20 8" xfId="1666"/>
    <cellStyle name="40% - Accent3 20 9" xfId="1667"/>
    <cellStyle name="40% - Accent3 21" xfId="1668"/>
    <cellStyle name="40% - Accent3 21 10" xfId="1669"/>
    <cellStyle name="40% - Accent3 21 11" xfId="1670"/>
    <cellStyle name="40% - Accent3 21 12" xfId="1671"/>
    <cellStyle name="40% - Accent3 21 2" xfId="1672"/>
    <cellStyle name="40% - Accent3 21 3" xfId="1673"/>
    <cellStyle name="40% - Accent3 21 4" xfId="1674"/>
    <cellStyle name="40% - Accent3 21 5" xfId="1675"/>
    <cellStyle name="40% - Accent3 21 6" xfId="1676"/>
    <cellStyle name="40% - Accent3 21 7" xfId="1677"/>
    <cellStyle name="40% - Accent3 21 8" xfId="1678"/>
    <cellStyle name="40% - Accent3 21 9" xfId="1679"/>
    <cellStyle name="40% - Accent3 3" xfId="1680"/>
    <cellStyle name="40% - Accent3 4" xfId="1681"/>
    <cellStyle name="40% - Accent3 5" xfId="1682"/>
    <cellStyle name="40% - Accent3 6" xfId="1683"/>
    <cellStyle name="40% - Accent3 7" xfId="1684"/>
    <cellStyle name="40% - Accent3 8" xfId="1685"/>
    <cellStyle name="40% - Accent3 9" xfId="1686"/>
    <cellStyle name="40% - Accent4 10" xfId="1687"/>
    <cellStyle name="40% - Accent4 10 10" xfId="1688"/>
    <cellStyle name="40% - Accent4 10 11" xfId="1689"/>
    <cellStyle name="40% - Accent4 10 12" xfId="1690"/>
    <cellStyle name="40% - Accent4 10 2" xfId="1691"/>
    <cellStyle name="40% - Accent4 10 3" xfId="1692"/>
    <cellStyle name="40% - Accent4 10 4" xfId="1693"/>
    <cellStyle name="40% - Accent4 10 5" xfId="1694"/>
    <cellStyle name="40% - Accent4 10 6" xfId="1695"/>
    <cellStyle name="40% - Accent4 10 7" xfId="1696"/>
    <cellStyle name="40% - Accent4 10 8" xfId="1697"/>
    <cellStyle name="40% - Accent4 10 9" xfId="1698"/>
    <cellStyle name="40% - Accent4 11" xfId="1699"/>
    <cellStyle name="40% - Accent4 12" xfId="1700"/>
    <cellStyle name="40% - Accent4 13" xfId="1701"/>
    <cellStyle name="40% - Accent4 14" xfId="1702"/>
    <cellStyle name="40% - Accent4 14 10" xfId="1703"/>
    <cellStyle name="40% - Accent4 14 11" xfId="1704"/>
    <cellStyle name="40% - Accent4 14 12" xfId="1705"/>
    <cellStyle name="40% - Accent4 14 2" xfId="1706"/>
    <cellStyle name="40% - Accent4 14 3" xfId="1707"/>
    <cellStyle name="40% - Accent4 14 4" xfId="1708"/>
    <cellStyle name="40% - Accent4 14 5" xfId="1709"/>
    <cellStyle name="40% - Accent4 14 6" xfId="1710"/>
    <cellStyle name="40% - Accent4 14 7" xfId="1711"/>
    <cellStyle name="40% - Accent4 14 8" xfId="1712"/>
    <cellStyle name="40% - Accent4 14 9" xfId="1713"/>
    <cellStyle name="40% - Accent4 15" xfId="1714"/>
    <cellStyle name="40% - Accent4 15 10" xfId="1715"/>
    <cellStyle name="40% - Accent4 15 11" xfId="1716"/>
    <cellStyle name="40% - Accent4 15 12" xfId="1717"/>
    <cellStyle name="40% - Accent4 15 2" xfId="1718"/>
    <cellStyle name="40% - Accent4 15 3" xfId="1719"/>
    <cellStyle name="40% - Accent4 15 4" xfId="1720"/>
    <cellStyle name="40% - Accent4 15 5" xfId="1721"/>
    <cellStyle name="40% - Accent4 15 6" xfId="1722"/>
    <cellStyle name="40% - Accent4 15 7" xfId="1723"/>
    <cellStyle name="40% - Accent4 15 8" xfId="1724"/>
    <cellStyle name="40% - Accent4 15 9" xfId="1725"/>
    <cellStyle name="40% - Accent4 16" xfId="1726"/>
    <cellStyle name="40% - Accent4 16 10" xfId="1727"/>
    <cellStyle name="40% - Accent4 16 11" xfId="1728"/>
    <cellStyle name="40% - Accent4 16 12" xfId="1729"/>
    <cellStyle name="40% - Accent4 16 2" xfId="1730"/>
    <cellStyle name="40% - Accent4 16 3" xfId="1731"/>
    <cellStyle name="40% - Accent4 16 4" xfId="1732"/>
    <cellStyle name="40% - Accent4 16 5" xfId="1733"/>
    <cellStyle name="40% - Accent4 16 6" xfId="1734"/>
    <cellStyle name="40% - Accent4 16 7" xfId="1735"/>
    <cellStyle name="40% - Accent4 16 8" xfId="1736"/>
    <cellStyle name="40% - Accent4 16 9" xfId="1737"/>
    <cellStyle name="40% - Accent4 17" xfId="1738"/>
    <cellStyle name="40% - Accent4 17 10" xfId="1739"/>
    <cellStyle name="40% - Accent4 17 11" xfId="1740"/>
    <cellStyle name="40% - Accent4 17 12" xfId="1741"/>
    <cellStyle name="40% - Accent4 17 2" xfId="1742"/>
    <cellStyle name="40% - Accent4 17 3" xfId="1743"/>
    <cellStyle name="40% - Accent4 17 4" xfId="1744"/>
    <cellStyle name="40% - Accent4 17 5" xfId="1745"/>
    <cellStyle name="40% - Accent4 17 6" xfId="1746"/>
    <cellStyle name="40% - Accent4 17 7" xfId="1747"/>
    <cellStyle name="40% - Accent4 17 8" xfId="1748"/>
    <cellStyle name="40% - Accent4 17 9" xfId="1749"/>
    <cellStyle name="40% - Accent4 18" xfId="1750"/>
    <cellStyle name="40% - Accent4 18 10" xfId="1751"/>
    <cellStyle name="40% - Accent4 18 11" xfId="1752"/>
    <cellStyle name="40% - Accent4 18 12" xfId="1753"/>
    <cellStyle name="40% - Accent4 18 2" xfId="1754"/>
    <cellStyle name="40% - Accent4 18 3" xfId="1755"/>
    <cellStyle name="40% - Accent4 18 4" xfId="1756"/>
    <cellStyle name="40% - Accent4 18 5" xfId="1757"/>
    <cellStyle name="40% - Accent4 18 6" xfId="1758"/>
    <cellStyle name="40% - Accent4 18 7" xfId="1759"/>
    <cellStyle name="40% - Accent4 18 8" xfId="1760"/>
    <cellStyle name="40% - Accent4 18 9" xfId="1761"/>
    <cellStyle name="40% - Accent4 19" xfId="1762"/>
    <cellStyle name="40% - Accent4 19 10" xfId="1763"/>
    <cellStyle name="40% - Accent4 19 11" xfId="1764"/>
    <cellStyle name="40% - Accent4 19 12" xfId="1765"/>
    <cellStyle name="40% - Accent4 19 2" xfId="1766"/>
    <cellStyle name="40% - Accent4 19 3" xfId="1767"/>
    <cellStyle name="40% - Accent4 19 4" xfId="1768"/>
    <cellStyle name="40% - Accent4 19 5" xfId="1769"/>
    <cellStyle name="40% - Accent4 19 6" xfId="1770"/>
    <cellStyle name="40% - Accent4 19 7" xfId="1771"/>
    <cellStyle name="40% - Accent4 19 8" xfId="1772"/>
    <cellStyle name="40% - Accent4 19 9" xfId="1773"/>
    <cellStyle name="40% - Accent4 2" xfId="1774"/>
    <cellStyle name="40% - Accent4 2 10" xfId="1775"/>
    <cellStyle name="40% - Accent4 2 11" xfId="1776"/>
    <cellStyle name="40% - Accent4 2 2" xfId="1777"/>
    <cellStyle name="40% - Accent4 2 3" xfId="1778"/>
    <cellStyle name="40% - Accent4 2 4" xfId="1779"/>
    <cellStyle name="40% - Accent4 2 5" xfId="1780"/>
    <cellStyle name="40% - Accent4 2 5 10" xfId="1781"/>
    <cellStyle name="40% - Accent4 2 5 11" xfId="1782"/>
    <cellStyle name="40% - Accent4 2 5 12" xfId="1783"/>
    <cellStyle name="40% - Accent4 2 5 2" xfId="1784"/>
    <cellStyle name="40% - Accent4 2 5 3" xfId="1785"/>
    <cellStyle name="40% - Accent4 2 5 4" xfId="1786"/>
    <cellStyle name="40% - Accent4 2 5 5" xfId="1787"/>
    <cellStyle name="40% - Accent4 2 5 6" xfId="1788"/>
    <cellStyle name="40% - Accent4 2 5 7" xfId="1789"/>
    <cellStyle name="40% - Accent4 2 5 8" xfId="1790"/>
    <cellStyle name="40% - Accent4 2 5 9" xfId="1791"/>
    <cellStyle name="40% - Accent4 2 6" xfId="1792"/>
    <cellStyle name="40% - Accent4 2 6 10" xfId="1793"/>
    <cellStyle name="40% - Accent4 2 6 11" xfId="1794"/>
    <cellStyle name="40% - Accent4 2 6 12" xfId="1795"/>
    <cellStyle name="40% - Accent4 2 6 2" xfId="1796"/>
    <cellStyle name="40% - Accent4 2 6 3" xfId="1797"/>
    <cellStyle name="40% - Accent4 2 6 4" xfId="1798"/>
    <cellStyle name="40% - Accent4 2 6 5" xfId="1799"/>
    <cellStyle name="40% - Accent4 2 6 6" xfId="1800"/>
    <cellStyle name="40% - Accent4 2 6 7" xfId="1801"/>
    <cellStyle name="40% - Accent4 2 6 8" xfId="1802"/>
    <cellStyle name="40% - Accent4 2 6 9" xfId="1803"/>
    <cellStyle name="40% - Accent4 2 7" xfId="1804"/>
    <cellStyle name="40% - Accent4 2 8" xfId="1805"/>
    <cellStyle name="40% - Accent4 2 9" xfId="1806"/>
    <cellStyle name="40% - Accent4 2_MPP new" xfId="1807"/>
    <cellStyle name="40% - Accent4 20" xfId="1808"/>
    <cellStyle name="40% - Accent4 20 10" xfId="1809"/>
    <cellStyle name="40% - Accent4 20 11" xfId="1810"/>
    <cellStyle name="40% - Accent4 20 12" xfId="1811"/>
    <cellStyle name="40% - Accent4 20 2" xfId="1812"/>
    <cellStyle name="40% - Accent4 20 3" xfId="1813"/>
    <cellStyle name="40% - Accent4 20 4" xfId="1814"/>
    <cellStyle name="40% - Accent4 20 5" xfId="1815"/>
    <cellStyle name="40% - Accent4 20 6" xfId="1816"/>
    <cellStyle name="40% - Accent4 20 7" xfId="1817"/>
    <cellStyle name="40% - Accent4 20 8" xfId="1818"/>
    <cellStyle name="40% - Accent4 20 9" xfId="1819"/>
    <cellStyle name="40% - Accent4 21" xfId="1820"/>
    <cellStyle name="40% - Accent4 21 10" xfId="1821"/>
    <cellStyle name="40% - Accent4 21 11" xfId="1822"/>
    <cellStyle name="40% - Accent4 21 12" xfId="1823"/>
    <cellStyle name="40% - Accent4 21 2" xfId="1824"/>
    <cellStyle name="40% - Accent4 21 3" xfId="1825"/>
    <cellStyle name="40% - Accent4 21 4" xfId="1826"/>
    <cellStyle name="40% - Accent4 21 5" xfId="1827"/>
    <cellStyle name="40% - Accent4 21 6" xfId="1828"/>
    <cellStyle name="40% - Accent4 21 7" xfId="1829"/>
    <cellStyle name="40% - Accent4 21 8" xfId="1830"/>
    <cellStyle name="40% - Accent4 21 9" xfId="1831"/>
    <cellStyle name="40% - Accent4 3" xfId="1832"/>
    <cellStyle name="40% - Accent4 4" xfId="1833"/>
    <cellStyle name="40% - Accent4 5" xfId="1834"/>
    <cellStyle name="40% - Accent4 6" xfId="1835"/>
    <cellStyle name="40% - Accent4 7" xfId="1836"/>
    <cellStyle name="40% - Accent4 8" xfId="1837"/>
    <cellStyle name="40% - Accent4 9" xfId="1838"/>
    <cellStyle name="40% - Accent5 10" xfId="1839"/>
    <cellStyle name="40% - Accent5 10 10" xfId="1840"/>
    <cellStyle name="40% - Accent5 10 11" xfId="1841"/>
    <cellStyle name="40% - Accent5 10 12" xfId="1842"/>
    <cellStyle name="40% - Accent5 10 2" xfId="1843"/>
    <cellStyle name="40% - Accent5 10 3" xfId="1844"/>
    <cellStyle name="40% - Accent5 10 4" xfId="1845"/>
    <cellStyle name="40% - Accent5 10 5" xfId="1846"/>
    <cellStyle name="40% - Accent5 10 6" xfId="1847"/>
    <cellStyle name="40% - Accent5 10 7" xfId="1848"/>
    <cellStyle name="40% - Accent5 10 8" xfId="1849"/>
    <cellStyle name="40% - Accent5 10 9" xfId="1850"/>
    <cellStyle name="40% - Accent5 11" xfId="1851"/>
    <cellStyle name="40% - Accent5 12" xfId="1852"/>
    <cellStyle name="40% - Accent5 13" xfId="1853"/>
    <cellStyle name="40% - Accent5 14" xfId="1854"/>
    <cellStyle name="40% - Accent5 14 10" xfId="1855"/>
    <cellStyle name="40% - Accent5 14 11" xfId="1856"/>
    <cellStyle name="40% - Accent5 14 12" xfId="1857"/>
    <cellStyle name="40% - Accent5 14 2" xfId="1858"/>
    <cellStyle name="40% - Accent5 14 3" xfId="1859"/>
    <cellStyle name="40% - Accent5 14 4" xfId="1860"/>
    <cellStyle name="40% - Accent5 14 5" xfId="1861"/>
    <cellStyle name="40% - Accent5 14 6" xfId="1862"/>
    <cellStyle name="40% - Accent5 14 7" xfId="1863"/>
    <cellStyle name="40% - Accent5 14 8" xfId="1864"/>
    <cellStyle name="40% - Accent5 14 9" xfId="1865"/>
    <cellStyle name="40% - Accent5 15" xfId="1866"/>
    <cellStyle name="40% - Accent5 15 10" xfId="1867"/>
    <cellStyle name="40% - Accent5 15 11" xfId="1868"/>
    <cellStyle name="40% - Accent5 15 12" xfId="1869"/>
    <cellStyle name="40% - Accent5 15 2" xfId="1870"/>
    <cellStyle name="40% - Accent5 15 3" xfId="1871"/>
    <cellStyle name="40% - Accent5 15 4" xfId="1872"/>
    <cellStyle name="40% - Accent5 15 5" xfId="1873"/>
    <cellStyle name="40% - Accent5 15 6" xfId="1874"/>
    <cellStyle name="40% - Accent5 15 7" xfId="1875"/>
    <cellStyle name="40% - Accent5 15 8" xfId="1876"/>
    <cellStyle name="40% - Accent5 15 9" xfId="1877"/>
    <cellStyle name="40% - Accent5 16" xfId="1878"/>
    <cellStyle name="40% - Accent5 16 10" xfId="1879"/>
    <cellStyle name="40% - Accent5 16 11" xfId="1880"/>
    <cellStyle name="40% - Accent5 16 12" xfId="1881"/>
    <cellStyle name="40% - Accent5 16 2" xfId="1882"/>
    <cellStyle name="40% - Accent5 16 3" xfId="1883"/>
    <cellStyle name="40% - Accent5 16 4" xfId="1884"/>
    <cellStyle name="40% - Accent5 16 5" xfId="1885"/>
    <cellStyle name="40% - Accent5 16 6" xfId="1886"/>
    <cellStyle name="40% - Accent5 16 7" xfId="1887"/>
    <cellStyle name="40% - Accent5 16 8" xfId="1888"/>
    <cellStyle name="40% - Accent5 16 9" xfId="1889"/>
    <cellStyle name="40% - Accent5 17" xfId="1890"/>
    <cellStyle name="40% - Accent5 17 10" xfId="1891"/>
    <cellStyle name="40% - Accent5 17 11" xfId="1892"/>
    <cellStyle name="40% - Accent5 17 12" xfId="1893"/>
    <cellStyle name="40% - Accent5 17 2" xfId="1894"/>
    <cellStyle name="40% - Accent5 17 3" xfId="1895"/>
    <cellStyle name="40% - Accent5 17 4" xfId="1896"/>
    <cellStyle name="40% - Accent5 17 5" xfId="1897"/>
    <cellStyle name="40% - Accent5 17 6" xfId="1898"/>
    <cellStyle name="40% - Accent5 17 7" xfId="1899"/>
    <cellStyle name="40% - Accent5 17 8" xfId="1900"/>
    <cellStyle name="40% - Accent5 17 9" xfId="1901"/>
    <cellStyle name="40% - Accent5 18" xfId="1902"/>
    <cellStyle name="40% - Accent5 18 10" xfId="1903"/>
    <cellStyle name="40% - Accent5 18 11" xfId="1904"/>
    <cellStyle name="40% - Accent5 18 12" xfId="1905"/>
    <cellStyle name="40% - Accent5 18 2" xfId="1906"/>
    <cellStyle name="40% - Accent5 18 3" xfId="1907"/>
    <cellStyle name="40% - Accent5 18 4" xfId="1908"/>
    <cellStyle name="40% - Accent5 18 5" xfId="1909"/>
    <cellStyle name="40% - Accent5 18 6" xfId="1910"/>
    <cellStyle name="40% - Accent5 18 7" xfId="1911"/>
    <cellStyle name="40% - Accent5 18 8" xfId="1912"/>
    <cellStyle name="40% - Accent5 18 9" xfId="1913"/>
    <cellStyle name="40% - Accent5 19" xfId="1914"/>
    <cellStyle name="40% - Accent5 19 10" xfId="1915"/>
    <cellStyle name="40% - Accent5 19 11" xfId="1916"/>
    <cellStyle name="40% - Accent5 19 12" xfId="1917"/>
    <cellStyle name="40% - Accent5 19 2" xfId="1918"/>
    <cellStyle name="40% - Accent5 19 3" xfId="1919"/>
    <cellStyle name="40% - Accent5 19 4" xfId="1920"/>
    <cellStyle name="40% - Accent5 19 5" xfId="1921"/>
    <cellStyle name="40% - Accent5 19 6" xfId="1922"/>
    <cellStyle name="40% - Accent5 19 7" xfId="1923"/>
    <cellStyle name="40% - Accent5 19 8" xfId="1924"/>
    <cellStyle name="40% - Accent5 19 9" xfId="1925"/>
    <cellStyle name="40% - Accent5 2" xfId="1926"/>
    <cellStyle name="40% - Accent5 2 10" xfId="1927"/>
    <cellStyle name="40% - Accent5 2 11" xfId="1928"/>
    <cellStyle name="40% - Accent5 2 2" xfId="1929"/>
    <cellStyle name="40% - Accent5 2 3" xfId="1930"/>
    <cellStyle name="40% - Accent5 2 4" xfId="1931"/>
    <cellStyle name="40% - Accent5 2 5" xfId="1932"/>
    <cellStyle name="40% - Accent5 2 5 10" xfId="1933"/>
    <cellStyle name="40% - Accent5 2 5 11" xfId="1934"/>
    <cellStyle name="40% - Accent5 2 5 12" xfId="1935"/>
    <cellStyle name="40% - Accent5 2 5 2" xfId="1936"/>
    <cellStyle name="40% - Accent5 2 5 3" xfId="1937"/>
    <cellStyle name="40% - Accent5 2 5 4" xfId="1938"/>
    <cellStyle name="40% - Accent5 2 5 5" xfId="1939"/>
    <cellStyle name="40% - Accent5 2 5 6" xfId="1940"/>
    <cellStyle name="40% - Accent5 2 5 7" xfId="1941"/>
    <cellStyle name="40% - Accent5 2 5 8" xfId="1942"/>
    <cellStyle name="40% - Accent5 2 5 9" xfId="1943"/>
    <cellStyle name="40% - Accent5 2 6" xfId="1944"/>
    <cellStyle name="40% - Accent5 2 7" xfId="1945"/>
    <cellStyle name="40% - Accent5 2 8" xfId="1946"/>
    <cellStyle name="40% - Accent5 2 9" xfId="1947"/>
    <cellStyle name="40% - Accent5 2_MPP new" xfId="1948"/>
    <cellStyle name="40% - Accent5 20" xfId="1949"/>
    <cellStyle name="40% - Accent5 20 10" xfId="1950"/>
    <cellStyle name="40% - Accent5 20 11" xfId="1951"/>
    <cellStyle name="40% - Accent5 20 12" xfId="1952"/>
    <cellStyle name="40% - Accent5 20 2" xfId="1953"/>
    <cellStyle name="40% - Accent5 20 3" xfId="1954"/>
    <cellStyle name="40% - Accent5 20 4" xfId="1955"/>
    <cellStyle name="40% - Accent5 20 5" xfId="1956"/>
    <cellStyle name="40% - Accent5 20 6" xfId="1957"/>
    <cellStyle name="40% - Accent5 20 7" xfId="1958"/>
    <cellStyle name="40% - Accent5 20 8" xfId="1959"/>
    <cellStyle name="40% - Accent5 20 9" xfId="1960"/>
    <cellStyle name="40% - Accent5 21" xfId="1961"/>
    <cellStyle name="40% - Accent5 21 10" xfId="1962"/>
    <cellStyle name="40% - Accent5 21 11" xfId="1963"/>
    <cellStyle name="40% - Accent5 21 12" xfId="1964"/>
    <cellStyle name="40% - Accent5 21 2" xfId="1965"/>
    <cellStyle name="40% - Accent5 21 3" xfId="1966"/>
    <cellStyle name="40% - Accent5 21 4" xfId="1967"/>
    <cellStyle name="40% - Accent5 21 5" xfId="1968"/>
    <cellStyle name="40% - Accent5 21 6" xfId="1969"/>
    <cellStyle name="40% - Accent5 21 7" xfId="1970"/>
    <cellStyle name="40% - Accent5 21 8" xfId="1971"/>
    <cellStyle name="40% - Accent5 21 9" xfId="1972"/>
    <cellStyle name="40% - Accent5 3" xfId="1973"/>
    <cellStyle name="40% - Accent5 4" xfId="1974"/>
    <cellStyle name="40% - Accent5 5" xfId="1975"/>
    <cellStyle name="40% - Accent5 6" xfId="1976"/>
    <cellStyle name="40% - Accent5 7" xfId="1977"/>
    <cellStyle name="40% - Accent5 8" xfId="1978"/>
    <cellStyle name="40% - Accent5 9" xfId="1979"/>
    <cellStyle name="40% - Accent6 10" xfId="1980"/>
    <cellStyle name="40% - Accent6 10 10" xfId="1981"/>
    <cellStyle name="40% - Accent6 10 11" xfId="1982"/>
    <cellStyle name="40% - Accent6 10 12" xfId="1983"/>
    <cellStyle name="40% - Accent6 10 2" xfId="1984"/>
    <cellStyle name="40% - Accent6 10 3" xfId="1985"/>
    <cellStyle name="40% - Accent6 10 4" xfId="1986"/>
    <cellStyle name="40% - Accent6 10 5" xfId="1987"/>
    <cellStyle name="40% - Accent6 10 6" xfId="1988"/>
    <cellStyle name="40% - Accent6 10 7" xfId="1989"/>
    <cellStyle name="40% - Accent6 10 8" xfId="1990"/>
    <cellStyle name="40% - Accent6 10 9" xfId="1991"/>
    <cellStyle name="40% - Accent6 11" xfId="1992"/>
    <cellStyle name="40% - Accent6 12" xfId="1993"/>
    <cellStyle name="40% - Accent6 13" xfId="1994"/>
    <cellStyle name="40% - Accent6 14" xfId="1995"/>
    <cellStyle name="40% - Accent6 14 10" xfId="1996"/>
    <cellStyle name="40% - Accent6 14 11" xfId="1997"/>
    <cellStyle name="40% - Accent6 14 12" xfId="1998"/>
    <cellStyle name="40% - Accent6 14 2" xfId="1999"/>
    <cellStyle name="40% - Accent6 14 3" xfId="2000"/>
    <cellStyle name="40% - Accent6 14 4" xfId="2001"/>
    <cellStyle name="40% - Accent6 14 5" xfId="2002"/>
    <cellStyle name="40% - Accent6 14 6" xfId="2003"/>
    <cellStyle name="40% - Accent6 14 7" xfId="2004"/>
    <cellStyle name="40% - Accent6 14 8" xfId="2005"/>
    <cellStyle name="40% - Accent6 14 9" xfId="2006"/>
    <cellStyle name="40% - Accent6 15" xfId="2007"/>
    <cellStyle name="40% - Accent6 15 10" xfId="2008"/>
    <cellStyle name="40% - Accent6 15 11" xfId="2009"/>
    <cellStyle name="40% - Accent6 15 12" xfId="2010"/>
    <cellStyle name="40% - Accent6 15 2" xfId="2011"/>
    <cellStyle name="40% - Accent6 15 3" xfId="2012"/>
    <cellStyle name="40% - Accent6 15 4" xfId="2013"/>
    <cellStyle name="40% - Accent6 15 5" xfId="2014"/>
    <cellStyle name="40% - Accent6 15 6" xfId="2015"/>
    <cellStyle name="40% - Accent6 15 7" xfId="2016"/>
    <cellStyle name="40% - Accent6 15 8" xfId="2017"/>
    <cellStyle name="40% - Accent6 15 9" xfId="2018"/>
    <cellStyle name="40% - Accent6 16" xfId="2019"/>
    <cellStyle name="40% - Accent6 16 10" xfId="2020"/>
    <cellStyle name="40% - Accent6 16 11" xfId="2021"/>
    <cellStyle name="40% - Accent6 16 12" xfId="2022"/>
    <cellStyle name="40% - Accent6 16 2" xfId="2023"/>
    <cellStyle name="40% - Accent6 16 3" xfId="2024"/>
    <cellStyle name="40% - Accent6 16 4" xfId="2025"/>
    <cellStyle name="40% - Accent6 16 5" xfId="2026"/>
    <cellStyle name="40% - Accent6 16 6" xfId="2027"/>
    <cellStyle name="40% - Accent6 16 7" xfId="2028"/>
    <cellStyle name="40% - Accent6 16 8" xfId="2029"/>
    <cellStyle name="40% - Accent6 16 9" xfId="2030"/>
    <cellStyle name="40% - Accent6 17" xfId="2031"/>
    <cellStyle name="40% - Accent6 17 10" xfId="2032"/>
    <cellStyle name="40% - Accent6 17 11" xfId="2033"/>
    <cellStyle name="40% - Accent6 17 12" xfId="2034"/>
    <cellStyle name="40% - Accent6 17 2" xfId="2035"/>
    <cellStyle name="40% - Accent6 17 3" xfId="2036"/>
    <cellStyle name="40% - Accent6 17 4" xfId="2037"/>
    <cellStyle name="40% - Accent6 17 5" xfId="2038"/>
    <cellStyle name="40% - Accent6 17 6" xfId="2039"/>
    <cellStyle name="40% - Accent6 17 7" xfId="2040"/>
    <cellStyle name="40% - Accent6 17 8" xfId="2041"/>
    <cellStyle name="40% - Accent6 17 9" xfId="2042"/>
    <cellStyle name="40% - Accent6 18" xfId="2043"/>
    <cellStyle name="40% - Accent6 18 10" xfId="2044"/>
    <cellStyle name="40% - Accent6 18 11" xfId="2045"/>
    <cellStyle name="40% - Accent6 18 12" xfId="2046"/>
    <cellStyle name="40% - Accent6 18 2" xfId="2047"/>
    <cellStyle name="40% - Accent6 18 3" xfId="2048"/>
    <cellStyle name="40% - Accent6 18 4" xfId="2049"/>
    <cellStyle name="40% - Accent6 18 5" xfId="2050"/>
    <cellStyle name="40% - Accent6 18 6" xfId="2051"/>
    <cellStyle name="40% - Accent6 18 7" xfId="2052"/>
    <cellStyle name="40% - Accent6 18 8" xfId="2053"/>
    <cellStyle name="40% - Accent6 18 9" xfId="2054"/>
    <cellStyle name="40% - Accent6 19" xfId="2055"/>
    <cellStyle name="40% - Accent6 19 10" xfId="2056"/>
    <cellStyle name="40% - Accent6 19 11" xfId="2057"/>
    <cellStyle name="40% - Accent6 19 12" xfId="2058"/>
    <cellStyle name="40% - Accent6 19 2" xfId="2059"/>
    <cellStyle name="40% - Accent6 19 3" xfId="2060"/>
    <cellStyle name="40% - Accent6 19 4" xfId="2061"/>
    <cellStyle name="40% - Accent6 19 5" xfId="2062"/>
    <cellStyle name="40% - Accent6 19 6" xfId="2063"/>
    <cellStyle name="40% - Accent6 19 7" xfId="2064"/>
    <cellStyle name="40% - Accent6 19 8" xfId="2065"/>
    <cellStyle name="40% - Accent6 19 9" xfId="2066"/>
    <cellStyle name="40% - Accent6 2" xfId="2067"/>
    <cellStyle name="40% - Accent6 2 10" xfId="2068"/>
    <cellStyle name="40% - Accent6 2 11" xfId="2069"/>
    <cellStyle name="40% - Accent6 2 2" xfId="2070"/>
    <cellStyle name="40% - Accent6 2 3" xfId="2071"/>
    <cellStyle name="40% - Accent6 2 4" xfId="2072"/>
    <cellStyle name="40% - Accent6 2 5" xfId="2073"/>
    <cellStyle name="40% - Accent6 2 5 10" xfId="2074"/>
    <cellStyle name="40% - Accent6 2 5 11" xfId="2075"/>
    <cellStyle name="40% - Accent6 2 5 12" xfId="2076"/>
    <cellStyle name="40% - Accent6 2 5 2" xfId="2077"/>
    <cellStyle name="40% - Accent6 2 5 3" xfId="2078"/>
    <cellStyle name="40% - Accent6 2 5 4" xfId="2079"/>
    <cellStyle name="40% - Accent6 2 5 5" xfId="2080"/>
    <cellStyle name="40% - Accent6 2 5 6" xfId="2081"/>
    <cellStyle name="40% - Accent6 2 5 7" xfId="2082"/>
    <cellStyle name="40% - Accent6 2 5 8" xfId="2083"/>
    <cellStyle name="40% - Accent6 2 5 9" xfId="2084"/>
    <cellStyle name="40% - Accent6 2 6" xfId="2085"/>
    <cellStyle name="40% - Accent6 2 6 10" xfId="2086"/>
    <cellStyle name="40% - Accent6 2 6 11" xfId="2087"/>
    <cellStyle name="40% - Accent6 2 6 12" xfId="2088"/>
    <cellStyle name="40% - Accent6 2 6 2" xfId="2089"/>
    <cellStyle name="40% - Accent6 2 6 3" xfId="2090"/>
    <cellStyle name="40% - Accent6 2 6 4" xfId="2091"/>
    <cellStyle name="40% - Accent6 2 6 5" xfId="2092"/>
    <cellStyle name="40% - Accent6 2 6 6" xfId="2093"/>
    <cellStyle name="40% - Accent6 2 6 7" xfId="2094"/>
    <cellStyle name="40% - Accent6 2 6 8" xfId="2095"/>
    <cellStyle name="40% - Accent6 2 6 9" xfId="2096"/>
    <cellStyle name="40% - Accent6 2 7" xfId="2097"/>
    <cellStyle name="40% - Accent6 2 8" xfId="2098"/>
    <cellStyle name="40% - Accent6 2 9" xfId="2099"/>
    <cellStyle name="40% - Accent6 2_MPP new" xfId="2100"/>
    <cellStyle name="40% - Accent6 20" xfId="2101"/>
    <cellStyle name="40% - Accent6 20 10" xfId="2102"/>
    <cellStyle name="40% - Accent6 20 11" xfId="2103"/>
    <cellStyle name="40% - Accent6 20 12" xfId="2104"/>
    <cellStyle name="40% - Accent6 20 2" xfId="2105"/>
    <cellStyle name="40% - Accent6 20 3" xfId="2106"/>
    <cellStyle name="40% - Accent6 20 4" xfId="2107"/>
    <cellStyle name="40% - Accent6 20 5" xfId="2108"/>
    <cellStyle name="40% - Accent6 20 6" xfId="2109"/>
    <cellStyle name="40% - Accent6 20 7" xfId="2110"/>
    <cellStyle name="40% - Accent6 20 8" xfId="2111"/>
    <cellStyle name="40% - Accent6 20 9" xfId="2112"/>
    <cellStyle name="40% - Accent6 21" xfId="2113"/>
    <cellStyle name="40% - Accent6 21 10" xfId="2114"/>
    <cellStyle name="40% - Accent6 21 11" xfId="2115"/>
    <cellStyle name="40% - Accent6 21 12" xfId="2116"/>
    <cellStyle name="40% - Accent6 21 2" xfId="2117"/>
    <cellStyle name="40% - Accent6 21 3" xfId="2118"/>
    <cellStyle name="40% - Accent6 21 4" xfId="2119"/>
    <cellStyle name="40% - Accent6 21 5" xfId="2120"/>
    <cellStyle name="40% - Accent6 21 6" xfId="2121"/>
    <cellStyle name="40% - Accent6 21 7" xfId="2122"/>
    <cellStyle name="40% - Accent6 21 8" xfId="2123"/>
    <cellStyle name="40% - Accent6 21 9" xfId="2124"/>
    <cellStyle name="40% - Accent6 3" xfId="2125"/>
    <cellStyle name="40% - Accent6 4" xfId="2126"/>
    <cellStyle name="40% - Accent6 5" xfId="2127"/>
    <cellStyle name="40% - Accent6 6" xfId="2128"/>
    <cellStyle name="40% - Accent6 7" xfId="2129"/>
    <cellStyle name="40% - Accent6 8" xfId="2130"/>
    <cellStyle name="40% - Accent6 9" xfId="2131"/>
    <cellStyle name="60% - Accent1 10" xfId="2132"/>
    <cellStyle name="60% - Accent1 11" xfId="2133"/>
    <cellStyle name="60% - Accent1 12" xfId="2134"/>
    <cellStyle name="60% - Accent1 13" xfId="2135"/>
    <cellStyle name="60% - Accent1 14" xfId="2136"/>
    <cellStyle name="60% - Accent1 15" xfId="2137"/>
    <cellStyle name="60% - Accent1 16" xfId="2138"/>
    <cellStyle name="60% - Accent1 17" xfId="2139"/>
    <cellStyle name="60% - Accent1 18" xfId="2140"/>
    <cellStyle name="60% - Accent1 19" xfId="2141"/>
    <cellStyle name="60% - Accent1 2" xfId="2142"/>
    <cellStyle name="60% - Accent1 2 10" xfId="2143"/>
    <cellStyle name="60% - Accent1 2 11" xfId="2144"/>
    <cellStyle name="60% - Accent1 2 2" xfId="2145"/>
    <cellStyle name="60% - Accent1 2 3" xfId="2146"/>
    <cellStyle name="60% - Accent1 2 4" xfId="2147"/>
    <cellStyle name="60% - Accent1 2 5" xfId="2148"/>
    <cellStyle name="60% - Accent1 2 6" xfId="2149"/>
    <cellStyle name="60% - Accent1 2 7" xfId="2150"/>
    <cellStyle name="60% - Accent1 2 8" xfId="2151"/>
    <cellStyle name="60% - Accent1 2 9" xfId="2152"/>
    <cellStyle name="60% - Accent1 2_MPP new" xfId="2153"/>
    <cellStyle name="60% - Accent1 20" xfId="2154"/>
    <cellStyle name="60% - Accent1 21" xfId="2155"/>
    <cellStyle name="60% - Accent1 3" xfId="2156"/>
    <cellStyle name="60% - Accent1 4" xfId="2157"/>
    <cellStyle name="60% - Accent1 5" xfId="2158"/>
    <cellStyle name="60% - Accent1 6" xfId="2159"/>
    <cellStyle name="60% - Accent1 7" xfId="2160"/>
    <cellStyle name="60% - Accent1 8" xfId="2161"/>
    <cellStyle name="60% - Accent1 9" xfId="2162"/>
    <cellStyle name="60% - Accent2 10" xfId="2163"/>
    <cellStyle name="60% - Accent2 11" xfId="2164"/>
    <cellStyle name="60% - Accent2 12" xfId="2165"/>
    <cellStyle name="60% - Accent2 13" xfId="2166"/>
    <cellStyle name="60% - Accent2 14" xfId="2167"/>
    <cellStyle name="60% - Accent2 15" xfId="2168"/>
    <cellStyle name="60% - Accent2 16" xfId="2169"/>
    <cellStyle name="60% - Accent2 17" xfId="2170"/>
    <cellStyle name="60% - Accent2 18" xfId="2171"/>
    <cellStyle name="60% - Accent2 19" xfId="2172"/>
    <cellStyle name="60% - Accent2 2" xfId="2173"/>
    <cellStyle name="60% - Accent2 2 2" xfId="2174"/>
    <cellStyle name="60% - Accent2 2 3" xfId="2175"/>
    <cellStyle name="60% - Accent2 2 4" xfId="2176"/>
    <cellStyle name="60% - Accent2 2 5" xfId="2177"/>
    <cellStyle name="60% - Accent2 2_MPP new" xfId="2178"/>
    <cellStyle name="60% - Accent2 20" xfId="2179"/>
    <cellStyle name="60% - Accent2 21" xfId="2180"/>
    <cellStyle name="60% - Accent2 3" xfId="2181"/>
    <cellStyle name="60% - Accent2 4" xfId="2182"/>
    <cellStyle name="60% - Accent2 5" xfId="2183"/>
    <cellStyle name="60% - Accent2 6" xfId="2184"/>
    <cellStyle name="60% - Accent2 7" xfId="2185"/>
    <cellStyle name="60% - Accent2 8" xfId="2186"/>
    <cellStyle name="60% - Accent2 9" xfId="2187"/>
    <cellStyle name="60% - Accent3 10" xfId="2188"/>
    <cellStyle name="60% - Accent3 11" xfId="2189"/>
    <cellStyle name="60% - Accent3 12" xfId="2190"/>
    <cellStyle name="60% - Accent3 13" xfId="2191"/>
    <cellStyle name="60% - Accent3 14" xfId="2192"/>
    <cellStyle name="60% - Accent3 15" xfId="2193"/>
    <cellStyle name="60% - Accent3 16" xfId="2194"/>
    <cellStyle name="60% - Accent3 17" xfId="2195"/>
    <cellStyle name="60% - Accent3 18" xfId="2196"/>
    <cellStyle name="60% - Accent3 19" xfId="2197"/>
    <cellStyle name="60% - Accent3 2" xfId="2198"/>
    <cellStyle name="60% - Accent3 2 2" xfId="2199"/>
    <cellStyle name="60% - Accent3 2 3" xfId="2200"/>
    <cellStyle name="60% - Accent3 2 4" xfId="2201"/>
    <cellStyle name="60% - Accent3 2 5" xfId="2202"/>
    <cellStyle name="60% - Accent3 2_MPP new" xfId="2203"/>
    <cellStyle name="60% - Accent3 20" xfId="2204"/>
    <cellStyle name="60% - Accent3 21" xfId="2205"/>
    <cellStyle name="60% - Accent3 3" xfId="2206"/>
    <cellStyle name="60% - Accent3 4" xfId="2207"/>
    <cellStyle name="60% - Accent3 5" xfId="2208"/>
    <cellStyle name="60% - Accent3 6" xfId="2209"/>
    <cellStyle name="60% - Accent3 7" xfId="2210"/>
    <cellStyle name="60% - Accent3 8" xfId="2211"/>
    <cellStyle name="60% - Accent3 9" xfId="2212"/>
    <cellStyle name="60% - Accent4 10" xfId="2213"/>
    <cellStyle name="60% - Accent4 11" xfId="2214"/>
    <cellStyle name="60% - Accent4 12" xfId="2215"/>
    <cellStyle name="60% - Accent4 13" xfId="2216"/>
    <cellStyle name="60% - Accent4 14" xfId="2217"/>
    <cellStyle name="60% - Accent4 15" xfId="2218"/>
    <cellStyle name="60% - Accent4 16" xfId="2219"/>
    <cellStyle name="60% - Accent4 17" xfId="2220"/>
    <cellStyle name="60% - Accent4 18" xfId="2221"/>
    <cellStyle name="60% - Accent4 19" xfId="2222"/>
    <cellStyle name="60% - Accent4 2" xfId="2223"/>
    <cellStyle name="60% - Accent4 2 10" xfId="2224"/>
    <cellStyle name="60% - Accent4 2 11" xfId="2225"/>
    <cellStyle name="60% - Accent4 2 2" xfId="2226"/>
    <cellStyle name="60% - Accent4 2 3" xfId="2227"/>
    <cellStyle name="60% - Accent4 2 4" xfId="2228"/>
    <cellStyle name="60% - Accent4 2 5" xfId="2229"/>
    <cellStyle name="60% - Accent4 2 6" xfId="2230"/>
    <cellStyle name="60% - Accent4 2 7" xfId="2231"/>
    <cellStyle name="60% - Accent4 2 8" xfId="2232"/>
    <cellStyle name="60% - Accent4 2 9" xfId="2233"/>
    <cellStyle name="60% - Accent4 2_MPP new" xfId="2234"/>
    <cellStyle name="60% - Accent4 20" xfId="2235"/>
    <cellStyle name="60% - Accent4 21" xfId="2236"/>
    <cellStyle name="60% - Accent4 3" xfId="2237"/>
    <cellStyle name="60% - Accent4 4" xfId="2238"/>
    <cellStyle name="60% - Accent4 5" xfId="2239"/>
    <cellStyle name="60% - Accent4 6" xfId="2240"/>
    <cellStyle name="60% - Accent4 7" xfId="2241"/>
    <cellStyle name="60% - Accent4 8" xfId="2242"/>
    <cellStyle name="60% - Accent4 9" xfId="2243"/>
    <cellStyle name="60% - Accent5 10" xfId="2244"/>
    <cellStyle name="60% - Accent5 11" xfId="2245"/>
    <cellStyle name="60% - Accent5 12" xfId="2246"/>
    <cellStyle name="60% - Accent5 13" xfId="2247"/>
    <cellStyle name="60% - Accent5 14" xfId="2248"/>
    <cellStyle name="60% - Accent5 15" xfId="2249"/>
    <cellStyle name="60% - Accent5 16" xfId="2250"/>
    <cellStyle name="60% - Accent5 17" xfId="2251"/>
    <cellStyle name="60% - Accent5 18" xfId="2252"/>
    <cellStyle name="60% - Accent5 19" xfId="2253"/>
    <cellStyle name="60% - Accent5 2" xfId="2254"/>
    <cellStyle name="60% - Accent5 2 2" xfId="2255"/>
    <cellStyle name="60% - Accent5 2 3" xfId="2256"/>
    <cellStyle name="60% - Accent5 2 4" xfId="2257"/>
    <cellStyle name="60% - Accent5 2 5" xfId="2258"/>
    <cellStyle name="60% - Accent5 2_MPP new" xfId="2259"/>
    <cellStyle name="60% - Accent5 20" xfId="2260"/>
    <cellStyle name="60% - Accent5 21" xfId="2261"/>
    <cellStyle name="60% - Accent5 3" xfId="2262"/>
    <cellStyle name="60% - Accent5 4" xfId="2263"/>
    <cellStyle name="60% - Accent5 5" xfId="2264"/>
    <cellStyle name="60% - Accent5 6" xfId="2265"/>
    <cellStyle name="60% - Accent5 7" xfId="2266"/>
    <cellStyle name="60% - Accent5 8" xfId="2267"/>
    <cellStyle name="60% - Accent5 9" xfId="2268"/>
    <cellStyle name="60% - Accent6 10" xfId="2269"/>
    <cellStyle name="60% - Accent6 11" xfId="2270"/>
    <cellStyle name="60% - Accent6 12" xfId="2271"/>
    <cellStyle name="60% - Accent6 13" xfId="2272"/>
    <cellStyle name="60% - Accent6 14" xfId="2273"/>
    <cellStyle name="60% - Accent6 15" xfId="2274"/>
    <cellStyle name="60% - Accent6 16" xfId="2275"/>
    <cellStyle name="60% - Accent6 17" xfId="2276"/>
    <cellStyle name="60% - Accent6 18" xfId="2277"/>
    <cellStyle name="60% - Accent6 19" xfId="2278"/>
    <cellStyle name="60% - Accent6 2" xfId="2279"/>
    <cellStyle name="60% - Accent6 2 10" xfId="2280"/>
    <cellStyle name="60% - Accent6 2 11" xfId="2281"/>
    <cellStyle name="60% - Accent6 2 2" xfId="2282"/>
    <cellStyle name="60% - Accent6 2 3" xfId="2283"/>
    <cellStyle name="60% - Accent6 2 4" xfId="2284"/>
    <cellStyle name="60% - Accent6 2 5" xfId="2285"/>
    <cellStyle name="60% - Accent6 2 6" xfId="2286"/>
    <cellStyle name="60% - Accent6 2 7" xfId="2287"/>
    <cellStyle name="60% - Accent6 2 8" xfId="2288"/>
    <cellStyle name="60% - Accent6 2 9" xfId="2289"/>
    <cellStyle name="60% - Accent6 2_MPP new" xfId="2290"/>
    <cellStyle name="60% - Accent6 20" xfId="2291"/>
    <cellStyle name="60% - Accent6 21" xfId="2292"/>
    <cellStyle name="60% - Accent6 3" xfId="2293"/>
    <cellStyle name="60% - Accent6 4" xfId="2294"/>
    <cellStyle name="60% - Accent6 5" xfId="2295"/>
    <cellStyle name="60% - Accent6 6" xfId="2296"/>
    <cellStyle name="60% - Accent6 7" xfId="2297"/>
    <cellStyle name="60% - Accent6 8" xfId="2298"/>
    <cellStyle name="60% - Accent6 9" xfId="2299"/>
    <cellStyle name="Accent1 10" xfId="2300"/>
    <cellStyle name="Accent1 11" xfId="2301"/>
    <cellStyle name="Accent1 12" xfId="2302"/>
    <cellStyle name="Accent1 13" xfId="2303"/>
    <cellStyle name="Accent1 14" xfId="2304"/>
    <cellStyle name="Accent1 15" xfId="2305"/>
    <cellStyle name="Accent1 16" xfId="2306"/>
    <cellStyle name="Accent1 17" xfId="2307"/>
    <cellStyle name="Accent1 18" xfId="2308"/>
    <cellStyle name="Accent1 19" xfId="2309"/>
    <cellStyle name="Accent1 2" xfId="2310"/>
    <cellStyle name="Accent1 2 10" xfId="2311"/>
    <cellStyle name="Accent1 2 11" xfId="2312"/>
    <cellStyle name="Accent1 2 2" xfId="2313"/>
    <cellStyle name="Accent1 2 3" xfId="2314"/>
    <cellStyle name="Accent1 2 4" xfId="2315"/>
    <cellStyle name="Accent1 2 5" xfId="2316"/>
    <cellStyle name="Accent1 2 6" xfId="2317"/>
    <cellStyle name="Accent1 2 7" xfId="2318"/>
    <cellStyle name="Accent1 2 8" xfId="2319"/>
    <cellStyle name="Accent1 2 9" xfId="2320"/>
    <cellStyle name="Accent1 2_MPP new" xfId="2321"/>
    <cellStyle name="Accent1 20" xfId="2322"/>
    <cellStyle name="Accent1 21" xfId="2323"/>
    <cellStyle name="Accent1 3" xfId="2324"/>
    <cellStyle name="Accent1 4" xfId="2325"/>
    <cellStyle name="Accent1 5" xfId="2326"/>
    <cellStyle name="Accent1 6" xfId="2327"/>
    <cellStyle name="Accent1 7" xfId="2328"/>
    <cellStyle name="Accent1 8" xfId="2329"/>
    <cellStyle name="Accent1 9" xfId="2330"/>
    <cellStyle name="Accent2 10" xfId="2331"/>
    <cellStyle name="Accent2 11" xfId="2332"/>
    <cellStyle name="Accent2 12" xfId="2333"/>
    <cellStyle name="Accent2 13" xfId="2334"/>
    <cellStyle name="Accent2 14" xfId="2335"/>
    <cellStyle name="Accent2 15" xfId="2336"/>
    <cellStyle name="Accent2 16" xfId="2337"/>
    <cellStyle name="Accent2 17" xfId="2338"/>
    <cellStyle name="Accent2 18" xfId="2339"/>
    <cellStyle name="Accent2 19" xfId="2340"/>
    <cellStyle name="Accent2 2" xfId="2341"/>
    <cellStyle name="Accent2 2 2" xfId="2342"/>
    <cellStyle name="Accent2 2 3" xfId="2343"/>
    <cellStyle name="Accent2 2 4" xfId="2344"/>
    <cellStyle name="Accent2 2 5" xfId="2345"/>
    <cellStyle name="Accent2 2_MPP new" xfId="2346"/>
    <cellStyle name="Accent2 20" xfId="2347"/>
    <cellStyle name="Accent2 21" xfId="2348"/>
    <cellStyle name="Accent2 3" xfId="2349"/>
    <cellStyle name="Accent2 4" xfId="2350"/>
    <cellStyle name="Accent2 5" xfId="2351"/>
    <cellStyle name="Accent2 6" xfId="2352"/>
    <cellStyle name="Accent2 7" xfId="2353"/>
    <cellStyle name="Accent2 8" xfId="2354"/>
    <cellStyle name="Accent2 9" xfId="2355"/>
    <cellStyle name="Accent3 10" xfId="2356"/>
    <cellStyle name="Accent3 11" xfId="2357"/>
    <cellStyle name="Accent3 12" xfId="2358"/>
    <cellStyle name="Accent3 13" xfId="2359"/>
    <cellStyle name="Accent3 14" xfId="2360"/>
    <cellStyle name="Accent3 15" xfId="2361"/>
    <cellStyle name="Accent3 16" xfId="2362"/>
    <cellStyle name="Accent3 17" xfId="2363"/>
    <cellStyle name="Accent3 18" xfId="2364"/>
    <cellStyle name="Accent3 19" xfId="2365"/>
    <cellStyle name="Accent3 2" xfId="2366"/>
    <cellStyle name="Accent3 2 10" xfId="2367"/>
    <cellStyle name="Accent3 2 11" xfId="2368"/>
    <cellStyle name="Accent3 2 2" xfId="2369"/>
    <cellStyle name="Accent3 2 3" xfId="2370"/>
    <cellStyle name="Accent3 2 4" xfId="2371"/>
    <cellStyle name="Accent3 2 5" xfId="2372"/>
    <cellStyle name="Accent3 2 6" xfId="2373"/>
    <cellStyle name="Accent3 2 7" xfId="2374"/>
    <cellStyle name="Accent3 2 8" xfId="2375"/>
    <cellStyle name="Accent3 2 9" xfId="2376"/>
    <cellStyle name="Accent3 2_MPP new" xfId="2377"/>
    <cellStyle name="Accent3 20" xfId="2378"/>
    <cellStyle name="Accent3 21" xfId="2379"/>
    <cellStyle name="Accent3 3" xfId="2380"/>
    <cellStyle name="Accent3 4" xfId="2381"/>
    <cellStyle name="Accent3 5" xfId="2382"/>
    <cellStyle name="Accent3 6" xfId="2383"/>
    <cellStyle name="Accent3 7" xfId="2384"/>
    <cellStyle name="Accent3 8" xfId="2385"/>
    <cellStyle name="Accent3 9" xfId="2386"/>
    <cellStyle name="Accent4 10" xfId="2387"/>
    <cellStyle name="Accent4 11" xfId="2388"/>
    <cellStyle name="Accent4 12" xfId="2389"/>
    <cellStyle name="Accent4 13" xfId="2390"/>
    <cellStyle name="Accent4 14" xfId="2391"/>
    <cellStyle name="Accent4 15" xfId="2392"/>
    <cellStyle name="Accent4 16" xfId="2393"/>
    <cellStyle name="Accent4 17" xfId="2394"/>
    <cellStyle name="Accent4 18" xfId="2395"/>
    <cellStyle name="Accent4 19" xfId="2396"/>
    <cellStyle name="Accent4 2" xfId="2397"/>
    <cellStyle name="Accent4 2 10" xfId="2398"/>
    <cellStyle name="Accent4 2 11" xfId="2399"/>
    <cellStyle name="Accent4 2 2" xfId="2400"/>
    <cellStyle name="Accent4 2 3" xfId="2401"/>
    <cellStyle name="Accent4 2 4" xfId="2402"/>
    <cellStyle name="Accent4 2 5" xfId="2403"/>
    <cellStyle name="Accent4 2 6" xfId="2404"/>
    <cellStyle name="Accent4 2 7" xfId="2405"/>
    <cellStyle name="Accent4 2 8" xfId="2406"/>
    <cellStyle name="Accent4 2 9" xfId="2407"/>
    <cellStyle name="Accent4 2_MPP new" xfId="2408"/>
    <cellStyle name="Accent4 20" xfId="2409"/>
    <cellStyle name="Accent4 21" xfId="2410"/>
    <cellStyle name="Accent4 3" xfId="2411"/>
    <cellStyle name="Accent4 4" xfId="2412"/>
    <cellStyle name="Accent4 5" xfId="2413"/>
    <cellStyle name="Accent4 6" xfId="2414"/>
    <cellStyle name="Accent4 7" xfId="2415"/>
    <cellStyle name="Accent4 8" xfId="2416"/>
    <cellStyle name="Accent4 9" xfId="2417"/>
    <cellStyle name="Accent5 10" xfId="2418"/>
    <cellStyle name="Accent5 11" xfId="2419"/>
    <cellStyle name="Accent5 12" xfId="2420"/>
    <cellStyle name="Accent5 13" xfId="2421"/>
    <cellStyle name="Accent5 14" xfId="2422"/>
    <cellStyle name="Accent5 15" xfId="2423"/>
    <cellStyle name="Accent5 16" xfId="2424"/>
    <cellStyle name="Accent5 17" xfId="2425"/>
    <cellStyle name="Accent5 18" xfId="2426"/>
    <cellStyle name="Accent5 19" xfId="2427"/>
    <cellStyle name="Accent5 2" xfId="2428"/>
    <cellStyle name="Accent5 2 2" xfId="2429"/>
    <cellStyle name="Accent5 2 3" xfId="2430"/>
    <cellStyle name="Accent5 2 4" xfId="2431"/>
    <cellStyle name="Accent5 2 5" xfId="2432"/>
    <cellStyle name="Accent5 2_MPP new" xfId="2433"/>
    <cellStyle name="Accent5 20" xfId="2434"/>
    <cellStyle name="Accent5 21" xfId="2435"/>
    <cellStyle name="Accent5 3" xfId="2436"/>
    <cellStyle name="Accent5 4" xfId="2437"/>
    <cellStyle name="Accent5 5" xfId="2438"/>
    <cellStyle name="Accent5 6" xfId="2439"/>
    <cellStyle name="Accent5 7" xfId="2440"/>
    <cellStyle name="Accent5 8" xfId="2441"/>
    <cellStyle name="Accent5 9" xfId="2442"/>
    <cellStyle name="Accent6 10" xfId="2443"/>
    <cellStyle name="Accent6 11" xfId="2444"/>
    <cellStyle name="Accent6 12" xfId="2445"/>
    <cellStyle name="Accent6 13" xfId="2446"/>
    <cellStyle name="Accent6 14" xfId="2447"/>
    <cellStyle name="Accent6 15" xfId="2448"/>
    <cellStyle name="Accent6 16" xfId="2449"/>
    <cellStyle name="Accent6 17" xfId="2450"/>
    <cellStyle name="Accent6 18" xfId="2451"/>
    <cellStyle name="Accent6 19" xfId="2452"/>
    <cellStyle name="Accent6 2" xfId="2453"/>
    <cellStyle name="Accent6 2 10" xfId="2454"/>
    <cellStyle name="Accent6 2 11" xfId="2455"/>
    <cellStyle name="Accent6 2 2" xfId="2456"/>
    <cellStyle name="Accent6 2 3" xfId="2457"/>
    <cellStyle name="Accent6 2 4" xfId="2458"/>
    <cellStyle name="Accent6 2 5" xfId="2459"/>
    <cellStyle name="Accent6 2 6" xfId="2460"/>
    <cellStyle name="Accent6 2 7" xfId="2461"/>
    <cellStyle name="Accent6 2 8" xfId="2462"/>
    <cellStyle name="Accent6 2 9" xfId="2463"/>
    <cellStyle name="Accent6 2_MPP new" xfId="2464"/>
    <cellStyle name="Accent6 20" xfId="2465"/>
    <cellStyle name="Accent6 21" xfId="2466"/>
    <cellStyle name="Accent6 3" xfId="2467"/>
    <cellStyle name="Accent6 4" xfId="2468"/>
    <cellStyle name="Accent6 5" xfId="2469"/>
    <cellStyle name="Accent6 6" xfId="2470"/>
    <cellStyle name="Accent6 7" xfId="2471"/>
    <cellStyle name="Accent6 8" xfId="2472"/>
    <cellStyle name="Accent6 9" xfId="2473"/>
    <cellStyle name="Bad 10" xfId="2474"/>
    <cellStyle name="Bad 11" xfId="2475"/>
    <cellStyle name="Bad 12" xfId="2476"/>
    <cellStyle name="Bad 13" xfId="2477"/>
    <cellStyle name="Bad 14" xfId="2478"/>
    <cellStyle name="Bad 15" xfId="2479"/>
    <cellStyle name="Bad 16" xfId="2480"/>
    <cellStyle name="Bad 17" xfId="2481"/>
    <cellStyle name="Bad 18" xfId="2482"/>
    <cellStyle name="Bad 19" xfId="2483"/>
    <cellStyle name="Bad 2" xfId="2484"/>
    <cellStyle name="Bad 2 2" xfId="2485"/>
    <cellStyle name="Bad 2 3" xfId="2486"/>
    <cellStyle name="Bad 2 4" xfId="2487"/>
    <cellStyle name="Bad 2 5" xfId="2488"/>
    <cellStyle name="Bad 2_MPP new" xfId="2489"/>
    <cellStyle name="Bad 20" xfId="2490"/>
    <cellStyle name="Bad 21" xfId="2491"/>
    <cellStyle name="Bad 3" xfId="2492"/>
    <cellStyle name="Bad 4" xfId="2493"/>
    <cellStyle name="Bad 5" xfId="2494"/>
    <cellStyle name="Bad 6" xfId="2495"/>
    <cellStyle name="Bad 7" xfId="2496"/>
    <cellStyle name="Bad 8" xfId="2497"/>
    <cellStyle name="Bad 9" xfId="2498"/>
    <cellStyle name="Calc Currency (0)" xfId="2499"/>
    <cellStyle name="Calc Currency (2)" xfId="2500"/>
    <cellStyle name="Calc Currency (2) 2" xfId="2501"/>
    <cellStyle name="Calc Percent (0)" xfId="2502"/>
    <cellStyle name="Calc Percent (0) 2" xfId="2503"/>
    <cellStyle name="Calc Percent (1)" xfId="2504"/>
    <cellStyle name="Calc Percent (1) 2" xfId="2505"/>
    <cellStyle name="Calc Percent (2)" xfId="2506"/>
    <cellStyle name="Calc Percent (2) 2" xfId="2507"/>
    <cellStyle name="Calc Units (0)" xfId="2508"/>
    <cellStyle name="Calc Units (0) 2" xfId="2509"/>
    <cellStyle name="Calc Units (1)" xfId="2510"/>
    <cellStyle name="Calc Units (1) 2" xfId="2511"/>
    <cellStyle name="Calc Units (2)" xfId="2512"/>
    <cellStyle name="Calc Units (2) 2" xfId="2513"/>
    <cellStyle name="Calculation 10" xfId="2514"/>
    <cellStyle name="Calculation 11" xfId="2515"/>
    <cellStyle name="Calculation 12" xfId="2516"/>
    <cellStyle name="Calculation 13" xfId="2517"/>
    <cellStyle name="Calculation 14" xfId="2518"/>
    <cellStyle name="Calculation 15" xfId="2519"/>
    <cellStyle name="Calculation 16" xfId="2520"/>
    <cellStyle name="Calculation 17" xfId="2521"/>
    <cellStyle name="Calculation 18" xfId="2522"/>
    <cellStyle name="Calculation 19" xfId="2523"/>
    <cellStyle name="Calculation 2" xfId="2524"/>
    <cellStyle name="Calculation 2 10" xfId="2525"/>
    <cellStyle name="Calculation 2 11" xfId="2526"/>
    <cellStyle name="Calculation 2 2" xfId="2527"/>
    <cellStyle name="Calculation 2 3" xfId="2528"/>
    <cellStyle name="Calculation 2 4" xfId="2529"/>
    <cellStyle name="Calculation 2 5" xfId="2530"/>
    <cellStyle name="Calculation 2 6" xfId="2531"/>
    <cellStyle name="Calculation 2 7" xfId="2532"/>
    <cellStyle name="Calculation 2 8" xfId="2533"/>
    <cellStyle name="Calculation 2 9" xfId="2534"/>
    <cellStyle name="Calculation 2_MPP new" xfId="2535"/>
    <cellStyle name="Calculation 20" xfId="2536"/>
    <cellStyle name="Calculation 21" xfId="2537"/>
    <cellStyle name="Calculation 3" xfId="2538"/>
    <cellStyle name="Calculation 3 2" xfId="2539"/>
    <cellStyle name="Calculation 4" xfId="2540"/>
    <cellStyle name="Calculation 4 2" xfId="2541"/>
    <cellStyle name="Calculation 5" xfId="2542"/>
    <cellStyle name="Calculation 5 2" xfId="2543"/>
    <cellStyle name="Calculation 6" xfId="2544"/>
    <cellStyle name="Calculation 6 2" xfId="2545"/>
    <cellStyle name="Calculation 7" xfId="2546"/>
    <cellStyle name="Calculation 8" xfId="2547"/>
    <cellStyle name="Calculation 9" xfId="2548"/>
    <cellStyle name="Check Cell 10" xfId="2549"/>
    <cellStyle name="Check Cell 11" xfId="2550"/>
    <cellStyle name="Check Cell 12" xfId="2551"/>
    <cellStyle name="Check Cell 13" xfId="2552"/>
    <cellStyle name="Check Cell 14" xfId="2553"/>
    <cellStyle name="Check Cell 15" xfId="2554"/>
    <cellStyle name="Check Cell 16" xfId="2555"/>
    <cellStyle name="Check Cell 17" xfId="2556"/>
    <cellStyle name="Check Cell 18" xfId="2557"/>
    <cellStyle name="Check Cell 19" xfId="2558"/>
    <cellStyle name="Check Cell 2" xfId="2559"/>
    <cellStyle name="Check Cell 2 2" xfId="2560"/>
    <cellStyle name="Check Cell 2 3" xfId="2561"/>
    <cellStyle name="Check Cell 2 4" xfId="2562"/>
    <cellStyle name="Check Cell 2 5" xfId="2563"/>
    <cellStyle name="Check Cell 2_MPP new" xfId="2564"/>
    <cellStyle name="Check Cell 20" xfId="2565"/>
    <cellStyle name="Check Cell 21" xfId="2566"/>
    <cellStyle name="Check Cell 3" xfId="2567"/>
    <cellStyle name="Check Cell 4" xfId="2568"/>
    <cellStyle name="Check Cell 5" xfId="2569"/>
    <cellStyle name="Check Cell 6" xfId="2570"/>
    <cellStyle name="Check Cell 7" xfId="2571"/>
    <cellStyle name="Check Cell 8" xfId="2572"/>
    <cellStyle name="Check Cell 9" xfId="2573"/>
    <cellStyle name="Comma [0] 11" xfId="2574"/>
    <cellStyle name="Comma [0] 11 2" xfId="7977"/>
    <cellStyle name="Comma [0] 2" xfId="2575"/>
    <cellStyle name="Comma [0] 2 10" xfId="2576"/>
    <cellStyle name="Comma [0] 2 10 2" xfId="7979"/>
    <cellStyle name="Comma [0] 2 11" xfId="2577"/>
    <cellStyle name="Comma [0] 2 11 2" xfId="7980"/>
    <cellStyle name="Comma [0] 2 12" xfId="2578"/>
    <cellStyle name="Comma [0] 2 12 2" xfId="7981"/>
    <cellStyle name="Comma [0] 2 13" xfId="2579"/>
    <cellStyle name="Comma [0] 2 13 2" xfId="7982"/>
    <cellStyle name="Comma [0] 2 14" xfId="2580"/>
    <cellStyle name="Comma [0] 2 14 2" xfId="7983"/>
    <cellStyle name="Comma [0] 2 15" xfId="2581"/>
    <cellStyle name="Comma [0] 2 15 2" xfId="7984"/>
    <cellStyle name="Comma [0] 2 16" xfId="2582"/>
    <cellStyle name="Comma [0] 2 16 2" xfId="7985"/>
    <cellStyle name="Comma [0] 2 17" xfId="2583"/>
    <cellStyle name="Comma [0] 2 17 2" xfId="7986"/>
    <cellStyle name="Comma [0] 2 18" xfId="2584"/>
    <cellStyle name="Comma [0] 2 18 2" xfId="7987"/>
    <cellStyle name="Comma [0] 2 19" xfId="2585"/>
    <cellStyle name="Comma [0] 2 19 2" xfId="7988"/>
    <cellStyle name="Comma [0] 2 2" xfId="2586"/>
    <cellStyle name="Comma [0] 2 2 10" xfId="2587"/>
    <cellStyle name="Comma [0] 2 2 10 2" xfId="7990"/>
    <cellStyle name="Comma [0] 2 2 11" xfId="2588"/>
    <cellStyle name="Comma [0] 2 2 11 2" xfId="7991"/>
    <cellStyle name="Comma [0] 2 2 12" xfId="2589"/>
    <cellStyle name="Comma [0] 2 2 12 2" xfId="7992"/>
    <cellStyle name="Comma [0] 2 2 13" xfId="2590"/>
    <cellStyle name="Comma [0] 2 2 13 2" xfId="7993"/>
    <cellStyle name="Comma [0] 2 2 14" xfId="2591"/>
    <cellStyle name="Comma [0] 2 2 14 2" xfId="7994"/>
    <cellStyle name="Comma [0] 2 2 15" xfId="7989"/>
    <cellStyle name="Comma [0] 2 2 2" xfId="2592"/>
    <cellStyle name="Comma [0] 2 2 2 2" xfId="7995"/>
    <cellStyle name="Comma [0] 2 2 3" xfId="2593"/>
    <cellStyle name="Comma [0] 2 2 3 2" xfId="7996"/>
    <cellStyle name="Comma [0] 2 2 4" xfId="2594"/>
    <cellStyle name="Comma [0] 2 2 4 2" xfId="7997"/>
    <cellStyle name="Comma [0] 2 2 5" xfId="2595"/>
    <cellStyle name="Comma [0] 2 2 5 2" xfId="7998"/>
    <cellStyle name="Comma [0] 2 2 6" xfId="2596"/>
    <cellStyle name="Comma [0] 2 2 6 2" xfId="7999"/>
    <cellStyle name="Comma [0] 2 2 7" xfId="2597"/>
    <cellStyle name="Comma [0] 2 2 7 2" xfId="8000"/>
    <cellStyle name="Comma [0] 2 2 8" xfId="2598"/>
    <cellStyle name="Comma [0] 2 2 8 2" xfId="8001"/>
    <cellStyle name="Comma [0] 2 2 9" xfId="2599"/>
    <cellStyle name="Comma [0] 2 2 9 2" xfId="8002"/>
    <cellStyle name="Comma [0] 2 20" xfId="2600"/>
    <cellStyle name="Comma [0] 2 20 2" xfId="8003"/>
    <cellStyle name="Comma [0] 2 21" xfId="2601"/>
    <cellStyle name="Comma [0] 2 21 2" xfId="8004"/>
    <cellStyle name="Comma [0] 2 22" xfId="7978"/>
    <cellStyle name="Comma [0] 2 3" xfId="2602"/>
    <cellStyle name="Comma [0] 2 3 2" xfId="8005"/>
    <cellStyle name="Comma [0] 2 4" xfId="2603"/>
    <cellStyle name="Comma [0] 2 4 2" xfId="8006"/>
    <cellStyle name="Comma [0] 2 5" xfId="2604"/>
    <cellStyle name="Comma [0] 2 5 2" xfId="8007"/>
    <cellStyle name="Comma [0] 2 6" xfId="2605"/>
    <cellStyle name="Comma [0] 2 6 2" xfId="8008"/>
    <cellStyle name="Comma [0] 2 7" xfId="2606"/>
    <cellStyle name="Comma [0] 2 7 2" xfId="8009"/>
    <cellStyle name="Comma [0] 2 8" xfId="2607"/>
    <cellStyle name="Comma [0] 2 8 2" xfId="8010"/>
    <cellStyle name="Comma [0] 2 9" xfId="2608"/>
    <cellStyle name="Comma [0] 2 9 2" xfId="8011"/>
    <cellStyle name="Comma [0] 3" xfId="2609"/>
    <cellStyle name="Comma [0] 3 10" xfId="2610"/>
    <cellStyle name="Comma [0] 3 10 10" xfId="2611"/>
    <cellStyle name="Comma [0] 3 10 10 2" xfId="8014"/>
    <cellStyle name="Comma [0] 3 10 11" xfId="2612"/>
    <cellStyle name="Comma [0] 3 10 11 2" xfId="8015"/>
    <cellStyle name="Comma [0] 3 10 12" xfId="2613"/>
    <cellStyle name="Comma [0] 3 10 12 2" xfId="8016"/>
    <cellStyle name="Comma [0] 3 10 13" xfId="2614"/>
    <cellStyle name="Comma [0] 3 10 13 2" xfId="8017"/>
    <cellStyle name="Comma [0] 3 10 14" xfId="2615"/>
    <cellStyle name="Comma [0] 3 10 14 2" xfId="8018"/>
    <cellStyle name="Comma [0] 3 10 15" xfId="2616"/>
    <cellStyle name="Comma [0] 3 10 15 2" xfId="8019"/>
    <cellStyle name="Comma [0] 3 10 16" xfId="2617"/>
    <cellStyle name="Comma [0] 3 10 16 2" xfId="8020"/>
    <cellStyle name="Comma [0] 3 10 17" xfId="8013"/>
    <cellStyle name="Comma [0] 3 10 2" xfId="2618"/>
    <cellStyle name="Comma [0] 3 10 2 2" xfId="8021"/>
    <cellStyle name="Comma [0] 3 10 3" xfId="2619"/>
    <cellStyle name="Comma [0] 3 10 3 2" xfId="8022"/>
    <cellStyle name="Comma [0] 3 10 4" xfId="2620"/>
    <cellStyle name="Comma [0] 3 10 4 2" xfId="8023"/>
    <cellStyle name="Comma [0] 3 10 5" xfId="2621"/>
    <cellStyle name="Comma [0] 3 10 5 2" xfId="8024"/>
    <cellStyle name="Comma [0] 3 10 6" xfId="2622"/>
    <cellStyle name="Comma [0] 3 10 6 2" xfId="8025"/>
    <cellStyle name="Comma [0] 3 10 7" xfId="2623"/>
    <cellStyle name="Comma [0] 3 10 7 2" xfId="8026"/>
    <cellStyle name="Comma [0] 3 10 8" xfId="2624"/>
    <cellStyle name="Comma [0] 3 10 8 2" xfId="8027"/>
    <cellStyle name="Comma [0] 3 10 9" xfId="2625"/>
    <cellStyle name="Comma [0] 3 10 9 2" xfId="8028"/>
    <cellStyle name="Comma [0] 3 2" xfId="2626"/>
    <cellStyle name="Comma [0] 3 2 2" xfId="8029"/>
    <cellStyle name="Comma [0] 3 3" xfId="8012"/>
    <cellStyle name="Comma [0] 4" xfId="2627"/>
    <cellStyle name="Comma [0] 4 2" xfId="2628"/>
    <cellStyle name="Comma [0] 4 2 2" xfId="2629"/>
    <cellStyle name="Comma [0] 4 2 2 2" xfId="2630"/>
    <cellStyle name="Comma [0] 4 2 2 2 2" xfId="8033"/>
    <cellStyle name="Comma [0] 4 2 2 3" xfId="8032"/>
    <cellStyle name="Comma [0] 4 2 3" xfId="8031"/>
    <cellStyle name="Comma [0] 4 3" xfId="8030"/>
    <cellStyle name="Comma [0] 5" xfId="2631"/>
    <cellStyle name="Comma [0] 5 2" xfId="8034"/>
    <cellStyle name="Comma [00]" xfId="2632"/>
    <cellStyle name="Comma [00] 2" xfId="2633"/>
    <cellStyle name="Comma 10" xfId="2634"/>
    <cellStyle name="Comma 10 2" xfId="2635"/>
    <cellStyle name="Comma 10 2 2" xfId="2636"/>
    <cellStyle name="Comma 10 2 3" xfId="2637"/>
    <cellStyle name="Comma 10 3" xfId="2638"/>
    <cellStyle name="Comma 10 3 2" xfId="8035"/>
    <cellStyle name="Comma 10 4" xfId="2639"/>
    <cellStyle name="Comma 10 4 2" xfId="8036"/>
    <cellStyle name="Comma 10 5" xfId="2640"/>
    <cellStyle name="Comma 10 6" xfId="2641"/>
    <cellStyle name="Comma 10 7" xfId="2642"/>
    <cellStyle name="Comma 10 8" xfId="2643"/>
    <cellStyle name="Comma 10 8 2" xfId="2644"/>
    <cellStyle name="Comma 10 8 2 10" xfId="2645"/>
    <cellStyle name="Comma 10 8 2 10 2" xfId="8039"/>
    <cellStyle name="Comma 10 8 2 11" xfId="2646"/>
    <cellStyle name="Comma 10 8 2 11 2" xfId="8040"/>
    <cellStyle name="Comma 10 8 2 12" xfId="2647"/>
    <cellStyle name="Comma 10 8 2 12 2" xfId="8041"/>
    <cellStyle name="Comma 10 8 2 13" xfId="8038"/>
    <cellStyle name="Comma 10 8 2 2" xfId="2648"/>
    <cellStyle name="Comma 10 8 2 2 2" xfId="8042"/>
    <cellStyle name="Comma 10 8 2 3" xfId="2649"/>
    <cellStyle name="Comma 10 8 2 3 2" xfId="8043"/>
    <cellStyle name="Comma 10 8 2 4" xfId="2650"/>
    <cellStyle name="Comma 10 8 2 4 2" xfId="8044"/>
    <cellStyle name="Comma 10 8 2 5" xfId="2651"/>
    <cellStyle name="Comma 10 8 2 5 2" xfId="8045"/>
    <cellStyle name="Comma 10 8 2 6" xfId="2652"/>
    <cellStyle name="Comma 10 8 2 6 2" xfId="8046"/>
    <cellStyle name="Comma 10 8 2 7" xfId="2653"/>
    <cellStyle name="Comma 10 8 2 7 2" xfId="8047"/>
    <cellStyle name="Comma 10 8 2 8" xfId="2654"/>
    <cellStyle name="Comma 10 8 2 8 2" xfId="8048"/>
    <cellStyle name="Comma 10 8 2 9" xfId="2655"/>
    <cellStyle name="Comma 10 8 2 9 2" xfId="8049"/>
    <cellStyle name="Comma 10 8 3" xfId="8037"/>
    <cellStyle name="Comma 11" xfId="2656"/>
    <cellStyle name="Comma 11 2" xfId="2657"/>
    <cellStyle name="Comma 11 2 2" xfId="8051"/>
    <cellStyle name="Comma 11 3" xfId="8050"/>
    <cellStyle name="Comma 12" xfId="2658"/>
    <cellStyle name="Comma 12 2" xfId="8052"/>
    <cellStyle name="Comma 13" xfId="2659"/>
    <cellStyle name="Comma 13 2" xfId="8053"/>
    <cellStyle name="Comma 14" xfId="2660"/>
    <cellStyle name="Comma 14 2" xfId="2661"/>
    <cellStyle name="Comma 14 2 2" xfId="8055"/>
    <cellStyle name="Comma 14 3" xfId="2662"/>
    <cellStyle name="Comma 14 3 10" xfId="2663"/>
    <cellStyle name="Comma 14 3 10 2" xfId="8057"/>
    <cellStyle name="Comma 14 3 11" xfId="2664"/>
    <cellStyle name="Comma 14 3 11 2" xfId="8058"/>
    <cellStyle name="Comma 14 3 12" xfId="2665"/>
    <cellStyle name="Comma 14 3 12 2" xfId="8059"/>
    <cellStyle name="Comma 14 3 13" xfId="8056"/>
    <cellStyle name="Comma 14 3 2" xfId="2666"/>
    <cellStyle name="Comma 14 3 2 2" xfId="8060"/>
    <cellStyle name="Comma 14 3 3" xfId="2667"/>
    <cellStyle name="Comma 14 3 3 2" xfId="8061"/>
    <cellStyle name="Comma 14 3 4" xfId="2668"/>
    <cellStyle name="Comma 14 3 4 2" xfId="8062"/>
    <cellStyle name="Comma 14 3 5" xfId="2669"/>
    <cellStyle name="Comma 14 3 5 2" xfId="8063"/>
    <cellStyle name="Comma 14 3 6" xfId="2670"/>
    <cellStyle name="Comma 14 3 6 2" xfId="8064"/>
    <cellStyle name="Comma 14 3 7" xfId="2671"/>
    <cellStyle name="Comma 14 3 7 2" xfId="8065"/>
    <cellStyle name="Comma 14 3 8" xfId="2672"/>
    <cellStyle name="Comma 14 3 8 2" xfId="8066"/>
    <cellStyle name="Comma 14 3 9" xfId="2673"/>
    <cellStyle name="Comma 14 3 9 2" xfId="8067"/>
    <cellStyle name="Comma 14 4" xfId="8054"/>
    <cellStyle name="Comma 141" xfId="2674"/>
    <cellStyle name="Comma 141 10" xfId="2675"/>
    <cellStyle name="Comma 141 10 2" xfId="8069"/>
    <cellStyle name="Comma 141 11" xfId="2676"/>
    <cellStyle name="Comma 141 11 2" xfId="8070"/>
    <cellStyle name="Comma 141 12" xfId="2677"/>
    <cellStyle name="Comma 141 12 2" xfId="8071"/>
    <cellStyle name="Comma 141 13" xfId="2678"/>
    <cellStyle name="Comma 141 13 2" xfId="8072"/>
    <cellStyle name="Comma 141 14" xfId="8068"/>
    <cellStyle name="Comma 141 2" xfId="2679"/>
    <cellStyle name="Comma 141 2 10" xfId="2680"/>
    <cellStyle name="Comma 141 2 10 2" xfId="8074"/>
    <cellStyle name="Comma 141 2 11" xfId="2681"/>
    <cellStyle name="Comma 141 2 11 2" xfId="8075"/>
    <cellStyle name="Comma 141 2 12" xfId="2682"/>
    <cellStyle name="Comma 141 2 12 2" xfId="8076"/>
    <cellStyle name="Comma 141 2 13" xfId="8073"/>
    <cellStyle name="Comma 141 2 2" xfId="2683"/>
    <cellStyle name="Comma 141 2 2 2" xfId="8077"/>
    <cellStyle name="Comma 141 2 3" xfId="2684"/>
    <cellStyle name="Comma 141 2 3 2" xfId="8078"/>
    <cellStyle name="Comma 141 2 4" xfId="2685"/>
    <cellStyle name="Comma 141 2 4 2" xfId="8079"/>
    <cellStyle name="Comma 141 2 5" xfId="2686"/>
    <cellStyle name="Comma 141 2 5 2" xfId="8080"/>
    <cellStyle name="Comma 141 2 6" xfId="2687"/>
    <cellStyle name="Comma 141 2 6 2" xfId="8081"/>
    <cellStyle name="Comma 141 2 7" xfId="2688"/>
    <cellStyle name="Comma 141 2 7 2" xfId="8082"/>
    <cellStyle name="Comma 141 2 8" xfId="2689"/>
    <cellStyle name="Comma 141 2 8 2" xfId="8083"/>
    <cellStyle name="Comma 141 2 9" xfId="2690"/>
    <cellStyle name="Comma 141 2 9 2" xfId="8084"/>
    <cellStyle name="Comma 141 3" xfId="2691"/>
    <cellStyle name="Comma 141 3 2" xfId="8085"/>
    <cellStyle name="Comma 141 4" xfId="2692"/>
    <cellStyle name="Comma 141 4 2" xfId="8086"/>
    <cellStyle name="Comma 141 5" xfId="2693"/>
    <cellStyle name="Comma 141 5 2" xfId="8087"/>
    <cellStyle name="Comma 141 6" xfId="2694"/>
    <cellStyle name="Comma 141 6 2" xfId="8088"/>
    <cellStyle name="Comma 141 7" xfId="2695"/>
    <cellStyle name="Comma 141 7 2" xfId="8089"/>
    <cellStyle name="Comma 141 8" xfId="2696"/>
    <cellStyle name="Comma 141 8 2" xfId="8090"/>
    <cellStyle name="Comma 141 9" xfId="2697"/>
    <cellStyle name="Comma 141 9 2" xfId="8091"/>
    <cellStyle name="Comma 15" xfId="2698"/>
    <cellStyle name="Comma 15 2" xfId="2699"/>
    <cellStyle name="Comma 15 2 2" xfId="8093"/>
    <cellStyle name="Comma 15 3" xfId="8092"/>
    <cellStyle name="Comma 2" xfId="2700"/>
    <cellStyle name="Comma 2 10" xfId="2701"/>
    <cellStyle name="Comma 2 10 2" xfId="8095"/>
    <cellStyle name="Comma 2 11" xfId="2702"/>
    <cellStyle name="Comma 2 11 10" xfId="2703"/>
    <cellStyle name="Comma 2 11 10 2" xfId="8097"/>
    <cellStyle name="Comma 2 11 11" xfId="2704"/>
    <cellStyle name="Comma 2 11 11 2" xfId="8098"/>
    <cellStyle name="Comma 2 11 12" xfId="2705"/>
    <cellStyle name="Comma 2 11 12 2" xfId="8099"/>
    <cellStyle name="Comma 2 11 13" xfId="2706"/>
    <cellStyle name="Comma 2 11 13 2" xfId="8100"/>
    <cellStyle name="Comma 2 11 14" xfId="8096"/>
    <cellStyle name="Comma 2 11 2" xfId="2707"/>
    <cellStyle name="Comma 2 11 2 10" xfId="2708"/>
    <cellStyle name="Comma 2 11 2 10 2" xfId="8102"/>
    <cellStyle name="Comma 2 11 2 11" xfId="2709"/>
    <cellStyle name="Comma 2 11 2 11 2" xfId="8103"/>
    <cellStyle name="Comma 2 11 2 12" xfId="2710"/>
    <cellStyle name="Comma 2 11 2 12 2" xfId="8104"/>
    <cellStyle name="Comma 2 11 2 13" xfId="8101"/>
    <cellStyle name="Comma 2 11 2 2" xfId="2711"/>
    <cellStyle name="Comma 2 11 2 2 2" xfId="8105"/>
    <cellStyle name="Comma 2 11 2 3" xfId="2712"/>
    <cellStyle name="Comma 2 11 2 3 2" xfId="8106"/>
    <cellStyle name="Comma 2 11 2 4" xfId="2713"/>
    <cellStyle name="Comma 2 11 2 4 2" xfId="8107"/>
    <cellStyle name="Comma 2 11 2 5" xfId="2714"/>
    <cellStyle name="Comma 2 11 2 5 2" xfId="8108"/>
    <cellStyle name="Comma 2 11 2 6" xfId="2715"/>
    <cellStyle name="Comma 2 11 2 6 2" xfId="8109"/>
    <cellStyle name="Comma 2 11 2 7" xfId="2716"/>
    <cellStyle name="Comma 2 11 2 7 2" xfId="8110"/>
    <cellStyle name="Comma 2 11 2 8" xfId="2717"/>
    <cellStyle name="Comma 2 11 2 8 2" xfId="8111"/>
    <cellStyle name="Comma 2 11 2 9" xfId="2718"/>
    <cellStyle name="Comma 2 11 2 9 2" xfId="8112"/>
    <cellStyle name="Comma 2 11 3" xfId="2719"/>
    <cellStyle name="Comma 2 11 3 2" xfId="8113"/>
    <cellStyle name="Comma 2 11 4" xfId="2720"/>
    <cellStyle name="Comma 2 11 4 2" xfId="8114"/>
    <cellStyle name="Comma 2 11 5" xfId="2721"/>
    <cellStyle name="Comma 2 11 5 2" xfId="8115"/>
    <cellStyle name="Comma 2 11 6" xfId="2722"/>
    <cellStyle name="Comma 2 11 6 2" xfId="8116"/>
    <cellStyle name="Comma 2 11 7" xfId="2723"/>
    <cellStyle name="Comma 2 11 7 2" xfId="8117"/>
    <cellStyle name="Comma 2 11 8" xfId="2724"/>
    <cellStyle name="Comma 2 11 8 2" xfId="8118"/>
    <cellStyle name="Comma 2 11 9" xfId="2725"/>
    <cellStyle name="Comma 2 11 9 2" xfId="8119"/>
    <cellStyle name="Comma 2 12" xfId="2726"/>
    <cellStyle name="Comma 2 12 2" xfId="8120"/>
    <cellStyle name="Comma 2 13" xfId="2727"/>
    <cellStyle name="Comma 2 13 2" xfId="8121"/>
    <cellStyle name="Comma 2 14" xfId="2728"/>
    <cellStyle name="Comma 2 14 2" xfId="8122"/>
    <cellStyle name="Comma 2 15" xfId="2729"/>
    <cellStyle name="Comma 2 15 2" xfId="8123"/>
    <cellStyle name="Comma 2 16" xfId="2730"/>
    <cellStyle name="Comma 2 16 2" xfId="8124"/>
    <cellStyle name="Comma 2 17" xfId="2731"/>
    <cellStyle name="Comma 2 17 2" xfId="8125"/>
    <cellStyle name="Comma 2 18" xfId="2732"/>
    <cellStyle name="Comma 2 18 2" xfId="8126"/>
    <cellStyle name="Comma 2 19" xfId="2733"/>
    <cellStyle name="Comma 2 19 2" xfId="8127"/>
    <cellStyle name="Comma 2 2" xfId="2734"/>
    <cellStyle name="Comma 2 2 10" xfId="2735"/>
    <cellStyle name="Comma 2 2 10 10" xfId="2736"/>
    <cellStyle name="Comma 2 2 10 10 2" xfId="8130"/>
    <cellStyle name="Comma 2 2 10 11" xfId="2737"/>
    <cellStyle name="Comma 2 2 10 11 2" xfId="8131"/>
    <cellStyle name="Comma 2 2 10 12" xfId="2738"/>
    <cellStyle name="Comma 2 2 10 12 2" xfId="8132"/>
    <cellStyle name="Comma 2 2 10 13" xfId="2739"/>
    <cellStyle name="Comma 2 2 10 13 2" xfId="8133"/>
    <cellStyle name="Comma 2 2 10 14" xfId="8129"/>
    <cellStyle name="Comma 2 2 10 2" xfId="2740"/>
    <cellStyle name="Comma 2 2 10 2 10" xfId="2741"/>
    <cellStyle name="Comma 2 2 10 2 10 2" xfId="8135"/>
    <cellStyle name="Comma 2 2 10 2 11" xfId="2742"/>
    <cellStyle name="Comma 2 2 10 2 11 2" xfId="8136"/>
    <cellStyle name="Comma 2 2 10 2 12" xfId="2743"/>
    <cellStyle name="Comma 2 2 10 2 12 2" xfId="8137"/>
    <cellStyle name="Comma 2 2 10 2 13" xfId="8134"/>
    <cellStyle name="Comma 2 2 10 2 2" xfId="2744"/>
    <cellStyle name="Comma 2 2 10 2 2 2" xfId="8138"/>
    <cellStyle name="Comma 2 2 10 2 3" xfId="2745"/>
    <cellStyle name="Comma 2 2 10 2 3 2" xfId="8139"/>
    <cellStyle name="Comma 2 2 10 2 4" xfId="2746"/>
    <cellStyle name="Comma 2 2 10 2 4 2" xfId="8140"/>
    <cellStyle name="Comma 2 2 10 2 5" xfId="2747"/>
    <cellStyle name="Comma 2 2 10 2 5 2" xfId="8141"/>
    <cellStyle name="Comma 2 2 10 2 6" xfId="2748"/>
    <cellStyle name="Comma 2 2 10 2 6 2" xfId="8142"/>
    <cellStyle name="Comma 2 2 10 2 7" xfId="2749"/>
    <cellStyle name="Comma 2 2 10 2 7 2" xfId="8143"/>
    <cellStyle name="Comma 2 2 10 2 8" xfId="2750"/>
    <cellStyle name="Comma 2 2 10 2 8 2" xfId="8144"/>
    <cellStyle name="Comma 2 2 10 2 9" xfId="2751"/>
    <cellStyle name="Comma 2 2 10 2 9 2" xfId="8145"/>
    <cellStyle name="Comma 2 2 10 3" xfId="2752"/>
    <cellStyle name="Comma 2 2 10 3 2" xfId="8146"/>
    <cellStyle name="Comma 2 2 10 4" xfId="2753"/>
    <cellStyle name="Comma 2 2 10 4 2" xfId="8147"/>
    <cellStyle name="Comma 2 2 10 5" xfId="2754"/>
    <cellStyle name="Comma 2 2 10 5 2" xfId="8148"/>
    <cellStyle name="Comma 2 2 10 6" xfId="2755"/>
    <cellStyle name="Comma 2 2 10 6 2" xfId="8149"/>
    <cellStyle name="Comma 2 2 10 7" xfId="2756"/>
    <cellStyle name="Comma 2 2 10 7 2" xfId="8150"/>
    <cellStyle name="Comma 2 2 10 8" xfId="2757"/>
    <cellStyle name="Comma 2 2 10 8 2" xfId="8151"/>
    <cellStyle name="Comma 2 2 10 9" xfId="2758"/>
    <cellStyle name="Comma 2 2 10 9 2" xfId="8152"/>
    <cellStyle name="Comma 2 2 11" xfId="2759"/>
    <cellStyle name="Comma 2 2 11 2" xfId="8153"/>
    <cellStyle name="Comma 2 2 12" xfId="8128"/>
    <cellStyle name="Comma 2 2 2" xfId="2760"/>
    <cellStyle name="Comma 2 2 2 10" xfId="2761"/>
    <cellStyle name="Comma 2 2 2 10 2" xfId="8155"/>
    <cellStyle name="Comma 2 2 2 11" xfId="2762"/>
    <cellStyle name="Comma 2 2 2 11 10" xfId="2763"/>
    <cellStyle name="Comma 2 2 2 11 10 2" xfId="8157"/>
    <cellStyle name="Comma 2 2 2 11 11" xfId="2764"/>
    <cellStyle name="Comma 2 2 2 11 11 2" xfId="8158"/>
    <cellStyle name="Comma 2 2 2 11 12" xfId="2765"/>
    <cellStyle name="Comma 2 2 2 11 12 2" xfId="8159"/>
    <cellStyle name="Comma 2 2 2 11 13" xfId="2766"/>
    <cellStyle name="Comma 2 2 2 11 13 2" xfId="8160"/>
    <cellStyle name="Comma 2 2 2 11 14" xfId="8156"/>
    <cellStyle name="Comma 2 2 2 11 2" xfId="2767"/>
    <cellStyle name="Comma 2 2 2 11 2 10" xfId="2768"/>
    <cellStyle name="Comma 2 2 2 11 2 10 2" xfId="8162"/>
    <cellStyle name="Comma 2 2 2 11 2 11" xfId="2769"/>
    <cellStyle name="Comma 2 2 2 11 2 11 2" xfId="8163"/>
    <cellStyle name="Comma 2 2 2 11 2 12" xfId="2770"/>
    <cellStyle name="Comma 2 2 2 11 2 12 2" xfId="8164"/>
    <cellStyle name="Comma 2 2 2 11 2 13" xfId="8161"/>
    <cellStyle name="Comma 2 2 2 11 2 2" xfId="2771"/>
    <cellStyle name="Comma 2 2 2 11 2 2 2" xfId="8165"/>
    <cellStyle name="Comma 2 2 2 11 2 3" xfId="2772"/>
    <cellStyle name="Comma 2 2 2 11 2 3 2" xfId="8166"/>
    <cellStyle name="Comma 2 2 2 11 2 4" xfId="2773"/>
    <cellStyle name="Comma 2 2 2 11 2 4 2" xfId="8167"/>
    <cellStyle name="Comma 2 2 2 11 2 5" xfId="2774"/>
    <cellStyle name="Comma 2 2 2 11 2 5 2" xfId="8168"/>
    <cellStyle name="Comma 2 2 2 11 2 6" xfId="2775"/>
    <cellStyle name="Comma 2 2 2 11 2 6 2" xfId="8169"/>
    <cellStyle name="Comma 2 2 2 11 2 7" xfId="2776"/>
    <cellStyle name="Comma 2 2 2 11 2 7 2" xfId="8170"/>
    <cellStyle name="Comma 2 2 2 11 2 8" xfId="2777"/>
    <cellStyle name="Comma 2 2 2 11 2 8 2" xfId="8171"/>
    <cellStyle name="Comma 2 2 2 11 2 9" xfId="2778"/>
    <cellStyle name="Comma 2 2 2 11 2 9 2" xfId="8172"/>
    <cellStyle name="Comma 2 2 2 11 3" xfId="2779"/>
    <cellStyle name="Comma 2 2 2 11 3 2" xfId="8173"/>
    <cellStyle name="Comma 2 2 2 11 4" xfId="2780"/>
    <cellStyle name="Comma 2 2 2 11 4 2" xfId="8174"/>
    <cellStyle name="Comma 2 2 2 11 5" xfId="2781"/>
    <cellStyle name="Comma 2 2 2 11 5 2" xfId="8175"/>
    <cellStyle name="Comma 2 2 2 11 6" xfId="2782"/>
    <cellStyle name="Comma 2 2 2 11 6 2" xfId="8176"/>
    <cellStyle name="Comma 2 2 2 11 7" xfId="2783"/>
    <cellStyle name="Comma 2 2 2 11 7 2" xfId="8177"/>
    <cellStyle name="Comma 2 2 2 11 8" xfId="2784"/>
    <cellStyle name="Comma 2 2 2 11 8 2" xfId="8178"/>
    <cellStyle name="Comma 2 2 2 11 9" xfId="2785"/>
    <cellStyle name="Comma 2 2 2 11 9 2" xfId="8179"/>
    <cellStyle name="Comma 2 2 2 12" xfId="8154"/>
    <cellStyle name="Comma 2 2 2 2" xfId="2786"/>
    <cellStyle name="Comma 2 2 2 2 10" xfId="2787"/>
    <cellStyle name="Comma 2 2 2 2 10 2" xfId="8181"/>
    <cellStyle name="Comma 2 2 2 2 11" xfId="2788"/>
    <cellStyle name="Comma 2 2 2 2 11 2" xfId="8182"/>
    <cellStyle name="Comma 2 2 2 2 12" xfId="2789"/>
    <cellStyle name="Comma 2 2 2 2 12 2" xfId="8183"/>
    <cellStyle name="Comma 2 2 2 2 13" xfId="2790"/>
    <cellStyle name="Comma 2 2 2 2 13 2" xfId="8184"/>
    <cellStyle name="Comma 2 2 2 2 14" xfId="2791"/>
    <cellStyle name="Comma 2 2 2 2 14 2" xfId="8185"/>
    <cellStyle name="Comma 2 2 2 2 15" xfId="2792"/>
    <cellStyle name="Comma 2 2 2 2 15 2" xfId="8186"/>
    <cellStyle name="Comma 2 2 2 2 16" xfId="8180"/>
    <cellStyle name="Comma 2 2 2 2 2" xfId="2793"/>
    <cellStyle name="Comma 2 2 2 2 2 2" xfId="8187"/>
    <cellStyle name="Comma 2 2 2 2 3" xfId="2794"/>
    <cellStyle name="Comma 2 2 2 2 3 2" xfId="8188"/>
    <cellStyle name="Comma 2 2 2 2 4" xfId="2795"/>
    <cellStyle name="Comma 2 2 2 2 4 10" xfId="2796"/>
    <cellStyle name="Comma 2 2 2 2 4 10 2" xfId="8190"/>
    <cellStyle name="Comma 2 2 2 2 4 11" xfId="2797"/>
    <cellStyle name="Comma 2 2 2 2 4 11 2" xfId="8191"/>
    <cellStyle name="Comma 2 2 2 2 4 12" xfId="2798"/>
    <cellStyle name="Comma 2 2 2 2 4 12 2" xfId="8192"/>
    <cellStyle name="Comma 2 2 2 2 4 13" xfId="8189"/>
    <cellStyle name="Comma 2 2 2 2 4 2" xfId="2799"/>
    <cellStyle name="Comma 2 2 2 2 4 2 2" xfId="8193"/>
    <cellStyle name="Comma 2 2 2 2 4 3" xfId="2800"/>
    <cellStyle name="Comma 2 2 2 2 4 3 2" xfId="8194"/>
    <cellStyle name="Comma 2 2 2 2 4 4" xfId="2801"/>
    <cellStyle name="Comma 2 2 2 2 4 4 2" xfId="8195"/>
    <cellStyle name="Comma 2 2 2 2 4 5" xfId="2802"/>
    <cellStyle name="Comma 2 2 2 2 4 5 2" xfId="8196"/>
    <cellStyle name="Comma 2 2 2 2 4 6" xfId="2803"/>
    <cellStyle name="Comma 2 2 2 2 4 6 2" xfId="8197"/>
    <cellStyle name="Comma 2 2 2 2 4 7" xfId="2804"/>
    <cellStyle name="Comma 2 2 2 2 4 7 2" xfId="8198"/>
    <cellStyle name="Comma 2 2 2 2 4 8" xfId="2805"/>
    <cellStyle name="Comma 2 2 2 2 4 8 2" xfId="8199"/>
    <cellStyle name="Comma 2 2 2 2 4 9" xfId="2806"/>
    <cellStyle name="Comma 2 2 2 2 4 9 2" xfId="8200"/>
    <cellStyle name="Comma 2 2 2 2 5" xfId="2807"/>
    <cellStyle name="Comma 2 2 2 2 5 2" xfId="8201"/>
    <cellStyle name="Comma 2 2 2 2 6" xfId="2808"/>
    <cellStyle name="Comma 2 2 2 2 6 2" xfId="8202"/>
    <cellStyle name="Comma 2 2 2 2 7" xfId="2809"/>
    <cellStyle name="Comma 2 2 2 2 7 2" xfId="8203"/>
    <cellStyle name="Comma 2 2 2 2 8" xfId="2810"/>
    <cellStyle name="Comma 2 2 2 2 8 2" xfId="8204"/>
    <cellStyle name="Comma 2 2 2 2 9" xfId="2811"/>
    <cellStyle name="Comma 2 2 2 2 9 2" xfId="8205"/>
    <cellStyle name="Comma 2 2 2 3" xfId="2812"/>
    <cellStyle name="Comma 2 2 2 3 2" xfId="8206"/>
    <cellStyle name="Comma 2 2 2 4" xfId="2813"/>
    <cellStyle name="Comma 2 2 2 4 2" xfId="8207"/>
    <cellStyle name="Comma 2 2 2 5" xfId="2814"/>
    <cellStyle name="Comma 2 2 2 5 2" xfId="8208"/>
    <cellStyle name="Comma 2 2 2 6" xfId="2815"/>
    <cellStyle name="Comma 2 2 2 6 2" xfId="8209"/>
    <cellStyle name="Comma 2 2 2 7" xfId="2816"/>
    <cellStyle name="Comma 2 2 2 7 2" xfId="8210"/>
    <cellStyle name="Comma 2 2 2 8" xfId="2817"/>
    <cellStyle name="Comma 2 2 2 8 2" xfId="8211"/>
    <cellStyle name="Comma 2 2 2 9" xfId="2818"/>
    <cellStyle name="Comma 2 2 2 9 2" xfId="8212"/>
    <cellStyle name="Comma 2 2 3" xfId="2819"/>
    <cellStyle name="Comma 2 2 3 2" xfId="8213"/>
    <cellStyle name="Comma 2 2 4" xfId="2820"/>
    <cellStyle name="Comma 2 2 4 2" xfId="8214"/>
    <cellStyle name="Comma 2 2 5" xfId="2821"/>
    <cellStyle name="Comma 2 2 5 2" xfId="8215"/>
    <cellStyle name="Comma 2 2 6" xfId="2822"/>
    <cellStyle name="Comma 2 2 6 2" xfId="8216"/>
    <cellStyle name="Comma 2 2 7" xfId="2823"/>
    <cellStyle name="Comma 2 2 7 2" xfId="8217"/>
    <cellStyle name="Comma 2 2 8" xfId="2824"/>
    <cellStyle name="Comma 2 2 8 10" xfId="2825"/>
    <cellStyle name="Comma 2 2 8 10 2" xfId="8219"/>
    <cellStyle name="Comma 2 2 8 11" xfId="2826"/>
    <cellStyle name="Comma 2 2 8 11 2" xfId="8220"/>
    <cellStyle name="Comma 2 2 8 12" xfId="2827"/>
    <cellStyle name="Comma 2 2 8 12 2" xfId="8221"/>
    <cellStyle name="Comma 2 2 8 13" xfId="2828"/>
    <cellStyle name="Comma 2 2 8 13 2" xfId="8222"/>
    <cellStyle name="Comma 2 2 8 14" xfId="8218"/>
    <cellStyle name="Comma 2 2 8 2" xfId="2829"/>
    <cellStyle name="Comma 2 2 8 2 10" xfId="2830"/>
    <cellStyle name="Comma 2 2 8 2 10 2" xfId="8224"/>
    <cellStyle name="Comma 2 2 8 2 11" xfId="2831"/>
    <cellStyle name="Comma 2 2 8 2 11 2" xfId="8225"/>
    <cellStyle name="Comma 2 2 8 2 12" xfId="2832"/>
    <cellStyle name="Comma 2 2 8 2 12 2" xfId="8226"/>
    <cellStyle name="Comma 2 2 8 2 13" xfId="8223"/>
    <cellStyle name="Comma 2 2 8 2 2" xfId="2833"/>
    <cellStyle name="Comma 2 2 8 2 2 2" xfId="8227"/>
    <cellStyle name="Comma 2 2 8 2 3" xfId="2834"/>
    <cellStyle name="Comma 2 2 8 2 3 2" xfId="8228"/>
    <cellStyle name="Comma 2 2 8 2 4" xfId="2835"/>
    <cellStyle name="Comma 2 2 8 2 4 2" xfId="8229"/>
    <cellStyle name="Comma 2 2 8 2 5" xfId="2836"/>
    <cellStyle name="Comma 2 2 8 2 5 2" xfId="8230"/>
    <cellStyle name="Comma 2 2 8 2 6" xfId="2837"/>
    <cellStyle name="Comma 2 2 8 2 6 2" xfId="8231"/>
    <cellStyle name="Comma 2 2 8 2 7" xfId="2838"/>
    <cellStyle name="Comma 2 2 8 2 7 2" xfId="8232"/>
    <cellStyle name="Comma 2 2 8 2 8" xfId="2839"/>
    <cellStyle name="Comma 2 2 8 2 8 2" xfId="8233"/>
    <cellStyle name="Comma 2 2 8 2 9" xfId="2840"/>
    <cellStyle name="Comma 2 2 8 2 9 2" xfId="8234"/>
    <cellStyle name="Comma 2 2 8 3" xfId="2841"/>
    <cellStyle name="Comma 2 2 8 3 2" xfId="8235"/>
    <cellStyle name="Comma 2 2 8 4" xfId="2842"/>
    <cellStyle name="Comma 2 2 8 4 2" xfId="8236"/>
    <cellStyle name="Comma 2 2 8 5" xfId="2843"/>
    <cellStyle name="Comma 2 2 8 5 2" xfId="8237"/>
    <cellStyle name="Comma 2 2 8 6" xfId="2844"/>
    <cellStyle name="Comma 2 2 8 6 2" xfId="8238"/>
    <cellStyle name="Comma 2 2 8 7" xfId="2845"/>
    <cellStyle name="Comma 2 2 8 7 2" xfId="8239"/>
    <cellStyle name="Comma 2 2 8 8" xfId="2846"/>
    <cellStyle name="Comma 2 2 8 8 2" xfId="8240"/>
    <cellStyle name="Comma 2 2 8 9" xfId="2847"/>
    <cellStyle name="Comma 2 2 8 9 2" xfId="8241"/>
    <cellStyle name="Comma 2 2 9" xfId="2848"/>
    <cellStyle name="Comma 2 2 9 10" xfId="2849"/>
    <cellStyle name="Comma 2 2 9 10 2" xfId="8243"/>
    <cellStyle name="Comma 2 2 9 11" xfId="2850"/>
    <cellStyle name="Comma 2 2 9 11 2" xfId="8244"/>
    <cellStyle name="Comma 2 2 9 12" xfId="2851"/>
    <cellStyle name="Comma 2 2 9 12 2" xfId="8245"/>
    <cellStyle name="Comma 2 2 9 13" xfId="2852"/>
    <cellStyle name="Comma 2 2 9 13 2" xfId="8246"/>
    <cellStyle name="Comma 2 2 9 14" xfId="8242"/>
    <cellStyle name="Comma 2 2 9 2" xfId="2853"/>
    <cellStyle name="Comma 2 2 9 2 10" xfId="2854"/>
    <cellStyle name="Comma 2 2 9 2 10 2" xfId="8248"/>
    <cellStyle name="Comma 2 2 9 2 11" xfId="2855"/>
    <cellStyle name="Comma 2 2 9 2 11 2" xfId="8249"/>
    <cellStyle name="Comma 2 2 9 2 12" xfId="2856"/>
    <cellStyle name="Comma 2 2 9 2 12 2" xfId="8250"/>
    <cellStyle name="Comma 2 2 9 2 13" xfId="8247"/>
    <cellStyle name="Comma 2 2 9 2 2" xfId="2857"/>
    <cellStyle name="Comma 2 2 9 2 2 2" xfId="8251"/>
    <cellStyle name="Comma 2 2 9 2 3" xfId="2858"/>
    <cellStyle name="Comma 2 2 9 2 3 2" xfId="8252"/>
    <cellStyle name="Comma 2 2 9 2 4" xfId="2859"/>
    <cellStyle name="Comma 2 2 9 2 4 2" xfId="8253"/>
    <cellStyle name="Comma 2 2 9 2 5" xfId="2860"/>
    <cellStyle name="Comma 2 2 9 2 5 2" xfId="8254"/>
    <cellStyle name="Comma 2 2 9 2 6" xfId="2861"/>
    <cellStyle name="Comma 2 2 9 2 6 2" xfId="8255"/>
    <cellStyle name="Comma 2 2 9 2 7" xfId="2862"/>
    <cellStyle name="Comma 2 2 9 2 7 2" xfId="8256"/>
    <cellStyle name="Comma 2 2 9 2 8" xfId="2863"/>
    <cellStyle name="Comma 2 2 9 2 8 2" xfId="8257"/>
    <cellStyle name="Comma 2 2 9 2 9" xfId="2864"/>
    <cellStyle name="Comma 2 2 9 2 9 2" xfId="8258"/>
    <cellStyle name="Comma 2 2 9 3" xfId="2865"/>
    <cellStyle name="Comma 2 2 9 3 2" xfId="8259"/>
    <cellStyle name="Comma 2 2 9 4" xfId="2866"/>
    <cellStyle name="Comma 2 2 9 4 2" xfId="8260"/>
    <cellStyle name="Comma 2 2 9 5" xfId="2867"/>
    <cellStyle name="Comma 2 2 9 5 2" xfId="8261"/>
    <cellStyle name="Comma 2 2 9 6" xfId="2868"/>
    <cellStyle name="Comma 2 2 9 6 2" xfId="8262"/>
    <cellStyle name="Comma 2 2 9 7" xfId="2869"/>
    <cellStyle name="Comma 2 2 9 7 2" xfId="8263"/>
    <cellStyle name="Comma 2 2 9 8" xfId="2870"/>
    <cellStyle name="Comma 2 2 9 8 2" xfId="8264"/>
    <cellStyle name="Comma 2 2 9 9" xfId="2871"/>
    <cellStyle name="Comma 2 2 9 9 2" xfId="8265"/>
    <cellStyle name="Comma 2 20" xfId="2872"/>
    <cellStyle name="Comma 2 20 2" xfId="8266"/>
    <cellStyle name="Comma 2 21" xfId="8094"/>
    <cellStyle name="Comma 2 3" xfId="2873"/>
    <cellStyle name="Comma 2 3 2" xfId="2874"/>
    <cellStyle name="Comma 2 3 2 2" xfId="8267"/>
    <cellStyle name="Comma 2 3 3" xfId="2875"/>
    <cellStyle name="Comma 2 3 3 2" xfId="8268"/>
    <cellStyle name="Comma 2 4" xfId="2876"/>
    <cellStyle name="Comma 2 4 2" xfId="8269"/>
    <cellStyle name="Comma 2 5" xfId="2877"/>
    <cellStyle name="Comma 2 5 2" xfId="2878"/>
    <cellStyle name="Comma 2 5 2 2" xfId="8271"/>
    <cellStyle name="Comma 2 5 3" xfId="8270"/>
    <cellStyle name="Comma 2 6" xfId="2879"/>
    <cellStyle name="Comma 2 6 2" xfId="8272"/>
    <cellStyle name="Comma 2 7" xfId="2880"/>
    <cellStyle name="Comma 2 7 2" xfId="2881"/>
    <cellStyle name="Comma 2 7 2 2" xfId="8274"/>
    <cellStyle name="Comma 2 7 3" xfId="8273"/>
    <cellStyle name="Comma 2 8" xfId="2882"/>
    <cellStyle name="Comma 2 8 2" xfId="2883"/>
    <cellStyle name="Comma 2 8 2 2" xfId="8276"/>
    <cellStyle name="Comma 2 8 3" xfId="8275"/>
    <cellStyle name="Comma 2 9" xfId="2884"/>
    <cellStyle name="Comma 2 9 2" xfId="8277"/>
    <cellStyle name="Comma 2_1. SO LATI Per 1 Juli 2013" xfId="2885"/>
    <cellStyle name="Comma 24" xfId="2886"/>
    <cellStyle name="Comma 24 2" xfId="8278"/>
    <cellStyle name="Comma 3" xfId="2"/>
    <cellStyle name="Comma 3 10" xfId="2887"/>
    <cellStyle name="Comma 3 10 2" xfId="8279"/>
    <cellStyle name="Comma 3 11" xfId="2888"/>
    <cellStyle name="Comma 3 11 2" xfId="8280"/>
    <cellStyle name="Comma 3 12" xfId="2889"/>
    <cellStyle name="Comma 3 12 2" xfId="8281"/>
    <cellStyle name="Comma 3 13" xfId="7974"/>
    <cellStyle name="Comma 3 2" xfId="2890"/>
    <cellStyle name="Comma 3 2 10" xfId="2891"/>
    <cellStyle name="Comma 3 2 10 10" xfId="2892"/>
    <cellStyle name="Comma 3 2 10 10 2" xfId="8284"/>
    <cellStyle name="Comma 3 2 10 11" xfId="2893"/>
    <cellStyle name="Comma 3 2 10 11 2" xfId="8285"/>
    <cellStyle name="Comma 3 2 10 12" xfId="2894"/>
    <cellStyle name="Comma 3 2 10 12 2" xfId="8286"/>
    <cellStyle name="Comma 3 2 10 13" xfId="2895"/>
    <cellStyle name="Comma 3 2 10 13 2" xfId="8287"/>
    <cellStyle name="Comma 3 2 10 14" xfId="2896"/>
    <cellStyle name="Comma 3 2 10 14 2" xfId="8288"/>
    <cellStyle name="Comma 3 2 10 15" xfId="2897"/>
    <cellStyle name="Comma 3 2 10 15 2" xfId="8289"/>
    <cellStyle name="Comma 3 2 10 16" xfId="2898"/>
    <cellStyle name="Comma 3 2 10 16 2" xfId="8290"/>
    <cellStyle name="Comma 3 2 10 17" xfId="8283"/>
    <cellStyle name="Comma 3 2 10 2" xfId="2899"/>
    <cellStyle name="Comma 3 2 10 2 10" xfId="2900"/>
    <cellStyle name="Comma 3 2 10 2 10 2" xfId="8292"/>
    <cellStyle name="Comma 3 2 10 2 11" xfId="2901"/>
    <cellStyle name="Comma 3 2 10 2 11 2" xfId="8293"/>
    <cellStyle name="Comma 3 2 10 2 12" xfId="2902"/>
    <cellStyle name="Comma 3 2 10 2 12 2" xfId="8294"/>
    <cellStyle name="Comma 3 2 10 2 13" xfId="8291"/>
    <cellStyle name="Comma 3 2 10 2 2" xfId="2903"/>
    <cellStyle name="Comma 3 2 10 2 2 2" xfId="8295"/>
    <cellStyle name="Comma 3 2 10 2 3" xfId="2904"/>
    <cellStyle name="Comma 3 2 10 2 3 2" xfId="8296"/>
    <cellStyle name="Comma 3 2 10 2 4" xfId="2905"/>
    <cellStyle name="Comma 3 2 10 2 4 2" xfId="8297"/>
    <cellStyle name="Comma 3 2 10 2 5" xfId="2906"/>
    <cellStyle name="Comma 3 2 10 2 5 2" xfId="8298"/>
    <cellStyle name="Comma 3 2 10 2 6" xfId="2907"/>
    <cellStyle name="Comma 3 2 10 2 6 2" xfId="8299"/>
    <cellStyle name="Comma 3 2 10 2 7" xfId="2908"/>
    <cellStyle name="Comma 3 2 10 2 7 2" xfId="8300"/>
    <cellStyle name="Comma 3 2 10 2 8" xfId="2909"/>
    <cellStyle name="Comma 3 2 10 2 8 2" xfId="8301"/>
    <cellStyle name="Comma 3 2 10 2 9" xfId="2910"/>
    <cellStyle name="Comma 3 2 10 2 9 2" xfId="8302"/>
    <cellStyle name="Comma 3 2 10 3" xfId="2911"/>
    <cellStyle name="Comma 3 2 10 3 10" xfId="2912"/>
    <cellStyle name="Comma 3 2 10 3 10 2" xfId="8304"/>
    <cellStyle name="Comma 3 2 10 3 11" xfId="2913"/>
    <cellStyle name="Comma 3 2 10 3 11 2" xfId="8305"/>
    <cellStyle name="Comma 3 2 10 3 12" xfId="2914"/>
    <cellStyle name="Comma 3 2 10 3 12 2" xfId="8306"/>
    <cellStyle name="Comma 3 2 10 3 13" xfId="8303"/>
    <cellStyle name="Comma 3 2 10 3 2" xfId="2915"/>
    <cellStyle name="Comma 3 2 10 3 2 2" xfId="8307"/>
    <cellStyle name="Comma 3 2 10 3 3" xfId="2916"/>
    <cellStyle name="Comma 3 2 10 3 3 2" xfId="8308"/>
    <cellStyle name="Comma 3 2 10 3 4" xfId="2917"/>
    <cellStyle name="Comma 3 2 10 3 4 2" xfId="8309"/>
    <cellStyle name="Comma 3 2 10 3 5" xfId="2918"/>
    <cellStyle name="Comma 3 2 10 3 5 2" xfId="8310"/>
    <cellStyle name="Comma 3 2 10 3 6" xfId="2919"/>
    <cellStyle name="Comma 3 2 10 3 6 2" xfId="8311"/>
    <cellStyle name="Comma 3 2 10 3 7" xfId="2920"/>
    <cellStyle name="Comma 3 2 10 3 7 2" xfId="8312"/>
    <cellStyle name="Comma 3 2 10 3 8" xfId="2921"/>
    <cellStyle name="Comma 3 2 10 3 8 2" xfId="8313"/>
    <cellStyle name="Comma 3 2 10 3 9" xfId="2922"/>
    <cellStyle name="Comma 3 2 10 3 9 2" xfId="8314"/>
    <cellStyle name="Comma 3 2 10 4" xfId="2923"/>
    <cellStyle name="Comma 3 2 10 4 10" xfId="2924"/>
    <cellStyle name="Comma 3 2 10 4 10 2" xfId="8316"/>
    <cellStyle name="Comma 3 2 10 4 11" xfId="2925"/>
    <cellStyle name="Comma 3 2 10 4 11 2" xfId="8317"/>
    <cellStyle name="Comma 3 2 10 4 12" xfId="2926"/>
    <cellStyle name="Comma 3 2 10 4 12 2" xfId="8318"/>
    <cellStyle name="Comma 3 2 10 4 13" xfId="8315"/>
    <cellStyle name="Comma 3 2 10 4 2" xfId="2927"/>
    <cellStyle name="Comma 3 2 10 4 2 2" xfId="8319"/>
    <cellStyle name="Comma 3 2 10 4 3" xfId="2928"/>
    <cellStyle name="Comma 3 2 10 4 3 2" xfId="8320"/>
    <cellStyle name="Comma 3 2 10 4 4" xfId="2929"/>
    <cellStyle name="Comma 3 2 10 4 4 2" xfId="8321"/>
    <cellStyle name="Comma 3 2 10 4 5" xfId="2930"/>
    <cellStyle name="Comma 3 2 10 4 5 2" xfId="8322"/>
    <cellStyle name="Comma 3 2 10 4 6" xfId="2931"/>
    <cellStyle name="Comma 3 2 10 4 6 2" xfId="8323"/>
    <cellStyle name="Comma 3 2 10 4 7" xfId="2932"/>
    <cellStyle name="Comma 3 2 10 4 7 2" xfId="8324"/>
    <cellStyle name="Comma 3 2 10 4 8" xfId="2933"/>
    <cellStyle name="Comma 3 2 10 4 8 2" xfId="8325"/>
    <cellStyle name="Comma 3 2 10 4 9" xfId="2934"/>
    <cellStyle name="Comma 3 2 10 4 9 2" xfId="8326"/>
    <cellStyle name="Comma 3 2 10 5" xfId="2935"/>
    <cellStyle name="Comma 3 2 10 5 10" xfId="2936"/>
    <cellStyle name="Comma 3 2 10 5 10 2" xfId="8328"/>
    <cellStyle name="Comma 3 2 10 5 11" xfId="2937"/>
    <cellStyle name="Comma 3 2 10 5 11 2" xfId="8329"/>
    <cellStyle name="Comma 3 2 10 5 12" xfId="2938"/>
    <cellStyle name="Comma 3 2 10 5 12 2" xfId="8330"/>
    <cellStyle name="Comma 3 2 10 5 13" xfId="8327"/>
    <cellStyle name="Comma 3 2 10 5 2" xfId="2939"/>
    <cellStyle name="Comma 3 2 10 5 2 2" xfId="8331"/>
    <cellStyle name="Comma 3 2 10 5 3" xfId="2940"/>
    <cellStyle name="Comma 3 2 10 5 3 2" xfId="8332"/>
    <cellStyle name="Comma 3 2 10 5 4" xfId="2941"/>
    <cellStyle name="Comma 3 2 10 5 4 2" xfId="8333"/>
    <cellStyle name="Comma 3 2 10 5 5" xfId="2942"/>
    <cellStyle name="Comma 3 2 10 5 5 2" xfId="8334"/>
    <cellStyle name="Comma 3 2 10 5 6" xfId="2943"/>
    <cellStyle name="Comma 3 2 10 5 6 2" xfId="8335"/>
    <cellStyle name="Comma 3 2 10 5 7" xfId="2944"/>
    <cellStyle name="Comma 3 2 10 5 7 2" xfId="8336"/>
    <cellStyle name="Comma 3 2 10 5 8" xfId="2945"/>
    <cellStyle name="Comma 3 2 10 5 8 2" xfId="8337"/>
    <cellStyle name="Comma 3 2 10 5 9" xfId="2946"/>
    <cellStyle name="Comma 3 2 10 5 9 2" xfId="8338"/>
    <cellStyle name="Comma 3 2 10 6" xfId="2947"/>
    <cellStyle name="Comma 3 2 10 6 2" xfId="8339"/>
    <cellStyle name="Comma 3 2 10 7" xfId="2948"/>
    <cellStyle name="Comma 3 2 10 7 2" xfId="8340"/>
    <cellStyle name="Comma 3 2 10 8" xfId="2949"/>
    <cellStyle name="Comma 3 2 10 8 2" xfId="8341"/>
    <cellStyle name="Comma 3 2 10 9" xfId="2950"/>
    <cellStyle name="Comma 3 2 10 9 2" xfId="8342"/>
    <cellStyle name="Comma 3 2 11" xfId="2951"/>
    <cellStyle name="Comma 3 2 11 2" xfId="8343"/>
    <cellStyle name="Comma 3 2 12" xfId="2952"/>
    <cellStyle name="Comma 3 2 12 2" xfId="8344"/>
    <cellStyle name="Comma 3 2 13" xfId="2953"/>
    <cellStyle name="Comma 3 2 13 2" xfId="8345"/>
    <cellStyle name="Comma 3 2 14" xfId="2954"/>
    <cellStyle name="Comma 3 2 14 2" xfId="8346"/>
    <cellStyle name="Comma 3 2 15" xfId="2955"/>
    <cellStyle name="Comma 3 2 15 2" xfId="8347"/>
    <cellStyle name="Comma 3 2 16" xfId="8282"/>
    <cellStyle name="Comma 3 2 2" xfId="2956"/>
    <cellStyle name="Comma 3 2 2 2" xfId="8348"/>
    <cellStyle name="Comma 3 2 3" xfId="2957"/>
    <cellStyle name="Comma 3 2 3 2" xfId="8349"/>
    <cellStyle name="Comma 3 2 4" xfId="2958"/>
    <cellStyle name="Comma 3 2 4 2" xfId="8350"/>
    <cellStyle name="Comma 3 2 5" xfId="2959"/>
    <cellStyle name="Comma 3 2 5 2" xfId="8351"/>
    <cellStyle name="Comma 3 2 6" xfId="2960"/>
    <cellStyle name="Comma 3 2 6 2" xfId="8352"/>
    <cellStyle name="Comma 3 2 7" xfId="2961"/>
    <cellStyle name="Comma 3 2 7 2" xfId="8353"/>
    <cellStyle name="Comma 3 2 8" xfId="2962"/>
    <cellStyle name="Comma 3 2 8 2" xfId="8354"/>
    <cellStyle name="Comma 3 2 9" xfId="2963"/>
    <cellStyle name="Comma 3 2 9 2" xfId="8355"/>
    <cellStyle name="Comma 3 3" xfId="10"/>
    <cellStyle name="Comma 3 3 10" xfId="2964"/>
    <cellStyle name="Comma 3 3 10 10" xfId="2965"/>
    <cellStyle name="Comma 3 3 10 10 2" xfId="8357"/>
    <cellStyle name="Comma 3 3 10 11" xfId="2966"/>
    <cellStyle name="Comma 3 3 10 11 2" xfId="8358"/>
    <cellStyle name="Comma 3 3 10 12" xfId="2967"/>
    <cellStyle name="Comma 3 3 10 12 2" xfId="8359"/>
    <cellStyle name="Comma 3 3 10 13" xfId="2968"/>
    <cellStyle name="Comma 3 3 10 13 2" xfId="8360"/>
    <cellStyle name="Comma 3 3 10 14" xfId="2969"/>
    <cellStyle name="Comma 3 3 10 14 2" xfId="8361"/>
    <cellStyle name="Comma 3 3 10 15" xfId="2970"/>
    <cellStyle name="Comma 3 3 10 15 2" xfId="8362"/>
    <cellStyle name="Comma 3 3 10 16" xfId="2971"/>
    <cellStyle name="Comma 3 3 10 16 2" xfId="8363"/>
    <cellStyle name="Comma 3 3 10 17" xfId="8356"/>
    <cellStyle name="Comma 3 3 10 2" xfId="2972"/>
    <cellStyle name="Comma 3 3 10 2 2" xfId="8364"/>
    <cellStyle name="Comma 3 3 10 3" xfId="2973"/>
    <cellStyle name="Comma 3 3 10 3 2" xfId="8365"/>
    <cellStyle name="Comma 3 3 10 4" xfId="2974"/>
    <cellStyle name="Comma 3 3 10 4 2" xfId="8366"/>
    <cellStyle name="Comma 3 3 10 5" xfId="2975"/>
    <cellStyle name="Comma 3 3 10 5 2" xfId="8367"/>
    <cellStyle name="Comma 3 3 10 6" xfId="2976"/>
    <cellStyle name="Comma 3 3 10 6 2" xfId="8368"/>
    <cellStyle name="Comma 3 3 10 7" xfId="2977"/>
    <cellStyle name="Comma 3 3 10 7 2" xfId="8369"/>
    <cellStyle name="Comma 3 3 10 8" xfId="2978"/>
    <cellStyle name="Comma 3 3 10 8 2" xfId="8370"/>
    <cellStyle name="Comma 3 3 10 9" xfId="2979"/>
    <cellStyle name="Comma 3 3 10 9 2" xfId="8371"/>
    <cellStyle name="Comma 3 3 2" xfId="7976"/>
    <cellStyle name="Comma 3 4" xfId="2980"/>
    <cellStyle name="Comma 3 4 2" xfId="8372"/>
    <cellStyle name="Comma 3 5" xfId="2981"/>
    <cellStyle name="Comma 3 5 2" xfId="8373"/>
    <cellStyle name="Comma 3 6" xfId="2982"/>
    <cellStyle name="Comma 3 6 2" xfId="8374"/>
    <cellStyle name="Comma 3 7" xfId="2983"/>
    <cellStyle name="Comma 3 7 2" xfId="8375"/>
    <cellStyle name="Comma 3 8" xfId="2984"/>
    <cellStyle name="Comma 3 8 2" xfId="8376"/>
    <cellStyle name="Comma 3 9" xfId="2985"/>
    <cellStyle name="Comma 3 9 2" xfId="8377"/>
    <cellStyle name="Comma 4" xfId="2986"/>
    <cellStyle name="Comma 4 10" xfId="2987"/>
    <cellStyle name="Comma 4 10 10" xfId="2988"/>
    <cellStyle name="Comma 4 10 10 2" xfId="8380"/>
    <cellStyle name="Comma 4 10 11" xfId="2989"/>
    <cellStyle name="Comma 4 10 11 2" xfId="8381"/>
    <cellStyle name="Comma 4 10 12" xfId="2990"/>
    <cellStyle name="Comma 4 10 12 2" xfId="8382"/>
    <cellStyle name="Comma 4 10 13" xfId="8379"/>
    <cellStyle name="Comma 4 10 2" xfId="2991"/>
    <cellStyle name="Comma 4 10 2 2" xfId="8383"/>
    <cellStyle name="Comma 4 10 3" xfId="2992"/>
    <cellStyle name="Comma 4 10 3 2" xfId="8384"/>
    <cellStyle name="Comma 4 10 4" xfId="2993"/>
    <cellStyle name="Comma 4 10 4 2" xfId="8385"/>
    <cellStyle name="Comma 4 10 5" xfId="2994"/>
    <cellStyle name="Comma 4 10 5 2" xfId="8386"/>
    <cellStyle name="Comma 4 10 6" xfId="2995"/>
    <cellStyle name="Comma 4 10 6 2" xfId="8387"/>
    <cellStyle name="Comma 4 10 7" xfId="2996"/>
    <cellStyle name="Comma 4 10 7 2" xfId="8388"/>
    <cellStyle name="Comma 4 10 8" xfId="2997"/>
    <cellStyle name="Comma 4 10 8 2" xfId="8389"/>
    <cellStyle name="Comma 4 10 9" xfId="2998"/>
    <cellStyle name="Comma 4 10 9 2" xfId="8390"/>
    <cellStyle name="Comma 4 11" xfId="2999"/>
    <cellStyle name="Comma 4 11 10" xfId="3000"/>
    <cellStyle name="Comma 4 11 10 2" xfId="8392"/>
    <cellStyle name="Comma 4 11 11" xfId="3001"/>
    <cellStyle name="Comma 4 11 11 2" xfId="8393"/>
    <cellStyle name="Comma 4 11 12" xfId="3002"/>
    <cellStyle name="Comma 4 11 12 2" xfId="8394"/>
    <cellStyle name="Comma 4 11 13" xfId="8391"/>
    <cellStyle name="Comma 4 11 2" xfId="3003"/>
    <cellStyle name="Comma 4 11 2 2" xfId="8395"/>
    <cellStyle name="Comma 4 11 3" xfId="3004"/>
    <cellStyle name="Comma 4 11 3 2" xfId="8396"/>
    <cellStyle name="Comma 4 11 4" xfId="3005"/>
    <cellStyle name="Comma 4 11 4 2" xfId="8397"/>
    <cellStyle name="Comma 4 11 5" xfId="3006"/>
    <cellStyle name="Comma 4 11 5 2" xfId="8398"/>
    <cellStyle name="Comma 4 11 6" xfId="3007"/>
    <cellStyle name="Comma 4 11 6 2" xfId="8399"/>
    <cellStyle name="Comma 4 11 7" xfId="3008"/>
    <cellStyle name="Comma 4 11 7 2" xfId="8400"/>
    <cellStyle name="Comma 4 11 8" xfId="3009"/>
    <cellStyle name="Comma 4 11 8 2" xfId="8401"/>
    <cellStyle name="Comma 4 11 9" xfId="3010"/>
    <cellStyle name="Comma 4 11 9 2" xfId="8402"/>
    <cellStyle name="Comma 4 12" xfId="3011"/>
    <cellStyle name="Comma 4 12 10" xfId="3012"/>
    <cellStyle name="Comma 4 12 10 2" xfId="8404"/>
    <cellStyle name="Comma 4 12 11" xfId="3013"/>
    <cellStyle name="Comma 4 12 11 2" xfId="8405"/>
    <cellStyle name="Comma 4 12 12" xfId="3014"/>
    <cellStyle name="Comma 4 12 12 2" xfId="8406"/>
    <cellStyle name="Comma 4 12 13" xfId="8403"/>
    <cellStyle name="Comma 4 12 2" xfId="3015"/>
    <cellStyle name="Comma 4 12 2 2" xfId="8407"/>
    <cellStyle name="Comma 4 12 3" xfId="3016"/>
    <cellStyle name="Comma 4 12 3 2" xfId="8408"/>
    <cellStyle name="Comma 4 12 4" xfId="3017"/>
    <cellStyle name="Comma 4 12 4 2" xfId="8409"/>
    <cellStyle name="Comma 4 12 5" xfId="3018"/>
    <cellStyle name="Comma 4 12 5 2" xfId="8410"/>
    <cellStyle name="Comma 4 12 6" xfId="3019"/>
    <cellStyle name="Comma 4 12 6 2" xfId="8411"/>
    <cellStyle name="Comma 4 12 7" xfId="3020"/>
    <cellStyle name="Comma 4 12 7 2" xfId="8412"/>
    <cellStyle name="Comma 4 12 8" xfId="3021"/>
    <cellStyle name="Comma 4 12 8 2" xfId="8413"/>
    <cellStyle name="Comma 4 12 9" xfId="3022"/>
    <cellStyle name="Comma 4 12 9 2" xfId="8414"/>
    <cellStyle name="Comma 4 13" xfId="3023"/>
    <cellStyle name="Comma 4 13 10" xfId="3024"/>
    <cellStyle name="Comma 4 13 10 2" xfId="8416"/>
    <cellStyle name="Comma 4 13 11" xfId="3025"/>
    <cellStyle name="Comma 4 13 11 2" xfId="8417"/>
    <cellStyle name="Comma 4 13 12" xfId="3026"/>
    <cellStyle name="Comma 4 13 12 2" xfId="8418"/>
    <cellStyle name="Comma 4 13 13" xfId="8415"/>
    <cellStyle name="Comma 4 13 2" xfId="3027"/>
    <cellStyle name="Comma 4 13 2 2" xfId="8419"/>
    <cellStyle name="Comma 4 13 3" xfId="3028"/>
    <cellStyle name="Comma 4 13 3 2" xfId="8420"/>
    <cellStyle name="Comma 4 13 4" xfId="3029"/>
    <cellStyle name="Comma 4 13 4 2" xfId="8421"/>
    <cellStyle name="Comma 4 13 5" xfId="3030"/>
    <cellStyle name="Comma 4 13 5 2" xfId="8422"/>
    <cellStyle name="Comma 4 13 6" xfId="3031"/>
    <cellStyle name="Comma 4 13 6 2" xfId="8423"/>
    <cellStyle name="Comma 4 13 7" xfId="3032"/>
    <cellStyle name="Comma 4 13 7 2" xfId="8424"/>
    <cellStyle name="Comma 4 13 8" xfId="3033"/>
    <cellStyle name="Comma 4 13 8 2" xfId="8425"/>
    <cellStyle name="Comma 4 13 9" xfId="3034"/>
    <cellStyle name="Comma 4 13 9 2" xfId="8426"/>
    <cellStyle name="Comma 4 14" xfId="3035"/>
    <cellStyle name="Comma 4 14 2" xfId="8427"/>
    <cellStyle name="Comma 4 15" xfId="3036"/>
    <cellStyle name="Comma 4 15 2" xfId="8428"/>
    <cellStyle name="Comma 4 16" xfId="3037"/>
    <cellStyle name="Comma 4 16 2" xfId="8429"/>
    <cellStyle name="Comma 4 17" xfId="3038"/>
    <cellStyle name="Comma 4 17 2" xfId="8430"/>
    <cellStyle name="Comma 4 18" xfId="3039"/>
    <cellStyle name="Comma 4 18 2" xfId="8431"/>
    <cellStyle name="Comma 4 19" xfId="3040"/>
    <cellStyle name="Comma 4 19 2" xfId="8432"/>
    <cellStyle name="Comma 4 2" xfId="3041"/>
    <cellStyle name="Comma 4 2 10" xfId="3042"/>
    <cellStyle name="Comma 4 2 10 10" xfId="3043"/>
    <cellStyle name="Comma 4 2 10 10 2" xfId="8435"/>
    <cellStyle name="Comma 4 2 10 11" xfId="3044"/>
    <cellStyle name="Comma 4 2 10 11 2" xfId="8436"/>
    <cellStyle name="Comma 4 2 10 12" xfId="3045"/>
    <cellStyle name="Comma 4 2 10 12 2" xfId="8437"/>
    <cellStyle name="Comma 4 2 10 13" xfId="8434"/>
    <cellStyle name="Comma 4 2 10 2" xfId="3046"/>
    <cellStyle name="Comma 4 2 10 2 2" xfId="8438"/>
    <cellStyle name="Comma 4 2 10 3" xfId="3047"/>
    <cellStyle name="Comma 4 2 10 3 2" xfId="8439"/>
    <cellStyle name="Comma 4 2 10 4" xfId="3048"/>
    <cellStyle name="Comma 4 2 10 4 2" xfId="8440"/>
    <cellStyle name="Comma 4 2 10 5" xfId="3049"/>
    <cellStyle name="Comma 4 2 10 5 2" xfId="8441"/>
    <cellStyle name="Comma 4 2 10 6" xfId="3050"/>
    <cellStyle name="Comma 4 2 10 6 2" xfId="8442"/>
    <cellStyle name="Comma 4 2 10 7" xfId="3051"/>
    <cellStyle name="Comma 4 2 10 7 2" xfId="8443"/>
    <cellStyle name="Comma 4 2 10 8" xfId="3052"/>
    <cellStyle name="Comma 4 2 10 8 2" xfId="8444"/>
    <cellStyle name="Comma 4 2 10 9" xfId="3053"/>
    <cellStyle name="Comma 4 2 10 9 2" xfId="8445"/>
    <cellStyle name="Comma 4 2 11" xfId="3054"/>
    <cellStyle name="Comma 4 2 11 10" xfId="3055"/>
    <cellStyle name="Comma 4 2 11 10 2" xfId="8447"/>
    <cellStyle name="Comma 4 2 11 11" xfId="3056"/>
    <cellStyle name="Comma 4 2 11 11 2" xfId="8448"/>
    <cellStyle name="Comma 4 2 11 12" xfId="3057"/>
    <cellStyle name="Comma 4 2 11 12 2" xfId="8449"/>
    <cellStyle name="Comma 4 2 11 13" xfId="8446"/>
    <cellStyle name="Comma 4 2 11 2" xfId="3058"/>
    <cellStyle name="Comma 4 2 11 2 2" xfId="8450"/>
    <cellStyle name="Comma 4 2 11 3" xfId="3059"/>
    <cellStyle name="Comma 4 2 11 3 2" xfId="8451"/>
    <cellStyle name="Comma 4 2 11 4" xfId="3060"/>
    <cellStyle name="Comma 4 2 11 4 2" xfId="8452"/>
    <cellStyle name="Comma 4 2 11 5" xfId="3061"/>
    <cellStyle name="Comma 4 2 11 5 2" xfId="8453"/>
    <cellStyle name="Comma 4 2 11 6" xfId="3062"/>
    <cellStyle name="Comma 4 2 11 6 2" xfId="8454"/>
    <cellStyle name="Comma 4 2 11 7" xfId="3063"/>
    <cellStyle name="Comma 4 2 11 7 2" xfId="8455"/>
    <cellStyle name="Comma 4 2 11 8" xfId="3064"/>
    <cellStyle name="Comma 4 2 11 8 2" xfId="8456"/>
    <cellStyle name="Comma 4 2 11 9" xfId="3065"/>
    <cellStyle name="Comma 4 2 11 9 2" xfId="8457"/>
    <cellStyle name="Comma 4 2 12" xfId="3066"/>
    <cellStyle name="Comma 4 2 12 2" xfId="8458"/>
    <cellStyle name="Comma 4 2 13" xfId="3067"/>
    <cellStyle name="Comma 4 2 13 2" xfId="8459"/>
    <cellStyle name="Comma 4 2 14" xfId="3068"/>
    <cellStyle name="Comma 4 2 14 2" xfId="8460"/>
    <cellStyle name="Comma 4 2 15" xfId="3069"/>
    <cellStyle name="Comma 4 2 15 2" xfId="8461"/>
    <cellStyle name="Comma 4 2 16" xfId="3070"/>
    <cellStyle name="Comma 4 2 16 2" xfId="8462"/>
    <cellStyle name="Comma 4 2 17" xfId="3071"/>
    <cellStyle name="Comma 4 2 17 2" xfId="8463"/>
    <cellStyle name="Comma 4 2 18" xfId="3072"/>
    <cellStyle name="Comma 4 2 18 2" xfId="8464"/>
    <cellStyle name="Comma 4 2 19" xfId="3073"/>
    <cellStyle name="Comma 4 2 19 2" xfId="8465"/>
    <cellStyle name="Comma 4 2 2" xfId="3074"/>
    <cellStyle name="Comma 4 2 2 10" xfId="3075"/>
    <cellStyle name="Comma 4 2 2 10 2" xfId="8467"/>
    <cellStyle name="Comma 4 2 2 11" xfId="3076"/>
    <cellStyle name="Comma 4 2 2 11 2" xfId="8468"/>
    <cellStyle name="Comma 4 2 2 12" xfId="3077"/>
    <cellStyle name="Comma 4 2 2 12 2" xfId="8469"/>
    <cellStyle name="Comma 4 2 2 13" xfId="8466"/>
    <cellStyle name="Comma 4 2 2 2" xfId="3078"/>
    <cellStyle name="Comma 4 2 2 2 2" xfId="8470"/>
    <cellStyle name="Comma 4 2 2 3" xfId="3079"/>
    <cellStyle name="Comma 4 2 2 3 2" xfId="8471"/>
    <cellStyle name="Comma 4 2 2 4" xfId="3080"/>
    <cellStyle name="Comma 4 2 2 4 2" xfId="8472"/>
    <cellStyle name="Comma 4 2 2 5" xfId="3081"/>
    <cellStyle name="Comma 4 2 2 5 2" xfId="8473"/>
    <cellStyle name="Comma 4 2 2 6" xfId="3082"/>
    <cellStyle name="Comma 4 2 2 6 2" xfId="8474"/>
    <cellStyle name="Comma 4 2 2 7" xfId="3083"/>
    <cellStyle name="Comma 4 2 2 7 2" xfId="8475"/>
    <cellStyle name="Comma 4 2 2 8" xfId="3084"/>
    <cellStyle name="Comma 4 2 2 8 2" xfId="8476"/>
    <cellStyle name="Comma 4 2 2 9" xfId="3085"/>
    <cellStyle name="Comma 4 2 2 9 2" xfId="8477"/>
    <cellStyle name="Comma 4 2 20" xfId="3086"/>
    <cellStyle name="Comma 4 2 20 2" xfId="8478"/>
    <cellStyle name="Comma 4 2 21" xfId="3087"/>
    <cellStyle name="Comma 4 2 21 2" xfId="8479"/>
    <cellStyle name="Comma 4 2 22" xfId="3088"/>
    <cellStyle name="Comma 4 2 22 2" xfId="8480"/>
    <cellStyle name="Comma 4 2 23" xfId="8433"/>
    <cellStyle name="Comma 4 2 3" xfId="3089"/>
    <cellStyle name="Comma 4 2 3 10" xfId="3090"/>
    <cellStyle name="Comma 4 2 3 10 2" xfId="8482"/>
    <cellStyle name="Comma 4 2 3 11" xfId="3091"/>
    <cellStyle name="Comma 4 2 3 11 2" xfId="8483"/>
    <cellStyle name="Comma 4 2 3 12" xfId="3092"/>
    <cellStyle name="Comma 4 2 3 12 2" xfId="8484"/>
    <cellStyle name="Comma 4 2 3 13" xfId="8481"/>
    <cellStyle name="Comma 4 2 3 2" xfId="3093"/>
    <cellStyle name="Comma 4 2 3 2 2" xfId="8485"/>
    <cellStyle name="Comma 4 2 3 3" xfId="3094"/>
    <cellStyle name="Comma 4 2 3 3 2" xfId="8486"/>
    <cellStyle name="Comma 4 2 3 4" xfId="3095"/>
    <cellStyle name="Comma 4 2 3 4 2" xfId="8487"/>
    <cellStyle name="Comma 4 2 3 5" xfId="3096"/>
    <cellStyle name="Comma 4 2 3 5 2" xfId="8488"/>
    <cellStyle name="Comma 4 2 3 6" xfId="3097"/>
    <cellStyle name="Comma 4 2 3 6 2" xfId="8489"/>
    <cellStyle name="Comma 4 2 3 7" xfId="3098"/>
    <cellStyle name="Comma 4 2 3 7 2" xfId="8490"/>
    <cellStyle name="Comma 4 2 3 8" xfId="3099"/>
    <cellStyle name="Comma 4 2 3 8 2" xfId="8491"/>
    <cellStyle name="Comma 4 2 3 9" xfId="3100"/>
    <cellStyle name="Comma 4 2 3 9 2" xfId="8492"/>
    <cellStyle name="Comma 4 2 4" xfId="3101"/>
    <cellStyle name="Comma 4 2 4 10" xfId="3102"/>
    <cellStyle name="Comma 4 2 4 10 2" xfId="8494"/>
    <cellStyle name="Comma 4 2 4 11" xfId="3103"/>
    <cellStyle name="Comma 4 2 4 11 2" xfId="8495"/>
    <cellStyle name="Comma 4 2 4 12" xfId="3104"/>
    <cellStyle name="Comma 4 2 4 12 2" xfId="8496"/>
    <cellStyle name="Comma 4 2 4 13" xfId="8493"/>
    <cellStyle name="Comma 4 2 4 2" xfId="3105"/>
    <cellStyle name="Comma 4 2 4 2 2" xfId="8497"/>
    <cellStyle name="Comma 4 2 4 3" xfId="3106"/>
    <cellStyle name="Comma 4 2 4 3 2" xfId="8498"/>
    <cellStyle name="Comma 4 2 4 4" xfId="3107"/>
    <cellStyle name="Comma 4 2 4 4 2" xfId="8499"/>
    <cellStyle name="Comma 4 2 4 5" xfId="3108"/>
    <cellStyle name="Comma 4 2 4 5 2" xfId="8500"/>
    <cellStyle name="Comma 4 2 4 6" xfId="3109"/>
    <cellStyle name="Comma 4 2 4 6 2" xfId="8501"/>
    <cellStyle name="Comma 4 2 4 7" xfId="3110"/>
    <cellStyle name="Comma 4 2 4 7 2" xfId="8502"/>
    <cellStyle name="Comma 4 2 4 8" xfId="3111"/>
    <cellStyle name="Comma 4 2 4 8 2" xfId="8503"/>
    <cellStyle name="Comma 4 2 4 9" xfId="3112"/>
    <cellStyle name="Comma 4 2 4 9 2" xfId="8504"/>
    <cellStyle name="Comma 4 2 5" xfId="3113"/>
    <cellStyle name="Comma 4 2 5 10" xfId="3114"/>
    <cellStyle name="Comma 4 2 5 10 2" xfId="8506"/>
    <cellStyle name="Comma 4 2 5 11" xfId="3115"/>
    <cellStyle name="Comma 4 2 5 11 2" xfId="8507"/>
    <cellStyle name="Comma 4 2 5 12" xfId="3116"/>
    <cellStyle name="Comma 4 2 5 12 2" xfId="8508"/>
    <cellStyle name="Comma 4 2 5 13" xfId="8505"/>
    <cellStyle name="Comma 4 2 5 2" xfId="3117"/>
    <cellStyle name="Comma 4 2 5 2 2" xfId="8509"/>
    <cellStyle name="Comma 4 2 5 3" xfId="3118"/>
    <cellStyle name="Comma 4 2 5 3 2" xfId="8510"/>
    <cellStyle name="Comma 4 2 5 4" xfId="3119"/>
    <cellStyle name="Comma 4 2 5 4 2" xfId="8511"/>
    <cellStyle name="Comma 4 2 5 5" xfId="3120"/>
    <cellStyle name="Comma 4 2 5 5 2" xfId="8512"/>
    <cellStyle name="Comma 4 2 5 6" xfId="3121"/>
    <cellStyle name="Comma 4 2 5 6 2" xfId="8513"/>
    <cellStyle name="Comma 4 2 5 7" xfId="3122"/>
    <cellStyle name="Comma 4 2 5 7 2" xfId="8514"/>
    <cellStyle name="Comma 4 2 5 8" xfId="3123"/>
    <cellStyle name="Comma 4 2 5 8 2" xfId="8515"/>
    <cellStyle name="Comma 4 2 5 9" xfId="3124"/>
    <cellStyle name="Comma 4 2 5 9 2" xfId="8516"/>
    <cellStyle name="Comma 4 2 6" xfId="3125"/>
    <cellStyle name="Comma 4 2 6 10" xfId="3126"/>
    <cellStyle name="Comma 4 2 6 10 2" xfId="8518"/>
    <cellStyle name="Comma 4 2 6 11" xfId="3127"/>
    <cellStyle name="Comma 4 2 6 11 2" xfId="8519"/>
    <cellStyle name="Comma 4 2 6 12" xfId="3128"/>
    <cellStyle name="Comma 4 2 6 12 2" xfId="8520"/>
    <cellStyle name="Comma 4 2 6 13" xfId="8517"/>
    <cellStyle name="Comma 4 2 6 2" xfId="3129"/>
    <cellStyle name="Comma 4 2 6 2 2" xfId="8521"/>
    <cellStyle name="Comma 4 2 6 3" xfId="3130"/>
    <cellStyle name="Comma 4 2 6 3 2" xfId="8522"/>
    <cellStyle name="Comma 4 2 6 4" xfId="3131"/>
    <cellStyle name="Comma 4 2 6 4 2" xfId="8523"/>
    <cellStyle name="Comma 4 2 6 5" xfId="3132"/>
    <cellStyle name="Comma 4 2 6 5 2" xfId="8524"/>
    <cellStyle name="Comma 4 2 6 6" xfId="3133"/>
    <cellStyle name="Comma 4 2 6 6 2" xfId="8525"/>
    <cellStyle name="Comma 4 2 6 7" xfId="3134"/>
    <cellStyle name="Comma 4 2 6 7 2" xfId="8526"/>
    <cellStyle name="Comma 4 2 6 8" xfId="3135"/>
    <cellStyle name="Comma 4 2 6 8 2" xfId="8527"/>
    <cellStyle name="Comma 4 2 6 9" xfId="3136"/>
    <cellStyle name="Comma 4 2 6 9 2" xfId="8528"/>
    <cellStyle name="Comma 4 2 7" xfId="3137"/>
    <cellStyle name="Comma 4 2 7 10" xfId="3138"/>
    <cellStyle name="Comma 4 2 7 10 2" xfId="8530"/>
    <cellStyle name="Comma 4 2 7 11" xfId="3139"/>
    <cellStyle name="Comma 4 2 7 11 2" xfId="8531"/>
    <cellStyle name="Comma 4 2 7 12" xfId="3140"/>
    <cellStyle name="Comma 4 2 7 12 2" xfId="8532"/>
    <cellStyle name="Comma 4 2 7 13" xfId="8529"/>
    <cellStyle name="Comma 4 2 7 2" xfId="3141"/>
    <cellStyle name="Comma 4 2 7 2 2" xfId="8533"/>
    <cellStyle name="Comma 4 2 7 3" xfId="3142"/>
    <cellStyle name="Comma 4 2 7 3 2" xfId="8534"/>
    <cellStyle name="Comma 4 2 7 4" xfId="3143"/>
    <cellStyle name="Comma 4 2 7 4 2" xfId="8535"/>
    <cellStyle name="Comma 4 2 7 5" xfId="3144"/>
    <cellStyle name="Comma 4 2 7 5 2" xfId="8536"/>
    <cellStyle name="Comma 4 2 7 6" xfId="3145"/>
    <cellStyle name="Comma 4 2 7 6 2" xfId="8537"/>
    <cellStyle name="Comma 4 2 7 7" xfId="3146"/>
    <cellStyle name="Comma 4 2 7 7 2" xfId="8538"/>
    <cellStyle name="Comma 4 2 7 8" xfId="3147"/>
    <cellStyle name="Comma 4 2 7 8 2" xfId="8539"/>
    <cellStyle name="Comma 4 2 7 9" xfId="3148"/>
    <cellStyle name="Comma 4 2 7 9 2" xfId="8540"/>
    <cellStyle name="Comma 4 2 8" xfId="3149"/>
    <cellStyle name="Comma 4 2 8 10" xfId="3150"/>
    <cellStyle name="Comma 4 2 8 10 2" xfId="8542"/>
    <cellStyle name="Comma 4 2 8 11" xfId="3151"/>
    <cellStyle name="Comma 4 2 8 11 2" xfId="8543"/>
    <cellStyle name="Comma 4 2 8 12" xfId="3152"/>
    <cellStyle name="Comma 4 2 8 12 2" xfId="8544"/>
    <cellStyle name="Comma 4 2 8 13" xfId="8541"/>
    <cellStyle name="Comma 4 2 8 2" xfId="3153"/>
    <cellStyle name="Comma 4 2 8 2 2" xfId="8545"/>
    <cellStyle name="Comma 4 2 8 3" xfId="3154"/>
    <cellStyle name="Comma 4 2 8 3 2" xfId="8546"/>
    <cellStyle name="Comma 4 2 8 4" xfId="3155"/>
    <cellStyle name="Comma 4 2 8 4 2" xfId="8547"/>
    <cellStyle name="Comma 4 2 8 5" xfId="3156"/>
    <cellStyle name="Comma 4 2 8 5 2" xfId="8548"/>
    <cellStyle name="Comma 4 2 8 6" xfId="3157"/>
    <cellStyle name="Comma 4 2 8 6 2" xfId="8549"/>
    <cellStyle name="Comma 4 2 8 7" xfId="3158"/>
    <cellStyle name="Comma 4 2 8 7 2" xfId="8550"/>
    <cellStyle name="Comma 4 2 8 8" xfId="3159"/>
    <cellStyle name="Comma 4 2 8 8 2" xfId="8551"/>
    <cellStyle name="Comma 4 2 8 9" xfId="3160"/>
    <cellStyle name="Comma 4 2 8 9 2" xfId="8552"/>
    <cellStyle name="Comma 4 2 9" xfId="3161"/>
    <cellStyle name="Comma 4 2 9 10" xfId="3162"/>
    <cellStyle name="Comma 4 2 9 10 2" xfId="8554"/>
    <cellStyle name="Comma 4 2 9 11" xfId="3163"/>
    <cellStyle name="Comma 4 2 9 11 2" xfId="8555"/>
    <cellStyle name="Comma 4 2 9 12" xfId="3164"/>
    <cellStyle name="Comma 4 2 9 12 2" xfId="8556"/>
    <cellStyle name="Comma 4 2 9 13" xfId="8553"/>
    <cellStyle name="Comma 4 2 9 2" xfId="3165"/>
    <cellStyle name="Comma 4 2 9 2 2" xfId="8557"/>
    <cellStyle name="Comma 4 2 9 3" xfId="3166"/>
    <cellStyle name="Comma 4 2 9 3 2" xfId="8558"/>
    <cellStyle name="Comma 4 2 9 4" xfId="3167"/>
    <cellStyle name="Comma 4 2 9 4 2" xfId="8559"/>
    <cellStyle name="Comma 4 2 9 5" xfId="3168"/>
    <cellStyle name="Comma 4 2 9 5 2" xfId="8560"/>
    <cellStyle name="Comma 4 2 9 6" xfId="3169"/>
    <cellStyle name="Comma 4 2 9 6 2" xfId="8561"/>
    <cellStyle name="Comma 4 2 9 7" xfId="3170"/>
    <cellStyle name="Comma 4 2 9 7 2" xfId="8562"/>
    <cellStyle name="Comma 4 2 9 8" xfId="3171"/>
    <cellStyle name="Comma 4 2 9 8 2" xfId="8563"/>
    <cellStyle name="Comma 4 2 9 9" xfId="3172"/>
    <cellStyle name="Comma 4 2 9 9 2" xfId="8564"/>
    <cellStyle name="Comma 4 20" xfId="3173"/>
    <cellStyle name="Comma 4 20 2" xfId="8565"/>
    <cellStyle name="Comma 4 21" xfId="3174"/>
    <cellStyle name="Comma 4 21 2" xfId="8566"/>
    <cellStyle name="Comma 4 22" xfId="3175"/>
    <cellStyle name="Comma 4 22 2" xfId="8567"/>
    <cellStyle name="Comma 4 23" xfId="3176"/>
    <cellStyle name="Comma 4 23 2" xfId="8568"/>
    <cellStyle name="Comma 4 24" xfId="3177"/>
    <cellStyle name="Comma 4 24 2" xfId="8569"/>
    <cellStyle name="Comma 4 25" xfId="8378"/>
    <cellStyle name="Comma 4 3" xfId="3178"/>
    <cellStyle name="Comma 4 3 10" xfId="3179"/>
    <cellStyle name="Comma 4 3 10 2" xfId="8571"/>
    <cellStyle name="Comma 4 3 11" xfId="3180"/>
    <cellStyle name="Comma 4 3 11 2" xfId="8572"/>
    <cellStyle name="Comma 4 3 12" xfId="3181"/>
    <cellStyle name="Comma 4 3 12 2" xfId="8573"/>
    <cellStyle name="Comma 4 3 13" xfId="3182"/>
    <cellStyle name="Comma 4 3 13 2" xfId="8574"/>
    <cellStyle name="Comma 4 3 14" xfId="3183"/>
    <cellStyle name="Comma 4 3 14 2" xfId="8575"/>
    <cellStyle name="Comma 4 3 15" xfId="8570"/>
    <cellStyle name="Comma 4 3 2" xfId="3184"/>
    <cellStyle name="Comma 4 3 2 2" xfId="8576"/>
    <cellStyle name="Comma 4 3 3" xfId="3185"/>
    <cellStyle name="Comma 4 3 3 10" xfId="3186"/>
    <cellStyle name="Comma 4 3 3 10 2" xfId="8578"/>
    <cellStyle name="Comma 4 3 3 11" xfId="3187"/>
    <cellStyle name="Comma 4 3 3 11 2" xfId="8579"/>
    <cellStyle name="Comma 4 3 3 12" xfId="3188"/>
    <cellStyle name="Comma 4 3 3 12 2" xfId="8580"/>
    <cellStyle name="Comma 4 3 3 13" xfId="8577"/>
    <cellStyle name="Comma 4 3 3 2" xfId="3189"/>
    <cellStyle name="Comma 4 3 3 2 2" xfId="8581"/>
    <cellStyle name="Comma 4 3 3 3" xfId="3190"/>
    <cellStyle name="Comma 4 3 3 3 2" xfId="8582"/>
    <cellStyle name="Comma 4 3 3 4" xfId="3191"/>
    <cellStyle name="Comma 4 3 3 4 2" xfId="8583"/>
    <cellStyle name="Comma 4 3 3 5" xfId="3192"/>
    <cellStyle name="Comma 4 3 3 5 2" xfId="8584"/>
    <cellStyle name="Comma 4 3 3 6" xfId="3193"/>
    <cellStyle name="Comma 4 3 3 6 2" xfId="8585"/>
    <cellStyle name="Comma 4 3 3 7" xfId="3194"/>
    <cellStyle name="Comma 4 3 3 7 2" xfId="8586"/>
    <cellStyle name="Comma 4 3 3 8" xfId="3195"/>
    <cellStyle name="Comma 4 3 3 8 2" xfId="8587"/>
    <cellStyle name="Comma 4 3 3 9" xfId="3196"/>
    <cellStyle name="Comma 4 3 3 9 2" xfId="8588"/>
    <cellStyle name="Comma 4 3 4" xfId="3197"/>
    <cellStyle name="Comma 4 3 4 2" xfId="8589"/>
    <cellStyle name="Comma 4 3 5" xfId="3198"/>
    <cellStyle name="Comma 4 3 5 2" xfId="8590"/>
    <cellStyle name="Comma 4 3 6" xfId="3199"/>
    <cellStyle name="Comma 4 3 6 2" xfId="8591"/>
    <cellStyle name="Comma 4 3 7" xfId="3200"/>
    <cellStyle name="Comma 4 3 7 2" xfId="8592"/>
    <cellStyle name="Comma 4 3 8" xfId="3201"/>
    <cellStyle name="Comma 4 3 8 2" xfId="8593"/>
    <cellStyle name="Comma 4 3 9" xfId="3202"/>
    <cellStyle name="Comma 4 3 9 2" xfId="8594"/>
    <cellStyle name="Comma 4 4" xfId="3203"/>
    <cellStyle name="Comma 4 4 10" xfId="3204"/>
    <cellStyle name="Comma 4 4 10 2" xfId="8596"/>
    <cellStyle name="Comma 4 4 11" xfId="3205"/>
    <cellStyle name="Comma 4 4 11 2" xfId="8597"/>
    <cellStyle name="Comma 4 4 12" xfId="3206"/>
    <cellStyle name="Comma 4 4 12 2" xfId="8598"/>
    <cellStyle name="Comma 4 4 13" xfId="8595"/>
    <cellStyle name="Comma 4 4 2" xfId="3207"/>
    <cellStyle name="Comma 4 4 2 2" xfId="8599"/>
    <cellStyle name="Comma 4 4 3" xfId="3208"/>
    <cellStyle name="Comma 4 4 3 2" xfId="8600"/>
    <cellStyle name="Comma 4 4 4" xfId="3209"/>
    <cellStyle name="Comma 4 4 4 2" xfId="8601"/>
    <cellStyle name="Comma 4 4 5" xfId="3210"/>
    <cellStyle name="Comma 4 4 5 2" xfId="8602"/>
    <cellStyle name="Comma 4 4 6" xfId="3211"/>
    <cellStyle name="Comma 4 4 6 2" xfId="8603"/>
    <cellStyle name="Comma 4 4 7" xfId="3212"/>
    <cellStyle name="Comma 4 4 7 2" xfId="8604"/>
    <cellStyle name="Comma 4 4 8" xfId="3213"/>
    <cellStyle name="Comma 4 4 8 2" xfId="8605"/>
    <cellStyle name="Comma 4 4 9" xfId="3214"/>
    <cellStyle name="Comma 4 4 9 2" xfId="8606"/>
    <cellStyle name="Comma 4 5" xfId="3215"/>
    <cellStyle name="Comma 4 5 10" xfId="3216"/>
    <cellStyle name="Comma 4 5 10 2" xfId="8608"/>
    <cellStyle name="Comma 4 5 11" xfId="3217"/>
    <cellStyle name="Comma 4 5 11 2" xfId="8609"/>
    <cellStyle name="Comma 4 5 12" xfId="3218"/>
    <cellStyle name="Comma 4 5 12 2" xfId="8610"/>
    <cellStyle name="Comma 4 5 13" xfId="8607"/>
    <cellStyle name="Comma 4 5 2" xfId="3219"/>
    <cellStyle name="Comma 4 5 2 2" xfId="8611"/>
    <cellStyle name="Comma 4 5 3" xfId="3220"/>
    <cellStyle name="Comma 4 5 3 2" xfId="8612"/>
    <cellStyle name="Comma 4 5 4" xfId="3221"/>
    <cellStyle name="Comma 4 5 4 2" xfId="8613"/>
    <cellStyle name="Comma 4 5 5" xfId="3222"/>
    <cellStyle name="Comma 4 5 5 2" xfId="8614"/>
    <cellStyle name="Comma 4 5 6" xfId="3223"/>
    <cellStyle name="Comma 4 5 6 2" xfId="8615"/>
    <cellStyle name="Comma 4 5 7" xfId="3224"/>
    <cellStyle name="Comma 4 5 7 2" xfId="8616"/>
    <cellStyle name="Comma 4 5 8" xfId="3225"/>
    <cellStyle name="Comma 4 5 8 2" xfId="8617"/>
    <cellStyle name="Comma 4 5 9" xfId="3226"/>
    <cellStyle name="Comma 4 5 9 2" xfId="8618"/>
    <cellStyle name="Comma 4 6" xfId="3227"/>
    <cellStyle name="Comma 4 6 10" xfId="3228"/>
    <cellStyle name="Comma 4 6 10 2" xfId="8620"/>
    <cellStyle name="Comma 4 6 11" xfId="3229"/>
    <cellStyle name="Comma 4 6 11 2" xfId="8621"/>
    <cellStyle name="Comma 4 6 12" xfId="3230"/>
    <cellStyle name="Comma 4 6 12 2" xfId="8622"/>
    <cellStyle name="Comma 4 6 13" xfId="3231"/>
    <cellStyle name="Comma 4 6 13 2" xfId="8623"/>
    <cellStyle name="Comma 4 6 14" xfId="3232"/>
    <cellStyle name="Comma 4 6 14 2" xfId="8624"/>
    <cellStyle name="Comma 4 6 15" xfId="8619"/>
    <cellStyle name="Comma 4 6 2" xfId="3233"/>
    <cellStyle name="Comma 4 6 2 10" xfId="3234"/>
    <cellStyle name="Comma 4 6 2 10 2" xfId="8626"/>
    <cellStyle name="Comma 4 6 2 11" xfId="3235"/>
    <cellStyle name="Comma 4 6 2 11 2" xfId="8627"/>
    <cellStyle name="Comma 4 6 2 12" xfId="3236"/>
    <cellStyle name="Comma 4 6 2 12 2" xfId="8628"/>
    <cellStyle name="Comma 4 6 2 13" xfId="8625"/>
    <cellStyle name="Comma 4 6 2 2" xfId="3237"/>
    <cellStyle name="Comma 4 6 2 2 2" xfId="8629"/>
    <cellStyle name="Comma 4 6 2 3" xfId="3238"/>
    <cellStyle name="Comma 4 6 2 3 2" xfId="8630"/>
    <cellStyle name="Comma 4 6 2 4" xfId="3239"/>
    <cellStyle name="Comma 4 6 2 4 2" xfId="8631"/>
    <cellStyle name="Comma 4 6 2 5" xfId="3240"/>
    <cellStyle name="Comma 4 6 2 5 2" xfId="8632"/>
    <cellStyle name="Comma 4 6 2 6" xfId="3241"/>
    <cellStyle name="Comma 4 6 2 6 2" xfId="8633"/>
    <cellStyle name="Comma 4 6 2 7" xfId="3242"/>
    <cellStyle name="Comma 4 6 2 7 2" xfId="8634"/>
    <cellStyle name="Comma 4 6 2 8" xfId="3243"/>
    <cellStyle name="Comma 4 6 2 8 2" xfId="8635"/>
    <cellStyle name="Comma 4 6 2 9" xfId="3244"/>
    <cellStyle name="Comma 4 6 2 9 2" xfId="8636"/>
    <cellStyle name="Comma 4 6 3" xfId="3245"/>
    <cellStyle name="Comma 4 6 3 10" xfId="3246"/>
    <cellStyle name="Comma 4 6 3 10 2" xfId="8638"/>
    <cellStyle name="Comma 4 6 3 11" xfId="3247"/>
    <cellStyle name="Comma 4 6 3 11 2" xfId="8639"/>
    <cellStyle name="Comma 4 6 3 12" xfId="3248"/>
    <cellStyle name="Comma 4 6 3 12 2" xfId="8640"/>
    <cellStyle name="Comma 4 6 3 13" xfId="8637"/>
    <cellStyle name="Comma 4 6 3 2" xfId="3249"/>
    <cellStyle name="Comma 4 6 3 2 2" xfId="8641"/>
    <cellStyle name="Comma 4 6 3 3" xfId="3250"/>
    <cellStyle name="Comma 4 6 3 3 2" xfId="8642"/>
    <cellStyle name="Comma 4 6 3 4" xfId="3251"/>
    <cellStyle name="Comma 4 6 3 4 2" xfId="8643"/>
    <cellStyle name="Comma 4 6 3 5" xfId="3252"/>
    <cellStyle name="Comma 4 6 3 5 2" xfId="8644"/>
    <cellStyle name="Comma 4 6 3 6" xfId="3253"/>
    <cellStyle name="Comma 4 6 3 6 2" xfId="8645"/>
    <cellStyle name="Comma 4 6 3 7" xfId="3254"/>
    <cellStyle name="Comma 4 6 3 7 2" xfId="8646"/>
    <cellStyle name="Comma 4 6 3 8" xfId="3255"/>
    <cellStyle name="Comma 4 6 3 8 2" xfId="8647"/>
    <cellStyle name="Comma 4 6 3 9" xfId="3256"/>
    <cellStyle name="Comma 4 6 3 9 2" xfId="8648"/>
    <cellStyle name="Comma 4 6 4" xfId="3257"/>
    <cellStyle name="Comma 4 6 4 2" xfId="8649"/>
    <cellStyle name="Comma 4 6 5" xfId="3258"/>
    <cellStyle name="Comma 4 6 5 2" xfId="8650"/>
    <cellStyle name="Comma 4 6 6" xfId="3259"/>
    <cellStyle name="Comma 4 6 6 2" xfId="8651"/>
    <cellStyle name="Comma 4 6 7" xfId="3260"/>
    <cellStyle name="Comma 4 6 7 2" xfId="8652"/>
    <cellStyle name="Comma 4 6 8" xfId="3261"/>
    <cellStyle name="Comma 4 6 8 2" xfId="8653"/>
    <cellStyle name="Comma 4 6 9" xfId="3262"/>
    <cellStyle name="Comma 4 6 9 2" xfId="8654"/>
    <cellStyle name="Comma 4 7" xfId="3263"/>
    <cellStyle name="Comma 4 7 10" xfId="3264"/>
    <cellStyle name="Comma 4 7 10 2" xfId="8656"/>
    <cellStyle name="Comma 4 7 11" xfId="3265"/>
    <cellStyle name="Comma 4 7 11 2" xfId="8657"/>
    <cellStyle name="Comma 4 7 12" xfId="3266"/>
    <cellStyle name="Comma 4 7 12 2" xfId="8658"/>
    <cellStyle name="Comma 4 7 13" xfId="8655"/>
    <cellStyle name="Comma 4 7 2" xfId="3267"/>
    <cellStyle name="Comma 4 7 2 2" xfId="8659"/>
    <cellStyle name="Comma 4 7 3" xfId="3268"/>
    <cellStyle name="Comma 4 7 3 2" xfId="8660"/>
    <cellStyle name="Comma 4 7 4" xfId="3269"/>
    <cellStyle name="Comma 4 7 4 2" xfId="8661"/>
    <cellStyle name="Comma 4 7 5" xfId="3270"/>
    <cellStyle name="Comma 4 7 5 2" xfId="8662"/>
    <cellStyle name="Comma 4 7 6" xfId="3271"/>
    <cellStyle name="Comma 4 7 6 2" xfId="8663"/>
    <cellStyle name="Comma 4 7 7" xfId="3272"/>
    <cellStyle name="Comma 4 7 7 2" xfId="8664"/>
    <cellStyle name="Comma 4 7 8" xfId="3273"/>
    <cellStyle name="Comma 4 7 8 2" xfId="8665"/>
    <cellStyle name="Comma 4 7 9" xfId="3274"/>
    <cellStyle name="Comma 4 7 9 2" xfId="8666"/>
    <cellStyle name="Comma 4 8" xfId="3275"/>
    <cellStyle name="Comma 4 8 10" xfId="3276"/>
    <cellStyle name="Comma 4 8 10 2" xfId="8668"/>
    <cellStyle name="Comma 4 8 11" xfId="3277"/>
    <cellStyle name="Comma 4 8 11 2" xfId="8669"/>
    <cellStyle name="Comma 4 8 12" xfId="3278"/>
    <cellStyle name="Comma 4 8 12 2" xfId="8670"/>
    <cellStyle name="Comma 4 8 13" xfId="8667"/>
    <cellStyle name="Comma 4 8 2" xfId="3279"/>
    <cellStyle name="Comma 4 8 2 2" xfId="8671"/>
    <cellStyle name="Comma 4 8 3" xfId="3280"/>
    <cellStyle name="Comma 4 8 3 2" xfId="8672"/>
    <cellStyle name="Comma 4 8 4" xfId="3281"/>
    <cellStyle name="Comma 4 8 4 2" xfId="8673"/>
    <cellStyle name="Comma 4 8 5" xfId="3282"/>
    <cellStyle name="Comma 4 8 5 2" xfId="8674"/>
    <cellStyle name="Comma 4 8 6" xfId="3283"/>
    <cellStyle name="Comma 4 8 6 2" xfId="8675"/>
    <cellStyle name="Comma 4 8 7" xfId="3284"/>
    <cellStyle name="Comma 4 8 7 2" xfId="8676"/>
    <cellStyle name="Comma 4 8 8" xfId="3285"/>
    <cellStyle name="Comma 4 8 8 2" xfId="8677"/>
    <cellStyle name="Comma 4 8 9" xfId="3286"/>
    <cellStyle name="Comma 4 8 9 2" xfId="8678"/>
    <cellStyle name="Comma 4 9" xfId="3287"/>
    <cellStyle name="Comma 4 9 10" xfId="3288"/>
    <cellStyle name="Comma 4 9 10 2" xfId="8680"/>
    <cellStyle name="Comma 4 9 11" xfId="3289"/>
    <cellStyle name="Comma 4 9 11 2" xfId="8681"/>
    <cellStyle name="Comma 4 9 12" xfId="3290"/>
    <cellStyle name="Comma 4 9 12 2" xfId="8682"/>
    <cellStyle name="Comma 4 9 13" xfId="8679"/>
    <cellStyle name="Comma 4 9 2" xfId="3291"/>
    <cellStyle name="Comma 4 9 2 2" xfId="8683"/>
    <cellStyle name="Comma 4 9 3" xfId="3292"/>
    <cellStyle name="Comma 4 9 3 2" xfId="8684"/>
    <cellStyle name="Comma 4 9 4" xfId="3293"/>
    <cellStyle name="Comma 4 9 4 2" xfId="8685"/>
    <cellStyle name="Comma 4 9 5" xfId="3294"/>
    <cellStyle name="Comma 4 9 5 2" xfId="8686"/>
    <cellStyle name="Comma 4 9 6" xfId="3295"/>
    <cellStyle name="Comma 4 9 6 2" xfId="8687"/>
    <cellStyle name="Comma 4 9 7" xfId="3296"/>
    <cellStyle name="Comma 4 9 7 2" xfId="8688"/>
    <cellStyle name="Comma 4 9 8" xfId="3297"/>
    <cellStyle name="Comma 4 9 8 2" xfId="8689"/>
    <cellStyle name="Comma 4 9 9" xfId="3298"/>
    <cellStyle name="Comma 4 9 9 2" xfId="8690"/>
    <cellStyle name="Comma 44 2" xfId="3299"/>
    <cellStyle name="Comma 44 2 2" xfId="8691"/>
    <cellStyle name="Comma 5" xfId="3300"/>
    <cellStyle name="Comma 5 10" xfId="3301"/>
    <cellStyle name="Comma 5 10 2" xfId="8693"/>
    <cellStyle name="Comma 5 11" xfId="3302"/>
    <cellStyle name="Comma 5 11 2" xfId="8694"/>
    <cellStyle name="Comma 5 12" xfId="3303"/>
    <cellStyle name="Comma 5 12 2" xfId="8695"/>
    <cellStyle name="Comma 5 13" xfId="3304"/>
    <cellStyle name="Comma 5 13 2" xfId="8696"/>
    <cellStyle name="Comma 5 14" xfId="8692"/>
    <cellStyle name="Comma 5 2" xfId="3305"/>
    <cellStyle name="Comma 5 2 2" xfId="3306"/>
    <cellStyle name="Comma 5 2 2 10" xfId="3307"/>
    <cellStyle name="Comma 5 2 2 10 2" xfId="8699"/>
    <cellStyle name="Comma 5 2 2 11" xfId="3308"/>
    <cellStyle name="Comma 5 2 2 11 2" xfId="8700"/>
    <cellStyle name="Comma 5 2 2 12" xfId="3309"/>
    <cellStyle name="Comma 5 2 2 12 2" xfId="8701"/>
    <cellStyle name="Comma 5 2 2 13" xfId="8698"/>
    <cellStyle name="Comma 5 2 2 2" xfId="3310"/>
    <cellStyle name="Comma 5 2 2 2 2" xfId="8702"/>
    <cellStyle name="Comma 5 2 2 3" xfId="3311"/>
    <cellStyle name="Comma 5 2 2 3 2" xfId="8703"/>
    <cellStyle name="Comma 5 2 2 4" xfId="3312"/>
    <cellStyle name="Comma 5 2 2 4 2" xfId="8704"/>
    <cellStyle name="Comma 5 2 2 5" xfId="3313"/>
    <cellStyle name="Comma 5 2 2 5 2" xfId="8705"/>
    <cellStyle name="Comma 5 2 2 6" xfId="3314"/>
    <cellStyle name="Comma 5 2 2 6 2" xfId="8706"/>
    <cellStyle name="Comma 5 2 2 7" xfId="3315"/>
    <cellStyle name="Comma 5 2 2 7 2" xfId="8707"/>
    <cellStyle name="Comma 5 2 2 8" xfId="3316"/>
    <cellStyle name="Comma 5 2 2 8 2" xfId="8708"/>
    <cellStyle name="Comma 5 2 2 9" xfId="3317"/>
    <cellStyle name="Comma 5 2 2 9 2" xfId="8709"/>
    <cellStyle name="Comma 5 2 3" xfId="3318"/>
    <cellStyle name="Comma 5 2 3 10" xfId="3319"/>
    <cellStyle name="Comma 5 2 3 10 2" xfId="8711"/>
    <cellStyle name="Comma 5 2 3 11" xfId="3320"/>
    <cellStyle name="Comma 5 2 3 11 2" xfId="8712"/>
    <cellStyle name="Comma 5 2 3 12" xfId="3321"/>
    <cellStyle name="Comma 5 2 3 12 2" xfId="8713"/>
    <cellStyle name="Comma 5 2 3 13" xfId="8710"/>
    <cellStyle name="Comma 5 2 3 2" xfId="3322"/>
    <cellStyle name="Comma 5 2 3 2 2" xfId="8714"/>
    <cellStyle name="Comma 5 2 3 3" xfId="3323"/>
    <cellStyle name="Comma 5 2 3 3 2" xfId="8715"/>
    <cellStyle name="Comma 5 2 3 4" xfId="3324"/>
    <cellStyle name="Comma 5 2 3 4 2" xfId="8716"/>
    <cellStyle name="Comma 5 2 3 5" xfId="3325"/>
    <cellStyle name="Comma 5 2 3 5 2" xfId="8717"/>
    <cellStyle name="Comma 5 2 3 6" xfId="3326"/>
    <cellStyle name="Comma 5 2 3 6 2" xfId="8718"/>
    <cellStyle name="Comma 5 2 3 7" xfId="3327"/>
    <cellStyle name="Comma 5 2 3 7 2" xfId="8719"/>
    <cellStyle name="Comma 5 2 3 8" xfId="3328"/>
    <cellStyle name="Comma 5 2 3 8 2" xfId="8720"/>
    <cellStyle name="Comma 5 2 3 9" xfId="3329"/>
    <cellStyle name="Comma 5 2 3 9 2" xfId="8721"/>
    <cellStyle name="Comma 5 2 4" xfId="8697"/>
    <cellStyle name="Comma 5 3" xfId="3330"/>
    <cellStyle name="Comma 5 3 10" xfId="3331"/>
    <cellStyle name="Comma 5 3 10 2" xfId="8723"/>
    <cellStyle name="Comma 5 3 11" xfId="3332"/>
    <cellStyle name="Comma 5 3 11 2" xfId="8724"/>
    <cellStyle name="Comma 5 3 12" xfId="3333"/>
    <cellStyle name="Comma 5 3 12 2" xfId="8725"/>
    <cellStyle name="Comma 5 3 13" xfId="8722"/>
    <cellStyle name="Comma 5 3 2" xfId="3334"/>
    <cellStyle name="Comma 5 3 2 2" xfId="8726"/>
    <cellStyle name="Comma 5 3 3" xfId="3335"/>
    <cellStyle name="Comma 5 3 3 2" xfId="8727"/>
    <cellStyle name="Comma 5 3 4" xfId="3336"/>
    <cellStyle name="Comma 5 3 4 2" xfId="8728"/>
    <cellStyle name="Comma 5 3 5" xfId="3337"/>
    <cellStyle name="Comma 5 3 5 2" xfId="8729"/>
    <cellStyle name="Comma 5 3 6" xfId="3338"/>
    <cellStyle name="Comma 5 3 6 2" xfId="8730"/>
    <cellStyle name="Comma 5 3 7" xfId="3339"/>
    <cellStyle name="Comma 5 3 7 2" xfId="8731"/>
    <cellStyle name="Comma 5 3 8" xfId="3340"/>
    <cellStyle name="Comma 5 3 8 2" xfId="8732"/>
    <cellStyle name="Comma 5 3 9" xfId="3341"/>
    <cellStyle name="Comma 5 3 9 2" xfId="8733"/>
    <cellStyle name="Comma 5 4" xfId="3342"/>
    <cellStyle name="Comma 5 4 2" xfId="8734"/>
    <cellStyle name="Comma 5 5" xfId="3343"/>
    <cellStyle name="Comma 5 5 2" xfId="8735"/>
    <cellStyle name="Comma 5 6" xfId="3344"/>
    <cellStyle name="Comma 5 6 2" xfId="8736"/>
    <cellStyle name="Comma 5 7" xfId="3345"/>
    <cellStyle name="Comma 5 7 2" xfId="8737"/>
    <cellStyle name="Comma 5 8" xfId="3346"/>
    <cellStyle name="Comma 5 8 2" xfId="8738"/>
    <cellStyle name="Comma 5 9" xfId="3347"/>
    <cellStyle name="Comma 5 9 2" xfId="8739"/>
    <cellStyle name="Comma 6" xfId="3348"/>
    <cellStyle name="Comma 6 2" xfId="3349"/>
    <cellStyle name="Comma 6 2 10" xfId="3350"/>
    <cellStyle name="Comma 6 2 10 2" xfId="8742"/>
    <cellStyle name="Comma 6 2 11" xfId="3351"/>
    <cellStyle name="Comma 6 2 11 2" xfId="8743"/>
    <cellStyle name="Comma 6 2 12" xfId="3352"/>
    <cellStyle name="Comma 6 2 12 2" xfId="8744"/>
    <cellStyle name="Comma 6 2 13" xfId="8741"/>
    <cellStyle name="Comma 6 2 2" xfId="3353"/>
    <cellStyle name="Comma 6 2 2 2" xfId="8745"/>
    <cellStyle name="Comma 6 2 3" xfId="3354"/>
    <cellStyle name="Comma 6 2 3 2" xfId="8746"/>
    <cellStyle name="Comma 6 2 4" xfId="3355"/>
    <cellStyle name="Comma 6 2 4 2" xfId="8747"/>
    <cellStyle name="Comma 6 2 5" xfId="3356"/>
    <cellStyle name="Comma 6 2 5 2" xfId="8748"/>
    <cellStyle name="Comma 6 2 6" xfId="3357"/>
    <cellStyle name="Comma 6 2 6 2" xfId="8749"/>
    <cellStyle name="Comma 6 2 7" xfId="3358"/>
    <cellStyle name="Comma 6 2 7 2" xfId="8750"/>
    <cellStyle name="Comma 6 2 8" xfId="3359"/>
    <cellStyle name="Comma 6 2 8 2" xfId="8751"/>
    <cellStyle name="Comma 6 2 9" xfId="3360"/>
    <cellStyle name="Comma 6 2 9 2" xfId="8752"/>
    <cellStyle name="Comma 6 3" xfId="3361"/>
    <cellStyle name="Comma 6 3 2" xfId="8753"/>
    <cellStyle name="Comma 6 4" xfId="8740"/>
    <cellStyle name="Comma 7" xfId="3362"/>
    <cellStyle name="Comma 7 10" xfId="3363"/>
    <cellStyle name="Comma 7 10 2" xfId="8755"/>
    <cellStyle name="Comma 7 11" xfId="3364"/>
    <cellStyle name="Comma 7 11 2" xfId="8756"/>
    <cellStyle name="Comma 7 12" xfId="3365"/>
    <cellStyle name="Comma 7 12 2" xfId="8757"/>
    <cellStyle name="Comma 7 13" xfId="3366"/>
    <cellStyle name="Comma 7 13 2" xfId="8758"/>
    <cellStyle name="Comma 7 14" xfId="3367"/>
    <cellStyle name="Comma 7 14 2" xfId="8759"/>
    <cellStyle name="Comma 7 15" xfId="3368"/>
    <cellStyle name="Comma 7 15 2" xfId="8760"/>
    <cellStyle name="Comma 7 16" xfId="8754"/>
    <cellStyle name="Comma 7 2" xfId="3369"/>
    <cellStyle name="Comma 7 2 10" xfId="3370"/>
    <cellStyle name="Comma 7 2 10 2" xfId="8762"/>
    <cellStyle name="Comma 7 2 11" xfId="3371"/>
    <cellStyle name="Comma 7 2 11 2" xfId="8763"/>
    <cellStyle name="Comma 7 2 12" xfId="3372"/>
    <cellStyle name="Comma 7 2 12 2" xfId="8764"/>
    <cellStyle name="Comma 7 2 13" xfId="3373"/>
    <cellStyle name="Comma 7 2 13 2" xfId="8765"/>
    <cellStyle name="Comma 7 2 14" xfId="3374"/>
    <cellStyle name="Comma 7 2 14 2" xfId="8766"/>
    <cellStyle name="Comma 7 2 15" xfId="8761"/>
    <cellStyle name="Comma 7 2 2" xfId="3375"/>
    <cellStyle name="Comma 7 2 2 2" xfId="3376"/>
    <cellStyle name="Comma 7 2 2 2 2" xfId="8768"/>
    <cellStyle name="Comma 7 2 2 3" xfId="8767"/>
    <cellStyle name="Comma 7 2 3" xfId="3377"/>
    <cellStyle name="Comma 7 2 3 10" xfId="3378"/>
    <cellStyle name="Comma 7 2 3 10 2" xfId="8770"/>
    <cellStyle name="Comma 7 2 3 11" xfId="3379"/>
    <cellStyle name="Comma 7 2 3 11 2" xfId="8771"/>
    <cellStyle name="Comma 7 2 3 12" xfId="3380"/>
    <cellStyle name="Comma 7 2 3 12 2" xfId="8772"/>
    <cellStyle name="Comma 7 2 3 13" xfId="8769"/>
    <cellStyle name="Comma 7 2 3 2" xfId="3381"/>
    <cellStyle name="Comma 7 2 3 2 2" xfId="8773"/>
    <cellStyle name="Comma 7 2 3 3" xfId="3382"/>
    <cellStyle name="Comma 7 2 3 3 2" xfId="8774"/>
    <cellStyle name="Comma 7 2 3 4" xfId="3383"/>
    <cellStyle name="Comma 7 2 3 4 2" xfId="8775"/>
    <cellStyle name="Comma 7 2 3 5" xfId="3384"/>
    <cellStyle name="Comma 7 2 3 5 2" xfId="8776"/>
    <cellStyle name="Comma 7 2 3 6" xfId="3385"/>
    <cellStyle name="Comma 7 2 3 6 2" xfId="8777"/>
    <cellStyle name="Comma 7 2 3 7" xfId="3386"/>
    <cellStyle name="Comma 7 2 3 7 2" xfId="8778"/>
    <cellStyle name="Comma 7 2 3 8" xfId="3387"/>
    <cellStyle name="Comma 7 2 3 8 2" xfId="8779"/>
    <cellStyle name="Comma 7 2 3 9" xfId="3388"/>
    <cellStyle name="Comma 7 2 3 9 2" xfId="8780"/>
    <cellStyle name="Comma 7 2 4" xfId="3389"/>
    <cellStyle name="Comma 7 2 4 2" xfId="8781"/>
    <cellStyle name="Comma 7 2 5" xfId="3390"/>
    <cellStyle name="Comma 7 2 5 2" xfId="8782"/>
    <cellStyle name="Comma 7 2 6" xfId="3391"/>
    <cellStyle name="Comma 7 2 6 2" xfId="8783"/>
    <cellStyle name="Comma 7 2 7" xfId="3392"/>
    <cellStyle name="Comma 7 2 7 2" xfId="8784"/>
    <cellStyle name="Comma 7 2 8" xfId="3393"/>
    <cellStyle name="Comma 7 2 8 2" xfId="8785"/>
    <cellStyle name="Comma 7 2 9" xfId="3394"/>
    <cellStyle name="Comma 7 2 9 2" xfId="8786"/>
    <cellStyle name="Comma 7 3" xfId="3395"/>
    <cellStyle name="Comma 7 3 2" xfId="8787"/>
    <cellStyle name="Comma 7 4" xfId="3396"/>
    <cellStyle name="Comma 7 4 2" xfId="8788"/>
    <cellStyle name="Comma 7 5" xfId="3397"/>
    <cellStyle name="Comma 7 5 2" xfId="8789"/>
    <cellStyle name="Comma 7 6" xfId="3398"/>
    <cellStyle name="Comma 7 6 2" xfId="8790"/>
    <cellStyle name="Comma 7 7" xfId="3399"/>
    <cellStyle name="Comma 7 7 2" xfId="8791"/>
    <cellStyle name="Comma 7 8" xfId="3400"/>
    <cellStyle name="Comma 7 8 2" xfId="8792"/>
    <cellStyle name="Comma 7 9" xfId="3401"/>
    <cellStyle name="Comma 7 9 2" xfId="8793"/>
    <cellStyle name="Comma 8" xfId="3402"/>
    <cellStyle name="Comma 8 2" xfId="3403"/>
    <cellStyle name="Comma 8 2 10" xfId="3404"/>
    <cellStyle name="Comma 8 2 10 2" xfId="8796"/>
    <cellStyle name="Comma 8 2 11" xfId="3405"/>
    <cellStyle name="Comma 8 2 11 2" xfId="8797"/>
    <cellStyle name="Comma 8 2 12" xfId="3406"/>
    <cellStyle name="Comma 8 2 12 2" xfId="8798"/>
    <cellStyle name="Comma 8 2 13" xfId="8795"/>
    <cellStyle name="Comma 8 2 2" xfId="3407"/>
    <cellStyle name="Comma 8 2 2 2" xfId="8799"/>
    <cellStyle name="Comma 8 2 3" xfId="3408"/>
    <cellStyle name="Comma 8 2 3 2" xfId="8800"/>
    <cellStyle name="Comma 8 2 4" xfId="3409"/>
    <cellStyle name="Comma 8 2 4 2" xfId="8801"/>
    <cellStyle name="Comma 8 2 5" xfId="3410"/>
    <cellStyle name="Comma 8 2 5 2" xfId="8802"/>
    <cellStyle name="Comma 8 2 6" xfId="3411"/>
    <cellStyle name="Comma 8 2 6 2" xfId="8803"/>
    <cellStyle name="Comma 8 2 7" xfId="3412"/>
    <cellStyle name="Comma 8 2 7 2" xfId="8804"/>
    <cellStyle name="Comma 8 2 8" xfId="3413"/>
    <cellStyle name="Comma 8 2 8 2" xfId="8805"/>
    <cellStyle name="Comma 8 2 9" xfId="3414"/>
    <cellStyle name="Comma 8 2 9 2" xfId="8806"/>
    <cellStyle name="Comma 8 3" xfId="3415"/>
    <cellStyle name="Comma 8 3 2" xfId="8807"/>
    <cellStyle name="Comma 8 4" xfId="8794"/>
    <cellStyle name="Comma 9" xfId="3416"/>
    <cellStyle name="Comma 9 10" xfId="3417"/>
    <cellStyle name="Comma 9 10 2" xfId="8809"/>
    <cellStyle name="Comma 9 11" xfId="3418"/>
    <cellStyle name="Comma 9 11 2" xfId="8810"/>
    <cellStyle name="Comma 9 12" xfId="3419"/>
    <cellStyle name="Comma 9 12 2" xfId="8811"/>
    <cellStyle name="Comma 9 13" xfId="3420"/>
    <cellStyle name="Comma 9 13 2" xfId="8812"/>
    <cellStyle name="Comma 9 14" xfId="8808"/>
    <cellStyle name="Comma 9 2" xfId="3421"/>
    <cellStyle name="Comma 9 2 2" xfId="8813"/>
    <cellStyle name="Comma 9 3" xfId="3422"/>
    <cellStyle name="Comma 9 3 2" xfId="8814"/>
    <cellStyle name="Comma 9 4" xfId="3423"/>
    <cellStyle name="Comma 9 4 2" xfId="8815"/>
    <cellStyle name="Comma 9 5" xfId="3424"/>
    <cellStyle name="Comma 9 5 2" xfId="8816"/>
    <cellStyle name="Comma 9 6" xfId="3425"/>
    <cellStyle name="Comma 9 6 2" xfId="8817"/>
    <cellStyle name="Comma 9 7" xfId="3426"/>
    <cellStyle name="Comma 9 7 2" xfId="8818"/>
    <cellStyle name="Comma 9 8" xfId="3427"/>
    <cellStyle name="Comma 9 8 2" xfId="8819"/>
    <cellStyle name="Comma 9 9" xfId="3428"/>
    <cellStyle name="Comma 9 9 2" xfId="8820"/>
    <cellStyle name="Comma0" xfId="3429"/>
    <cellStyle name="Currency" xfId="9002" builtinId="4"/>
    <cellStyle name="Currency (0.00)" xfId="3430"/>
    <cellStyle name="Currency (0.00) 2" xfId="3431"/>
    <cellStyle name="Currency (0.00) 3" xfId="3432"/>
    <cellStyle name="Currency [00]" xfId="3433"/>
    <cellStyle name="Currency [00] 2" xfId="3434"/>
    <cellStyle name="Currency 10" xfId="3435"/>
    <cellStyle name="Currency 2" xfId="3436"/>
    <cellStyle name="Currency 2 2" xfId="3437"/>
    <cellStyle name="Currency 2 2 10" xfId="3438"/>
    <cellStyle name="Currency 2 2 11" xfId="3439"/>
    <cellStyle name="Currency 2 2 12" xfId="3440"/>
    <cellStyle name="Currency 2 2 2" xfId="3441"/>
    <cellStyle name="Currency 2 2 3" xfId="3442"/>
    <cellStyle name="Currency 2 2 4" xfId="3443"/>
    <cellStyle name="Currency 2 2 5" xfId="3444"/>
    <cellStyle name="Currency 2 2 6" xfId="3445"/>
    <cellStyle name="Currency 2 2 7" xfId="3446"/>
    <cellStyle name="Currency 2 2 8" xfId="3447"/>
    <cellStyle name="Currency 2 2 9" xfId="3448"/>
    <cellStyle name="Currency 2 3" xfId="3449"/>
    <cellStyle name="Currency 2 3 2" xfId="8821"/>
    <cellStyle name="Currency 3" xfId="3450"/>
    <cellStyle name="Currency 3 2" xfId="8822"/>
    <cellStyle name="Currency0" xfId="3451"/>
    <cellStyle name="Date" xfId="3452"/>
    <cellStyle name="Date Short" xfId="3453"/>
    <cellStyle name="Dezimal [0]_Compiling Utility Macros" xfId="3454"/>
    <cellStyle name="Dezimal_Compiling Utility Macros" xfId="3455"/>
    <cellStyle name="Enter Currency (0)" xfId="3456"/>
    <cellStyle name="Enter Currency (0) 2" xfId="3457"/>
    <cellStyle name="Enter Currency (2)" xfId="3458"/>
    <cellStyle name="Enter Currency (2) 2" xfId="3459"/>
    <cellStyle name="Enter Units (0)" xfId="3460"/>
    <cellStyle name="Enter Units (0) 2" xfId="3461"/>
    <cellStyle name="Enter Units (1)" xfId="3462"/>
    <cellStyle name="Enter Units (1) 2" xfId="3463"/>
    <cellStyle name="Enter Units (2)" xfId="3464"/>
    <cellStyle name="Enter Units (2) 2" xfId="3465"/>
    <cellStyle name="Excel_BuiltIn_Comma 1" xfId="3466"/>
    <cellStyle name="Explanatory Text 10" xfId="3467"/>
    <cellStyle name="Explanatory Text 11" xfId="3468"/>
    <cellStyle name="Explanatory Text 12" xfId="3469"/>
    <cellStyle name="Explanatory Text 13" xfId="3470"/>
    <cellStyle name="Explanatory Text 14" xfId="3471"/>
    <cellStyle name="Explanatory Text 15" xfId="3472"/>
    <cellStyle name="Explanatory Text 16" xfId="3473"/>
    <cellStyle name="Explanatory Text 17" xfId="3474"/>
    <cellStyle name="Explanatory Text 18" xfId="3475"/>
    <cellStyle name="Explanatory Text 19" xfId="3476"/>
    <cellStyle name="Explanatory Text 2" xfId="3477"/>
    <cellStyle name="Explanatory Text 2 2" xfId="3478"/>
    <cellStyle name="Explanatory Text 2 3" xfId="3479"/>
    <cellStyle name="Explanatory Text 2 4" xfId="3480"/>
    <cellStyle name="Explanatory Text 2 5" xfId="3481"/>
    <cellStyle name="Explanatory Text 2_MPP new" xfId="3482"/>
    <cellStyle name="Explanatory Text 20" xfId="3483"/>
    <cellStyle name="Explanatory Text 21" xfId="3484"/>
    <cellStyle name="Explanatory Text 3" xfId="3485"/>
    <cellStyle name="Explanatory Text 4" xfId="3486"/>
    <cellStyle name="Explanatory Text 5" xfId="3487"/>
    <cellStyle name="Explanatory Text 6" xfId="3488"/>
    <cellStyle name="Explanatory Text 7" xfId="3489"/>
    <cellStyle name="Explanatory Text 8" xfId="3490"/>
    <cellStyle name="Explanatory Text 9" xfId="3491"/>
    <cellStyle name="Fixed" xfId="3492"/>
    <cellStyle name="Good 10" xfId="3493"/>
    <cellStyle name="Good 11" xfId="3494"/>
    <cellStyle name="Good 12" xfId="3495"/>
    <cellStyle name="Good 13" xfId="3496"/>
    <cellStyle name="Good 14" xfId="3497"/>
    <cellStyle name="Good 15" xfId="3498"/>
    <cellStyle name="Good 16" xfId="3499"/>
    <cellStyle name="Good 17" xfId="3500"/>
    <cellStyle name="Good 18" xfId="3501"/>
    <cellStyle name="Good 19" xfId="3502"/>
    <cellStyle name="Good 2" xfId="3503"/>
    <cellStyle name="Good 2 2" xfId="3504"/>
    <cellStyle name="Good 2 3" xfId="3505"/>
    <cellStyle name="Good 2 4" xfId="3506"/>
    <cellStyle name="Good 2 5" xfId="3507"/>
    <cellStyle name="Good 2_MPP new" xfId="3508"/>
    <cellStyle name="Good 20" xfId="3509"/>
    <cellStyle name="Good 21" xfId="3510"/>
    <cellStyle name="Good 3" xfId="3511"/>
    <cellStyle name="Good 4" xfId="3512"/>
    <cellStyle name="Good 5" xfId="3513"/>
    <cellStyle name="Good 6" xfId="3514"/>
    <cellStyle name="Good 7" xfId="3515"/>
    <cellStyle name="Good 8" xfId="3516"/>
    <cellStyle name="Good 9" xfId="3517"/>
    <cellStyle name="Grey" xfId="3518"/>
    <cellStyle name="header" xfId="3519"/>
    <cellStyle name="Header1" xfId="3520"/>
    <cellStyle name="Header2" xfId="3521"/>
    <cellStyle name="Header2 2" xfId="3522"/>
    <cellStyle name="Header2 3" xfId="3523"/>
    <cellStyle name="Header2 4" xfId="3524"/>
    <cellStyle name="Header2 5" xfId="3525"/>
    <cellStyle name="Header2 6" xfId="3526"/>
    <cellStyle name="Heading 1 10" xfId="3527"/>
    <cellStyle name="Heading 1 11" xfId="3528"/>
    <cellStyle name="Heading 1 12" xfId="3529"/>
    <cellStyle name="Heading 1 13" xfId="3530"/>
    <cellStyle name="Heading 1 14" xfId="3531"/>
    <cellStyle name="Heading 1 15" xfId="3532"/>
    <cellStyle name="Heading 1 16" xfId="3533"/>
    <cellStyle name="Heading 1 17" xfId="3534"/>
    <cellStyle name="Heading 1 18" xfId="3535"/>
    <cellStyle name="Heading 1 19" xfId="3536"/>
    <cellStyle name="Heading 1 2" xfId="3537"/>
    <cellStyle name="Heading 1 2 10" xfId="3538"/>
    <cellStyle name="Heading 1 2 11" xfId="3539"/>
    <cellStyle name="Heading 1 2 2" xfId="3540"/>
    <cellStyle name="Heading 1 2 3" xfId="3541"/>
    <cellStyle name="Heading 1 2 4" xfId="3542"/>
    <cellStyle name="Heading 1 2 5" xfId="3543"/>
    <cellStyle name="Heading 1 2 6" xfId="3544"/>
    <cellStyle name="Heading 1 2 7" xfId="3545"/>
    <cellStyle name="Heading 1 2 8" xfId="3546"/>
    <cellStyle name="Heading 1 2 9" xfId="3547"/>
    <cellStyle name="Heading 1 2_MPP new" xfId="3548"/>
    <cellStyle name="Heading 1 20" xfId="3549"/>
    <cellStyle name="Heading 1 21" xfId="3550"/>
    <cellStyle name="Heading 1 3" xfId="3551"/>
    <cellStyle name="Heading 1 4" xfId="3552"/>
    <cellStyle name="Heading 1 5" xfId="3553"/>
    <cellStyle name="Heading 1 6" xfId="3554"/>
    <cellStyle name="Heading 1 7" xfId="3555"/>
    <cellStyle name="Heading 1 8" xfId="3556"/>
    <cellStyle name="Heading 1 9" xfId="3557"/>
    <cellStyle name="Heading 2 10" xfId="3558"/>
    <cellStyle name="Heading 2 11" xfId="3559"/>
    <cellStyle name="Heading 2 12" xfId="3560"/>
    <cellStyle name="Heading 2 13" xfId="3561"/>
    <cellStyle name="Heading 2 14" xfId="3562"/>
    <cellStyle name="Heading 2 15" xfId="3563"/>
    <cellStyle name="Heading 2 16" xfId="3564"/>
    <cellStyle name="Heading 2 17" xfId="3565"/>
    <cellStyle name="Heading 2 18" xfId="3566"/>
    <cellStyle name="Heading 2 19" xfId="3567"/>
    <cellStyle name="Heading 2 2" xfId="3568"/>
    <cellStyle name="Heading 2 2 10" xfId="3569"/>
    <cellStyle name="Heading 2 2 11" xfId="3570"/>
    <cellStyle name="Heading 2 2 2" xfId="3571"/>
    <cellStyle name="Heading 2 2 3" xfId="3572"/>
    <cellStyle name="Heading 2 2 4" xfId="3573"/>
    <cellStyle name="Heading 2 2 5" xfId="3574"/>
    <cellStyle name="Heading 2 2 6" xfId="3575"/>
    <cellStyle name="Heading 2 2 7" xfId="3576"/>
    <cellStyle name="Heading 2 2 8" xfId="3577"/>
    <cellStyle name="Heading 2 2 9" xfId="3578"/>
    <cellStyle name="Heading 2 2_MPP new" xfId="3579"/>
    <cellStyle name="Heading 2 20" xfId="3580"/>
    <cellStyle name="Heading 2 21" xfId="3581"/>
    <cellStyle name="Heading 2 3" xfId="3582"/>
    <cellStyle name="Heading 2 4" xfId="3583"/>
    <cellStyle name="Heading 2 5" xfId="3584"/>
    <cellStyle name="Heading 2 6" xfId="3585"/>
    <cellStyle name="Heading 2 7" xfId="3586"/>
    <cellStyle name="Heading 2 8" xfId="3587"/>
    <cellStyle name="Heading 2 9" xfId="3588"/>
    <cellStyle name="Heading 3 10" xfId="3589"/>
    <cellStyle name="Heading 3 11" xfId="3590"/>
    <cellStyle name="Heading 3 12" xfId="3591"/>
    <cellStyle name="Heading 3 13" xfId="3592"/>
    <cellStyle name="Heading 3 14" xfId="3593"/>
    <cellStyle name="Heading 3 15" xfId="3594"/>
    <cellStyle name="Heading 3 16" xfId="3595"/>
    <cellStyle name="Heading 3 17" xfId="3596"/>
    <cellStyle name="Heading 3 18" xfId="3597"/>
    <cellStyle name="Heading 3 19" xfId="3598"/>
    <cellStyle name="Heading 3 2" xfId="3599"/>
    <cellStyle name="Heading 3 2 10" xfId="3600"/>
    <cellStyle name="Heading 3 2 11" xfId="3601"/>
    <cellStyle name="Heading 3 2 2" xfId="3602"/>
    <cellStyle name="Heading 3 2 3" xfId="3603"/>
    <cellStyle name="Heading 3 2 4" xfId="3604"/>
    <cellStyle name="Heading 3 2 5" xfId="3605"/>
    <cellStyle name="Heading 3 2 6" xfId="3606"/>
    <cellStyle name="Heading 3 2 7" xfId="3607"/>
    <cellStyle name="Heading 3 2 8" xfId="3608"/>
    <cellStyle name="Heading 3 2 9" xfId="3609"/>
    <cellStyle name="Heading 3 2_MPP new" xfId="3610"/>
    <cellStyle name="Heading 3 20" xfId="3611"/>
    <cellStyle name="Heading 3 21" xfId="3612"/>
    <cellStyle name="Heading 3 3" xfId="3613"/>
    <cellStyle name="Heading 3 4" xfId="3614"/>
    <cellStyle name="Heading 3 5" xfId="3615"/>
    <cellStyle name="Heading 3 6" xfId="3616"/>
    <cellStyle name="Heading 3 7" xfId="3617"/>
    <cellStyle name="Heading 3 8" xfId="3618"/>
    <cellStyle name="Heading 3 9" xfId="3619"/>
    <cellStyle name="Heading 4 10" xfId="3620"/>
    <cellStyle name="Heading 4 11" xfId="3621"/>
    <cellStyle name="Heading 4 12" xfId="3622"/>
    <cellStyle name="Heading 4 13" xfId="3623"/>
    <cellStyle name="Heading 4 14" xfId="3624"/>
    <cellStyle name="Heading 4 15" xfId="3625"/>
    <cellStyle name="Heading 4 16" xfId="3626"/>
    <cellStyle name="Heading 4 17" xfId="3627"/>
    <cellStyle name="Heading 4 18" xfId="3628"/>
    <cellStyle name="Heading 4 19" xfId="3629"/>
    <cellStyle name="Heading 4 2" xfId="3630"/>
    <cellStyle name="Heading 4 2 10" xfId="3631"/>
    <cellStyle name="Heading 4 2 11" xfId="3632"/>
    <cellStyle name="Heading 4 2 2" xfId="3633"/>
    <cellStyle name="Heading 4 2 3" xfId="3634"/>
    <cellStyle name="Heading 4 2 4" xfId="3635"/>
    <cellStyle name="Heading 4 2 5" xfId="3636"/>
    <cellStyle name="Heading 4 2 6" xfId="3637"/>
    <cellStyle name="Heading 4 2 7" xfId="3638"/>
    <cellStyle name="Heading 4 2 8" xfId="3639"/>
    <cellStyle name="Heading 4 2 9" xfId="3640"/>
    <cellStyle name="Heading 4 2_MPP new" xfId="3641"/>
    <cellStyle name="Heading 4 20" xfId="3642"/>
    <cellStyle name="Heading 4 21" xfId="3643"/>
    <cellStyle name="Heading 4 3" xfId="3644"/>
    <cellStyle name="Heading 4 4" xfId="3645"/>
    <cellStyle name="Heading 4 5" xfId="3646"/>
    <cellStyle name="Heading 4 6" xfId="3647"/>
    <cellStyle name="Heading 4 7" xfId="3648"/>
    <cellStyle name="Heading 4 8" xfId="3649"/>
    <cellStyle name="Heading 4 9" xfId="3650"/>
    <cellStyle name="Hyperlink" xfId="3" builtinId="8"/>
    <cellStyle name="Hyperlink 2" xfId="3651"/>
    <cellStyle name="Input [yellow]" xfId="3652"/>
    <cellStyle name="Input [yellow] 2" xfId="3653"/>
    <cellStyle name="Input [yellow] 3" xfId="3654"/>
    <cellStyle name="Input 10" xfId="3655"/>
    <cellStyle name="Input 11" xfId="3656"/>
    <cellStyle name="Input 12" xfId="3657"/>
    <cellStyle name="Input 13" xfId="3658"/>
    <cellStyle name="Input 14" xfId="3659"/>
    <cellStyle name="Input 15" xfId="3660"/>
    <cellStyle name="Input 16" xfId="3661"/>
    <cellStyle name="Input 17" xfId="3662"/>
    <cellStyle name="Input 18" xfId="3663"/>
    <cellStyle name="Input 19" xfId="3664"/>
    <cellStyle name="Input 2" xfId="3665"/>
    <cellStyle name="Input 2 2" xfId="3666"/>
    <cellStyle name="Input 2 3" xfId="3667"/>
    <cellStyle name="Input 2 4" xfId="3668"/>
    <cellStyle name="Input 2 5" xfId="3669"/>
    <cellStyle name="Input 2_MPP new" xfId="3670"/>
    <cellStyle name="Input 20" xfId="3671"/>
    <cellStyle name="Input 21" xfId="3672"/>
    <cellStyle name="Input 3" xfId="3673"/>
    <cellStyle name="Input 3 2" xfId="3674"/>
    <cellStyle name="Input 4" xfId="3675"/>
    <cellStyle name="Input 4 2" xfId="3676"/>
    <cellStyle name="Input 5" xfId="3677"/>
    <cellStyle name="Input 5 2" xfId="3678"/>
    <cellStyle name="Input 6" xfId="3679"/>
    <cellStyle name="Input 6 2" xfId="3680"/>
    <cellStyle name="Input 7" xfId="3681"/>
    <cellStyle name="Input 8" xfId="3682"/>
    <cellStyle name="Input 9" xfId="3683"/>
    <cellStyle name="Link Currency (0)" xfId="3684"/>
    <cellStyle name="Link Currency (0) 2" xfId="3685"/>
    <cellStyle name="Link Currency (2)" xfId="3686"/>
    <cellStyle name="Link Currency (2) 2" xfId="3687"/>
    <cellStyle name="Link Units (0)" xfId="3688"/>
    <cellStyle name="Link Units (0) 2" xfId="3689"/>
    <cellStyle name="Link Units (1)" xfId="3690"/>
    <cellStyle name="Link Units (1) 2" xfId="3691"/>
    <cellStyle name="Link Units (2)" xfId="3692"/>
    <cellStyle name="Link Units (2) 2" xfId="3693"/>
    <cellStyle name="Linked Cell 10" xfId="3694"/>
    <cellStyle name="Linked Cell 11" xfId="3695"/>
    <cellStyle name="Linked Cell 12" xfId="3696"/>
    <cellStyle name="Linked Cell 13" xfId="3697"/>
    <cellStyle name="Linked Cell 14" xfId="3698"/>
    <cellStyle name="Linked Cell 15" xfId="3699"/>
    <cellStyle name="Linked Cell 16" xfId="3700"/>
    <cellStyle name="Linked Cell 17" xfId="3701"/>
    <cellStyle name="Linked Cell 18" xfId="3702"/>
    <cellStyle name="Linked Cell 19" xfId="3703"/>
    <cellStyle name="Linked Cell 2" xfId="3704"/>
    <cellStyle name="Linked Cell 2 2" xfId="3705"/>
    <cellStyle name="Linked Cell 2 3" xfId="3706"/>
    <cellStyle name="Linked Cell 2 4" xfId="3707"/>
    <cellStyle name="Linked Cell 2 5" xfId="3708"/>
    <cellStyle name="Linked Cell 2_MPP new" xfId="3709"/>
    <cellStyle name="Linked Cell 20" xfId="3710"/>
    <cellStyle name="Linked Cell 21" xfId="3711"/>
    <cellStyle name="Linked Cell 3" xfId="3712"/>
    <cellStyle name="Linked Cell 4" xfId="3713"/>
    <cellStyle name="Linked Cell 5" xfId="3714"/>
    <cellStyle name="Linked Cell 6" xfId="3715"/>
    <cellStyle name="Linked Cell 7" xfId="3716"/>
    <cellStyle name="Linked Cell 8" xfId="3717"/>
    <cellStyle name="Linked Cell 9" xfId="3718"/>
    <cellStyle name="Neutral 10" xfId="3719"/>
    <cellStyle name="Neutral 11" xfId="3720"/>
    <cellStyle name="Neutral 12" xfId="3721"/>
    <cellStyle name="Neutral 13" xfId="3722"/>
    <cellStyle name="Neutral 14" xfId="3723"/>
    <cellStyle name="Neutral 15" xfId="3724"/>
    <cellStyle name="Neutral 16" xfId="3725"/>
    <cellStyle name="Neutral 17" xfId="3726"/>
    <cellStyle name="Neutral 18" xfId="3727"/>
    <cellStyle name="Neutral 19" xfId="3728"/>
    <cellStyle name="Neutral 2" xfId="3729"/>
    <cellStyle name="Neutral 2 2" xfId="3730"/>
    <cellStyle name="Neutral 2 3" xfId="3731"/>
    <cellStyle name="Neutral 2 4" xfId="3732"/>
    <cellStyle name="Neutral 2 5" xfId="3733"/>
    <cellStyle name="Neutral 2_MPP new" xfId="3734"/>
    <cellStyle name="Neutral 20" xfId="3735"/>
    <cellStyle name="Neutral 21" xfId="3736"/>
    <cellStyle name="Neutral 3" xfId="3737"/>
    <cellStyle name="Neutral 4" xfId="3738"/>
    <cellStyle name="Neutral 5" xfId="3739"/>
    <cellStyle name="Neutral 6" xfId="3740"/>
    <cellStyle name="Neutral 7" xfId="3741"/>
    <cellStyle name="Neutral 8" xfId="3742"/>
    <cellStyle name="Neutral 9" xfId="3743"/>
    <cellStyle name="Normal" xfId="0" builtinId="0"/>
    <cellStyle name="Normal - Style1" xfId="3744"/>
    <cellStyle name="Normal - Style1 2" xfId="3745"/>
    <cellStyle name="Normal 10" xfId="3746"/>
    <cellStyle name="Normal 10 10" xfId="3747"/>
    <cellStyle name="Normal 10 11" xfId="3748"/>
    <cellStyle name="Normal 10 12" xfId="3749"/>
    <cellStyle name="Normal 10 13" xfId="3750"/>
    <cellStyle name="Normal 10 14" xfId="3751"/>
    <cellStyle name="Normal 10 2" xfId="3752"/>
    <cellStyle name="Normal 10 2 10" xfId="3753"/>
    <cellStyle name="Normal 10 2 2" xfId="3754"/>
    <cellStyle name="Normal 10 2 3" xfId="3755"/>
    <cellStyle name="Normal 10 2 4" xfId="3756"/>
    <cellStyle name="Normal 10 2 5" xfId="3757"/>
    <cellStyle name="Normal 10 2 6" xfId="3758"/>
    <cellStyle name="Normal 10 2 7" xfId="3759"/>
    <cellStyle name="Normal 10 2 8" xfId="3760"/>
    <cellStyle name="Normal 10 2 9" xfId="3761"/>
    <cellStyle name="Normal 10 3" xfId="3762"/>
    <cellStyle name="Normal 10 3 10" xfId="3763"/>
    <cellStyle name="Normal 10 3 11" xfId="3764"/>
    <cellStyle name="Normal 10 3 2" xfId="3765"/>
    <cellStyle name="Normal 10 3 2 10" xfId="3766"/>
    <cellStyle name="Normal 10 3 2 11" xfId="3767"/>
    <cellStyle name="Normal 10 3 2 11 2" xfId="3768"/>
    <cellStyle name="Normal 10 3 2 11 2 2" xfId="3769"/>
    <cellStyle name="Normal 10 3 2 11 2 2 2" xfId="3770"/>
    <cellStyle name="Normal 10 3 2 11 2 2 2 2" xfId="3771"/>
    <cellStyle name="Normal 10 3 2 2" xfId="3772"/>
    <cellStyle name="Normal 10 3 2 3" xfId="3773"/>
    <cellStyle name="Normal 10 3 2 4" xfId="3774"/>
    <cellStyle name="Normal 10 3 2 5" xfId="3775"/>
    <cellStyle name="Normal 10 3 2 6" xfId="3776"/>
    <cellStyle name="Normal 10 3 2 7" xfId="3777"/>
    <cellStyle name="Normal 10 3 2 8" xfId="3778"/>
    <cellStyle name="Normal 10 3 2 9" xfId="3779"/>
    <cellStyle name="Normal 10 3 3" xfId="3780"/>
    <cellStyle name="Normal 10 3 4" xfId="3781"/>
    <cellStyle name="Normal 10 3 5" xfId="3782"/>
    <cellStyle name="Normal 10 3 6" xfId="3783"/>
    <cellStyle name="Normal 10 3 7" xfId="3784"/>
    <cellStyle name="Normal 10 3 8" xfId="3785"/>
    <cellStyle name="Normal 10 3 9" xfId="3786"/>
    <cellStyle name="Normal 10 4" xfId="3787"/>
    <cellStyle name="Normal 10 4 10" xfId="3788"/>
    <cellStyle name="Normal 10 4 11" xfId="3789"/>
    <cellStyle name="Normal 10 4 12" xfId="3790"/>
    <cellStyle name="Normal 10 4 12 10" xfId="3791"/>
    <cellStyle name="Normal 10 4 12 11" xfId="3792"/>
    <cellStyle name="Normal 10 4 12 12" xfId="3793"/>
    <cellStyle name="Normal 10 4 12 2" xfId="3794"/>
    <cellStyle name="Normal 10 4 12 3" xfId="3795"/>
    <cellStyle name="Normal 10 4 12 4" xfId="3796"/>
    <cellStyle name="Normal 10 4 12 5" xfId="3797"/>
    <cellStyle name="Normal 10 4 12 6" xfId="3798"/>
    <cellStyle name="Normal 10 4 12 7" xfId="3799"/>
    <cellStyle name="Normal 10 4 12 8" xfId="3800"/>
    <cellStyle name="Normal 10 4 12 9" xfId="3801"/>
    <cellStyle name="Normal 10 4 12_MPP new" xfId="3802"/>
    <cellStyle name="Normal 10 4 13" xfId="3803"/>
    <cellStyle name="Normal 10 4 2" xfId="3804"/>
    <cellStyle name="Normal 10 4 2 10" xfId="3805"/>
    <cellStyle name="Normal 10 4 2 11" xfId="3806"/>
    <cellStyle name="Normal 10 4 2 2" xfId="3807"/>
    <cellStyle name="Normal 10 4 2 2 10" xfId="3808"/>
    <cellStyle name="Normal 10 4 2 2 11" xfId="3809"/>
    <cellStyle name="Normal 10 4 2 2 2" xfId="3810"/>
    <cellStyle name="Normal 10 4 2 2 2 10" xfId="3811"/>
    <cellStyle name="Normal 10 4 2 2 2 11" xfId="3812"/>
    <cellStyle name="Normal 10 4 2 2 2 12" xfId="3813"/>
    <cellStyle name="Normal 10 4 2 2 2 2" xfId="3814"/>
    <cellStyle name="Normal 10 4 2 2 2 2 10" xfId="3815"/>
    <cellStyle name="Normal 10 4 2 2 2 2 2" xfId="3816"/>
    <cellStyle name="Normal 10 4 2 2 2 2 3" xfId="3817"/>
    <cellStyle name="Normal 10 4 2 2 2 2 4" xfId="3818"/>
    <cellStyle name="Normal 10 4 2 2 2 2 5" xfId="3819"/>
    <cellStyle name="Normal 10 4 2 2 2 2 6" xfId="3820"/>
    <cellStyle name="Normal 10 4 2 2 2 2 7" xfId="3821"/>
    <cellStyle name="Normal 10 4 2 2 2 2 8" xfId="3822"/>
    <cellStyle name="Normal 10 4 2 2 2 2 9" xfId="3823"/>
    <cellStyle name="Normal 10 4 2 2 2 3" xfId="3824"/>
    <cellStyle name="Normal 10 4 2 2 2 3 10" xfId="3825"/>
    <cellStyle name="Normal 10 4 2 2 2 3 10 10" xfId="3826"/>
    <cellStyle name="Normal 10 4 2 2 2 3 10 11" xfId="3827"/>
    <cellStyle name="Normal 10 4 2 2 2 3 10 2" xfId="3828"/>
    <cellStyle name="Normal 10 4 2 2 2 3 10 2 10" xfId="3829"/>
    <cellStyle name="Normal 10 4 2 2 2 3 10 2 2" xfId="3830"/>
    <cellStyle name="Normal 10 4 2 2 2 3 10 2 3" xfId="3831"/>
    <cellStyle name="Normal 10 4 2 2 2 3 10 2 4" xfId="3832"/>
    <cellStyle name="Normal 10 4 2 2 2 3 10 2 5" xfId="3833"/>
    <cellStyle name="Normal 10 4 2 2 2 3 10 2 6" xfId="3834"/>
    <cellStyle name="Normal 10 4 2 2 2 3 10 2 7" xfId="3835"/>
    <cellStyle name="Normal 10 4 2 2 2 3 10 2 8" xfId="3836"/>
    <cellStyle name="Normal 10 4 2 2 2 3 10 2 9" xfId="3837"/>
    <cellStyle name="Normal 10 4 2 2 2 3 10 3" xfId="3838"/>
    <cellStyle name="Normal 10 4 2 2 2 3 10 4" xfId="3839"/>
    <cellStyle name="Normal 10 4 2 2 2 3 10 5" xfId="3840"/>
    <cellStyle name="Normal 10 4 2 2 2 3 10 6" xfId="3841"/>
    <cellStyle name="Normal 10 4 2 2 2 3 10 7" xfId="3842"/>
    <cellStyle name="Normal 10 4 2 2 2 3 10 8" xfId="3843"/>
    <cellStyle name="Normal 10 4 2 2 2 3 10 9" xfId="3844"/>
    <cellStyle name="Normal 10 4 2 2 2 3 11" xfId="3845"/>
    <cellStyle name="Normal 10 4 2 2 2 3 12" xfId="3846"/>
    <cellStyle name="Normal 10 4 2 2 2 3 13" xfId="3847"/>
    <cellStyle name="Normal 10 4 2 2 2 3 14" xfId="3848"/>
    <cellStyle name="Normal 10 4 2 2 2 3 15" xfId="3849"/>
    <cellStyle name="Normal 10 4 2 2 2 3 16" xfId="3850"/>
    <cellStyle name="Normal 10 4 2 2 2 3 17" xfId="3851"/>
    <cellStyle name="Normal 10 4 2 2 2 3 18" xfId="3852"/>
    <cellStyle name="Normal 10 4 2 2 2 3 19" xfId="3853"/>
    <cellStyle name="Normal 10 4 2 2 2 3 2" xfId="3854"/>
    <cellStyle name="Normal 10 4 2 2 2 3 2 10" xfId="3855"/>
    <cellStyle name="Normal 10 4 2 2 2 3 2 2" xfId="3856"/>
    <cellStyle name="Normal 10 4 2 2 2 3 2 3" xfId="3857"/>
    <cellStyle name="Normal 10 4 2 2 2 3 2 4" xfId="3858"/>
    <cellStyle name="Normal 10 4 2 2 2 3 2 5" xfId="3859"/>
    <cellStyle name="Normal 10 4 2 2 2 3 2 6" xfId="3860"/>
    <cellStyle name="Normal 10 4 2 2 2 3 2 7" xfId="3861"/>
    <cellStyle name="Normal 10 4 2 2 2 3 2 8" xfId="3862"/>
    <cellStyle name="Normal 10 4 2 2 2 3 2 9" xfId="3863"/>
    <cellStyle name="Normal 10 4 2 2 2 3 3" xfId="3864"/>
    <cellStyle name="Normal 10 4 2 2 2 3 3 10" xfId="3865"/>
    <cellStyle name="Normal 10 4 2 2 2 3 3 2" xfId="3866"/>
    <cellStyle name="Normal 10 4 2 2 2 3 3 3" xfId="3867"/>
    <cellStyle name="Normal 10 4 2 2 2 3 3 4" xfId="3868"/>
    <cellStyle name="Normal 10 4 2 2 2 3 3 5" xfId="3869"/>
    <cellStyle name="Normal 10 4 2 2 2 3 3 6" xfId="3870"/>
    <cellStyle name="Normal 10 4 2 2 2 3 3 7" xfId="3871"/>
    <cellStyle name="Normal 10 4 2 2 2 3 3 8" xfId="3872"/>
    <cellStyle name="Normal 10 4 2 2 2 3 3 9" xfId="3873"/>
    <cellStyle name="Normal 10 4 2 2 2 3 4" xfId="3874"/>
    <cellStyle name="Normal 10 4 2 2 2 3 4 10" xfId="3875"/>
    <cellStyle name="Normal 10 4 2 2 2 3 4 2" xfId="3876"/>
    <cellStyle name="Normal 10 4 2 2 2 3 4 3" xfId="3877"/>
    <cellStyle name="Normal 10 4 2 2 2 3 4 4" xfId="3878"/>
    <cellStyle name="Normal 10 4 2 2 2 3 4 5" xfId="3879"/>
    <cellStyle name="Normal 10 4 2 2 2 3 4 6" xfId="3880"/>
    <cellStyle name="Normal 10 4 2 2 2 3 4 7" xfId="3881"/>
    <cellStyle name="Normal 10 4 2 2 2 3 4 8" xfId="3882"/>
    <cellStyle name="Normal 10 4 2 2 2 3 4 9" xfId="3883"/>
    <cellStyle name="Normal 10 4 2 2 2 3 5" xfId="3884"/>
    <cellStyle name="Normal 10 4 2 2 2 3 5 10" xfId="3885"/>
    <cellStyle name="Normal 10 4 2 2 2 3 5 2" xfId="3886"/>
    <cellStyle name="Normal 10 4 2 2 2 3 5 3" xfId="3887"/>
    <cellStyle name="Normal 10 4 2 2 2 3 5 4" xfId="3888"/>
    <cellStyle name="Normal 10 4 2 2 2 3 5 5" xfId="3889"/>
    <cellStyle name="Normal 10 4 2 2 2 3 5 6" xfId="3890"/>
    <cellStyle name="Normal 10 4 2 2 2 3 5 7" xfId="3891"/>
    <cellStyle name="Normal 10 4 2 2 2 3 5 8" xfId="3892"/>
    <cellStyle name="Normal 10 4 2 2 2 3 5 9" xfId="3893"/>
    <cellStyle name="Normal 10 4 2 2 2 3 6" xfId="3894"/>
    <cellStyle name="Normal 10 4 2 2 2 3 6 10" xfId="3895"/>
    <cellStyle name="Normal 10 4 2 2 2 3 6 2" xfId="3896"/>
    <cellStyle name="Normal 10 4 2 2 2 3 6 3" xfId="3897"/>
    <cellStyle name="Normal 10 4 2 2 2 3 6 4" xfId="3898"/>
    <cellStyle name="Normal 10 4 2 2 2 3 6 5" xfId="3899"/>
    <cellStyle name="Normal 10 4 2 2 2 3 6 6" xfId="3900"/>
    <cellStyle name="Normal 10 4 2 2 2 3 6 7" xfId="3901"/>
    <cellStyle name="Normal 10 4 2 2 2 3 6 8" xfId="3902"/>
    <cellStyle name="Normal 10 4 2 2 2 3 6 9" xfId="3903"/>
    <cellStyle name="Normal 10 4 2 2 2 3 7" xfId="3904"/>
    <cellStyle name="Normal 10 4 2 2 2 3 7 10" xfId="3905"/>
    <cellStyle name="Normal 10 4 2 2 2 3 7 2" xfId="3906"/>
    <cellStyle name="Normal 10 4 2 2 2 3 7 3" xfId="3907"/>
    <cellStyle name="Normal 10 4 2 2 2 3 7 4" xfId="3908"/>
    <cellStyle name="Normal 10 4 2 2 2 3 7 5" xfId="3909"/>
    <cellStyle name="Normal 10 4 2 2 2 3 7 6" xfId="3910"/>
    <cellStyle name="Normal 10 4 2 2 2 3 7 7" xfId="3911"/>
    <cellStyle name="Normal 10 4 2 2 2 3 7 8" xfId="3912"/>
    <cellStyle name="Normal 10 4 2 2 2 3 7 9" xfId="3913"/>
    <cellStyle name="Normal 10 4 2 2 2 3 8" xfId="3914"/>
    <cellStyle name="Normal 10 4 2 2 2 3 8 10" xfId="3915"/>
    <cellStyle name="Normal 10 4 2 2 2 3 8 2" xfId="3916"/>
    <cellStyle name="Normal 10 4 2 2 2 3 8 3" xfId="3917"/>
    <cellStyle name="Normal 10 4 2 2 2 3 8 4" xfId="3918"/>
    <cellStyle name="Normal 10 4 2 2 2 3 8 5" xfId="3919"/>
    <cellStyle name="Normal 10 4 2 2 2 3 8 6" xfId="3920"/>
    <cellStyle name="Normal 10 4 2 2 2 3 8 7" xfId="3921"/>
    <cellStyle name="Normal 10 4 2 2 2 3 8 8" xfId="3922"/>
    <cellStyle name="Normal 10 4 2 2 2 3 8 9" xfId="3923"/>
    <cellStyle name="Normal 10 4 2 2 2 3 9" xfId="3924"/>
    <cellStyle name="Normal 10 4 2 2 2 3 9 10" xfId="3925"/>
    <cellStyle name="Normal 10 4 2 2 2 3 9 2" xfId="3926"/>
    <cellStyle name="Normal 10 4 2 2 2 3 9 3" xfId="3927"/>
    <cellStyle name="Normal 10 4 2 2 2 3 9 4" xfId="3928"/>
    <cellStyle name="Normal 10 4 2 2 2 3 9 5" xfId="3929"/>
    <cellStyle name="Normal 10 4 2 2 2 3 9 6" xfId="3930"/>
    <cellStyle name="Normal 10 4 2 2 2 3 9 7" xfId="3931"/>
    <cellStyle name="Normal 10 4 2 2 2 3 9 8" xfId="3932"/>
    <cellStyle name="Normal 10 4 2 2 2 3 9 9" xfId="3933"/>
    <cellStyle name="Normal 10 4 2 2 2 4" xfId="3934"/>
    <cellStyle name="Normal 10 4 2 2 2 5" xfId="3935"/>
    <cellStyle name="Normal 10 4 2 2 2 6" xfId="3936"/>
    <cellStyle name="Normal 10 4 2 2 2 7" xfId="3937"/>
    <cellStyle name="Normal 10 4 2 2 2 8" xfId="3938"/>
    <cellStyle name="Normal 10 4 2 2 2 9" xfId="3939"/>
    <cellStyle name="Normal 10 4 2 2 3" xfId="3940"/>
    <cellStyle name="Normal 10 4 2 2 4" xfId="3941"/>
    <cellStyle name="Normal 10 4 2 2 5" xfId="3942"/>
    <cellStyle name="Normal 10 4 2 2 6" xfId="3943"/>
    <cellStyle name="Normal 10 4 2 2 7" xfId="3944"/>
    <cellStyle name="Normal 10 4 2 2 8" xfId="3945"/>
    <cellStyle name="Normal 10 4 2 2 9" xfId="3946"/>
    <cellStyle name="Normal 10 4 2 3" xfId="3947"/>
    <cellStyle name="Normal 10 4 2 4" xfId="3948"/>
    <cellStyle name="Normal 10 4 2 5" xfId="3949"/>
    <cellStyle name="Normal 10 4 2 6" xfId="3950"/>
    <cellStyle name="Normal 10 4 2 7" xfId="3951"/>
    <cellStyle name="Normal 10 4 2 8" xfId="3952"/>
    <cellStyle name="Normal 10 4 2 9" xfId="3953"/>
    <cellStyle name="Normal 10 4 3" xfId="3954"/>
    <cellStyle name="Normal 10 4 4" xfId="3955"/>
    <cellStyle name="Normal 10 4 5" xfId="3956"/>
    <cellStyle name="Normal 10 4 6" xfId="3957"/>
    <cellStyle name="Normal 10 4 7" xfId="3958"/>
    <cellStyle name="Normal 10 4 8" xfId="3959"/>
    <cellStyle name="Normal 10 4 9" xfId="3960"/>
    <cellStyle name="Normal 10 5" xfId="3961"/>
    <cellStyle name="Normal 10 5 2" xfId="3962"/>
    <cellStyle name="Normal 10 5 3" xfId="3963"/>
    <cellStyle name="Normal 10 5 4" xfId="3964"/>
    <cellStyle name="Normal 10 5 5" xfId="3965"/>
    <cellStyle name="Normal 10 5 6" xfId="3966"/>
    <cellStyle name="Normal 10 5 7" xfId="3967"/>
    <cellStyle name="Normal 10 5 8" xfId="3968"/>
    <cellStyle name="Normal 10 5 9" xfId="3969"/>
    <cellStyle name="Normal 10 6" xfId="3970"/>
    <cellStyle name="Normal 10 7" xfId="3971"/>
    <cellStyle name="Normal 10 8" xfId="3972"/>
    <cellStyle name="Normal 10 9" xfId="3973"/>
    <cellStyle name="Normal 10_1. SO LATI Per 1 Juli 2013" xfId="6"/>
    <cellStyle name="Normal 11" xfId="3974"/>
    <cellStyle name="Normal 11 10" xfId="3975"/>
    <cellStyle name="Normal 11 11" xfId="3976"/>
    <cellStyle name="Normal 11 2" xfId="3977"/>
    <cellStyle name="Normal 11 3" xfId="3978"/>
    <cellStyle name="Normal 11 4" xfId="3979"/>
    <cellStyle name="Normal 11 5" xfId="3980"/>
    <cellStyle name="Normal 11 6" xfId="3981"/>
    <cellStyle name="Normal 11 7" xfId="3982"/>
    <cellStyle name="Normal 11 8" xfId="3983"/>
    <cellStyle name="Normal 11 9" xfId="3984"/>
    <cellStyle name="Normal 12" xfId="3985"/>
    <cellStyle name="Normal 12 2" xfId="3986"/>
    <cellStyle name="Normal 12 2 10" xfId="3987"/>
    <cellStyle name="Normal 12 2 11" xfId="3988"/>
    <cellStyle name="Normal 12 2 12" xfId="3989"/>
    <cellStyle name="Normal 12 2 2" xfId="3990"/>
    <cellStyle name="Normal 12 2 3" xfId="3991"/>
    <cellStyle name="Normal 12 2 4" xfId="3992"/>
    <cellStyle name="Normal 12 2 5" xfId="3993"/>
    <cellStyle name="Normal 12 2 6" xfId="3994"/>
    <cellStyle name="Normal 12 2 7" xfId="3995"/>
    <cellStyle name="Normal 12 2 8" xfId="3996"/>
    <cellStyle name="Normal 12 2 9" xfId="3997"/>
    <cellStyle name="Normal 12 3" xfId="3998"/>
    <cellStyle name="Normal 12 4" xfId="8823"/>
    <cellStyle name="Normal 12_MPP new" xfId="1"/>
    <cellStyle name="Normal 13" xfId="3999"/>
    <cellStyle name="Normal 13 10" xfId="4000"/>
    <cellStyle name="Normal 13 11" xfId="4001"/>
    <cellStyle name="Normal 13 2" xfId="4002"/>
    <cellStyle name="Normal 13 2 10" xfId="4003"/>
    <cellStyle name="Normal 13 2 11" xfId="4004"/>
    <cellStyle name="Normal 13 2 12" xfId="4005"/>
    <cellStyle name="Normal 13 2 13" xfId="4006"/>
    <cellStyle name="Normal 13 2 2" xfId="4007"/>
    <cellStyle name="Normal 13 2 3" xfId="4008"/>
    <cellStyle name="Normal 13 2 4" xfId="4009"/>
    <cellStyle name="Normal 13 2 5" xfId="4010"/>
    <cellStyle name="Normal 13 2 6" xfId="4011"/>
    <cellStyle name="Normal 13 2 7" xfId="4012"/>
    <cellStyle name="Normal 13 2 8" xfId="4013"/>
    <cellStyle name="Normal 13 2 9" xfId="4014"/>
    <cellStyle name="Normal 13 3" xfId="4015"/>
    <cellStyle name="Normal 13 4" xfId="4016"/>
    <cellStyle name="Normal 13 5" xfId="4017"/>
    <cellStyle name="Normal 13 6" xfId="4018"/>
    <cellStyle name="Normal 13 7" xfId="4019"/>
    <cellStyle name="Normal 13 8" xfId="4020"/>
    <cellStyle name="Normal 13 9" xfId="4021"/>
    <cellStyle name="Normal 14" xfId="4022"/>
    <cellStyle name="Normal 14 2" xfId="4023"/>
    <cellStyle name="Normal 14 2 2" xfId="4024"/>
    <cellStyle name="Normal 14_1. SO LATI Per 1 Juli 2013" xfId="4025"/>
    <cellStyle name="Normal 15" xfId="4026"/>
    <cellStyle name="Normal 15 10" xfId="4027"/>
    <cellStyle name="Normal 15 11" xfId="4028"/>
    <cellStyle name="Normal 15 12" xfId="4029"/>
    <cellStyle name="Normal 15 13" xfId="4030"/>
    <cellStyle name="Normal 15 2" xfId="4031"/>
    <cellStyle name="Normal 15 2 10" xfId="4032"/>
    <cellStyle name="Normal 15 2 2" xfId="4033"/>
    <cellStyle name="Normal 15 2 3" xfId="4034"/>
    <cellStyle name="Normal 15 2 4" xfId="4035"/>
    <cellStyle name="Normal 15 2 5" xfId="4036"/>
    <cellStyle name="Normal 15 2 6" xfId="4037"/>
    <cellStyle name="Normal 15 2 7" xfId="4038"/>
    <cellStyle name="Normal 15 2 8" xfId="4039"/>
    <cellStyle name="Normal 15 2 9" xfId="4040"/>
    <cellStyle name="Normal 15 3" xfId="4041"/>
    <cellStyle name="Normal 15 3 10" xfId="4042"/>
    <cellStyle name="Normal 15 3 11" xfId="4043"/>
    <cellStyle name="Normal 15 3 2" xfId="4044"/>
    <cellStyle name="Normal 15 3 2 10" xfId="4045"/>
    <cellStyle name="Normal 15 3 2 11" xfId="4046"/>
    <cellStyle name="Normal 15 3 2 12" xfId="4047"/>
    <cellStyle name="Normal 15 3 2 2" xfId="4048"/>
    <cellStyle name="Normal 15 3 2 2 10" xfId="4049"/>
    <cellStyle name="Normal 15 3 2 2 2" xfId="4050"/>
    <cellStyle name="Normal 15 3 2 2 3" xfId="4051"/>
    <cellStyle name="Normal 15 3 2 2 4" xfId="4052"/>
    <cellStyle name="Normal 15 3 2 2 5" xfId="4053"/>
    <cellStyle name="Normal 15 3 2 2 6" xfId="4054"/>
    <cellStyle name="Normal 15 3 2 2 7" xfId="4055"/>
    <cellStyle name="Normal 15 3 2 2 8" xfId="4056"/>
    <cellStyle name="Normal 15 3 2 2 9" xfId="4057"/>
    <cellStyle name="Normal 15 3 2 3" xfId="4058"/>
    <cellStyle name="Normal 15 3 2 3 10" xfId="4059"/>
    <cellStyle name="Normal 15 3 2 3 10 10" xfId="4060"/>
    <cellStyle name="Normal 15 3 2 3 10 11" xfId="4061"/>
    <cellStyle name="Normal 15 3 2 3 10 2" xfId="4062"/>
    <cellStyle name="Normal 15 3 2 3 10 2 10" xfId="4063"/>
    <cellStyle name="Normal 15 3 2 3 10 2 2" xfId="4064"/>
    <cellStyle name="Normal 15 3 2 3 10 2 2 2" xfId="4065"/>
    <cellStyle name="Normal 15 3 2 3 10 2 2 3" xfId="4066"/>
    <cellStyle name="Normal 15 3 2 3 10 2 2 4" xfId="4067"/>
    <cellStyle name="Normal 15 3 2 3 10 2 2 5" xfId="4068"/>
    <cellStyle name="Normal 15 3 2 3 10 2 3" xfId="4069"/>
    <cellStyle name="Normal 15 3 2 3 10 2 4" xfId="4070"/>
    <cellStyle name="Normal 15 3 2 3 10 2 5" xfId="4071"/>
    <cellStyle name="Normal 15 3 2 3 10 2 6" xfId="4072"/>
    <cellStyle name="Normal 15 3 2 3 10 2 7" xfId="4073"/>
    <cellStyle name="Normal 15 3 2 3 10 2 8" xfId="4074"/>
    <cellStyle name="Normal 15 3 2 3 10 2 9" xfId="4075"/>
    <cellStyle name="Normal 15 3 2 3 10 3" xfId="4076"/>
    <cellStyle name="Normal 15 3 2 3 10 4" xfId="4077"/>
    <cellStyle name="Normal 15 3 2 3 10 5" xfId="4078"/>
    <cellStyle name="Normal 15 3 2 3 10 6" xfId="4079"/>
    <cellStyle name="Normal 15 3 2 3 10 7" xfId="4080"/>
    <cellStyle name="Normal 15 3 2 3 10 8" xfId="4081"/>
    <cellStyle name="Normal 15 3 2 3 10 9" xfId="4082"/>
    <cellStyle name="Normal 15 3 2 3 11" xfId="4083"/>
    <cellStyle name="Normal 15 3 2 3 12" xfId="4084"/>
    <cellStyle name="Normal 15 3 2 3 13" xfId="4085"/>
    <cellStyle name="Normal 15 3 2 3 14" xfId="4086"/>
    <cellStyle name="Normal 15 3 2 3 15" xfId="4087"/>
    <cellStyle name="Normal 15 3 2 3 16" xfId="4088"/>
    <cellStyle name="Normal 15 3 2 3 17" xfId="4089"/>
    <cellStyle name="Normal 15 3 2 3 18" xfId="4090"/>
    <cellStyle name="Normal 15 3 2 3 19" xfId="4091"/>
    <cellStyle name="Normal 15 3 2 3 2" xfId="4092"/>
    <cellStyle name="Normal 15 3 2 3 2 10" xfId="4093"/>
    <cellStyle name="Normal 15 3 2 3 2 2" xfId="4094"/>
    <cellStyle name="Normal 15 3 2 3 2 3" xfId="4095"/>
    <cellStyle name="Normal 15 3 2 3 2 4" xfId="4096"/>
    <cellStyle name="Normal 15 3 2 3 2 5" xfId="4097"/>
    <cellStyle name="Normal 15 3 2 3 2 6" xfId="4098"/>
    <cellStyle name="Normal 15 3 2 3 2 7" xfId="4099"/>
    <cellStyle name="Normal 15 3 2 3 2 8" xfId="4100"/>
    <cellStyle name="Normal 15 3 2 3 2 9" xfId="4101"/>
    <cellStyle name="Normal 15 3 2 3 3" xfId="4102"/>
    <cellStyle name="Normal 15 3 2 3 3 10" xfId="4103"/>
    <cellStyle name="Normal 15 3 2 3 3 2" xfId="4104"/>
    <cellStyle name="Normal 15 3 2 3 3 3" xfId="4105"/>
    <cellStyle name="Normal 15 3 2 3 3 4" xfId="4106"/>
    <cellStyle name="Normal 15 3 2 3 3 5" xfId="4107"/>
    <cellStyle name="Normal 15 3 2 3 3 6" xfId="4108"/>
    <cellStyle name="Normal 15 3 2 3 3 7" xfId="4109"/>
    <cellStyle name="Normal 15 3 2 3 3 8" xfId="4110"/>
    <cellStyle name="Normal 15 3 2 3 3 9" xfId="4111"/>
    <cellStyle name="Normal 15 3 2 3 4" xfId="4112"/>
    <cellStyle name="Normal 15 3 2 3 4 10" xfId="4113"/>
    <cellStyle name="Normal 15 3 2 3 4 2" xfId="4114"/>
    <cellStyle name="Normal 15 3 2 3 4 3" xfId="4115"/>
    <cellStyle name="Normal 15 3 2 3 4 4" xfId="4116"/>
    <cellStyle name="Normal 15 3 2 3 4 5" xfId="4117"/>
    <cellStyle name="Normal 15 3 2 3 4 6" xfId="4118"/>
    <cellStyle name="Normal 15 3 2 3 4 7" xfId="4119"/>
    <cellStyle name="Normal 15 3 2 3 4 8" xfId="4120"/>
    <cellStyle name="Normal 15 3 2 3 4 9" xfId="4121"/>
    <cellStyle name="Normal 15 3 2 3 5" xfId="4122"/>
    <cellStyle name="Normal 15 3 2 3 5 10" xfId="4123"/>
    <cellStyle name="Normal 15 3 2 3 5 2" xfId="4124"/>
    <cellStyle name="Normal 15 3 2 3 5 3" xfId="4125"/>
    <cellStyle name="Normal 15 3 2 3 5 4" xfId="4126"/>
    <cellStyle name="Normal 15 3 2 3 5 5" xfId="4127"/>
    <cellStyle name="Normal 15 3 2 3 5 6" xfId="4128"/>
    <cellStyle name="Normal 15 3 2 3 5 7" xfId="4129"/>
    <cellStyle name="Normal 15 3 2 3 5 8" xfId="4130"/>
    <cellStyle name="Normal 15 3 2 3 5 9" xfId="4131"/>
    <cellStyle name="Normal 15 3 2 3 6" xfId="4132"/>
    <cellStyle name="Normal 15 3 2 3 6 10" xfId="4133"/>
    <cellStyle name="Normal 15 3 2 3 6 2" xfId="4134"/>
    <cellStyle name="Normal 15 3 2 3 6 3" xfId="4135"/>
    <cellStyle name="Normal 15 3 2 3 6 4" xfId="4136"/>
    <cellStyle name="Normal 15 3 2 3 6 5" xfId="4137"/>
    <cellStyle name="Normal 15 3 2 3 6 6" xfId="4138"/>
    <cellStyle name="Normal 15 3 2 3 6 7" xfId="4139"/>
    <cellStyle name="Normal 15 3 2 3 6 8" xfId="4140"/>
    <cellStyle name="Normal 15 3 2 3 6 9" xfId="4141"/>
    <cellStyle name="Normal 15 3 2 3 7" xfId="4142"/>
    <cellStyle name="Normal 15 3 2 3 7 10" xfId="4143"/>
    <cellStyle name="Normal 15 3 2 3 7 2" xfId="4144"/>
    <cellStyle name="Normal 15 3 2 3 7 3" xfId="4145"/>
    <cellStyle name="Normal 15 3 2 3 7 4" xfId="4146"/>
    <cellStyle name="Normal 15 3 2 3 7 5" xfId="4147"/>
    <cellStyle name="Normal 15 3 2 3 7 6" xfId="4148"/>
    <cellStyle name="Normal 15 3 2 3 7 7" xfId="4149"/>
    <cellStyle name="Normal 15 3 2 3 7 8" xfId="4150"/>
    <cellStyle name="Normal 15 3 2 3 7 9" xfId="4151"/>
    <cellStyle name="Normal 15 3 2 3 8" xfId="4152"/>
    <cellStyle name="Normal 15 3 2 3 8 10" xfId="4153"/>
    <cellStyle name="Normal 15 3 2 3 8 2" xfId="4154"/>
    <cellStyle name="Normal 15 3 2 3 8 3" xfId="4155"/>
    <cellStyle name="Normal 15 3 2 3 8 4" xfId="4156"/>
    <cellStyle name="Normal 15 3 2 3 8 5" xfId="4157"/>
    <cellStyle name="Normal 15 3 2 3 8 6" xfId="4158"/>
    <cellStyle name="Normal 15 3 2 3 8 7" xfId="4159"/>
    <cellStyle name="Normal 15 3 2 3 8 8" xfId="4160"/>
    <cellStyle name="Normal 15 3 2 3 8 9" xfId="4161"/>
    <cellStyle name="Normal 15 3 2 3 9" xfId="4162"/>
    <cellStyle name="Normal 15 3 2 3 9 10" xfId="4163"/>
    <cellStyle name="Normal 15 3 2 3 9 2" xfId="4164"/>
    <cellStyle name="Normal 15 3 2 3 9 3" xfId="4165"/>
    <cellStyle name="Normal 15 3 2 3 9 4" xfId="4166"/>
    <cellStyle name="Normal 15 3 2 3 9 5" xfId="4167"/>
    <cellStyle name="Normal 15 3 2 3 9 6" xfId="4168"/>
    <cellStyle name="Normal 15 3 2 3 9 7" xfId="4169"/>
    <cellStyle name="Normal 15 3 2 3 9 8" xfId="4170"/>
    <cellStyle name="Normal 15 3 2 3 9 9" xfId="4171"/>
    <cellStyle name="Normal 15 3 2 4" xfId="4172"/>
    <cellStyle name="Normal 15 3 2 5" xfId="4173"/>
    <cellStyle name="Normal 15 3 2 6" xfId="4174"/>
    <cellStyle name="Normal 15 3 2 7" xfId="4175"/>
    <cellStyle name="Normal 15 3 2 8" xfId="4176"/>
    <cellStyle name="Normal 15 3 2 9" xfId="4177"/>
    <cellStyle name="Normal 15 3 3" xfId="4178"/>
    <cellStyle name="Normal 15 3 4" xfId="4179"/>
    <cellStyle name="Normal 15 3 5" xfId="4180"/>
    <cellStyle name="Normal 15 3 6" xfId="4181"/>
    <cellStyle name="Normal 15 3 7" xfId="4182"/>
    <cellStyle name="Normal 15 3 8" xfId="4183"/>
    <cellStyle name="Normal 15 3 9" xfId="4184"/>
    <cellStyle name="Normal 15 4" xfId="4185"/>
    <cellStyle name="Normal 15 5" xfId="4186"/>
    <cellStyle name="Normal 15 6" xfId="4187"/>
    <cellStyle name="Normal 15 7" xfId="4188"/>
    <cellStyle name="Normal 15 8" xfId="4189"/>
    <cellStyle name="Normal 15 9" xfId="4190"/>
    <cellStyle name="Normal 16" xfId="4191"/>
    <cellStyle name="Normal 16 2" xfId="4192"/>
    <cellStyle name="Normal 16 3" xfId="4193"/>
    <cellStyle name="Normal 16 4" xfId="4194"/>
    <cellStyle name="Normal 16 4 10" xfId="4195"/>
    <cellStyle name="Normal 16 4 11" xfId="4196"/>
    <cellStyle name="Normal 16 4 12" xfId="4197"/>
    <cellStyle name="Normal 16 4 2" xfId="4198"/>
    <cellStyle name="Normal 16 4 3" xfId="4199"/>
    <cellStyle name="Normal 16 4 4" xfId="4200"/>
    <cellStyle name="Normal 16 4 5" xfId="4201"/>
    <cellStyle name="Normal 16 4 6" xfId="4202"/>
    <cellStyle name="Normal 16 4 7" xfId="4203"/>
    <cellStyle name="Normal 16 4 8" xfId="4204"/>
    <cellStyle name="Normal 16 4 9" xfId="4205"/>
    <cellStyle name="Normal 17" xfId="4206"/>
    <cellStyle name="Normal 17 2" xfId="4207"/>
    <cellStyle name="Normal 18" xfId="4208"/>
    <cellStyle name="Normal 18 2" xfId="4209"/>
    <cellStyle name="Normal 19" xfId="4210"/>
    <cellStyle name="Normal 19 10" xfId="4211"/>
    <cellStyle name="Normal 19 11" xfId="4212"/>
    <cellStyle name="Normal 19 12" xfId="4213"/>
    <cellStyle name="Normal 19 13" xfId="4214"/>
    <cellStyle name="Normal 19 2" xfId="4215"/>
    <cellStyle name="Normal 19 3" xfId="4216"/>
    <cellStyle name="Normal 19 4" xfId="4217"/>
    <cellStyle name="Normal 19 5" xfId="4218"/>
    <cellStyle name="Normal 19 6" xfId="4219"/>
    <cellStyle name="Normal 19 7" xfId="4220"/>
    <cellStyle name="Normal 19 8" xfId="4221"/>
    <cellStyle name="Normal 19 9" xfId="4222"/>
    <cellStyle name="Normal 2" xfId="9"/>
    <cellStyle name="Normal 2 10" xfId="5"/>
    <cellStyle name="Normal 2 10 10" xfId="4223"/>
    <cellStyle name="Normal 2 10 11" xfId="4224"/>
    <cellStyle name="Normal 2 10 12" xfId="4225"/>
    <cellStyle name="Normal 2 10 13" xfId="4226"/>
    <cellStyle name="Normal 2 10 2" xfId="4227"/>
    <cellStyle name="Normal 2 10 3" xfId="4228"/>
    <cellStyle name="Normal 2 10 4" xfId="4229"/>
    <cellStyle name="Normal 2 10 5" xfId="4230"/>
    <cellStyle name="Normal 2 10 6" xfId="4231"/>
    <cellStyle name="Normal 2 10 7" xfId="4232"/>
    <cellStyle name="Normal 2 10 8" xfId="4233"/>
    <cellStyle name="Normal 2 10 9" xfId="4234"/>
    <cellStyle name="Normal 2 10_MPP new" xfId="4235"/>
    <cellStyle name="Normal 2 11" xfId="4236"/>
    <cellStyle name="Normal 2 12" xfId="4237"/>
    <cellStyle name="Normal 2 13" xfId="4238"/>
    <cellStyle name="Normal 2 14" xfId="4239"/>
    <cellStyle name="Normal 2 15" xfId="4240"/>
    <cellStyle name="Normal 2 16" xfId="4241"/>
    <cellStyle name="Normal 2 17" xfId="4242"/>
    <cellStyle name="Normal 2 18" xfId="4243"/>
    <cellStyle name="Normal 2 19" xfId="4244"/>
    <cellStyle name="Normal 2 2" xfId="4245"/>
    <cellStyle name="Normal 2 2 10" xfId="4246"/>
    <cellStyle name="Normal 2 2 11" xfId="4247"/>
    <cellStyle name="Normal 2 2 12" xfId="4248"/>
    <cellStyle name="Normal 2 2 13" xfId="4249"/>
    <cellStyle name="Normal 2 2 2" xfId="4250"/>
    <cellStyle name="Normal 2 2 2 2" xfId="4251"/>
    <cellStyle name="Normal 2 2 2 2 2" xfId="4252"/>
    <cellStyle name="Normal 2 2 2 2 2 2" xfId="4253"/>
    <cellStyle name="Normal 2 2 2 2 2 2 2" xfId="4254"/>
    <cellStyle name="Normal 2 2 2 2 2 2_Saf Jan 2011" xfId="4255"/>
    <cellStyle name="Normal 2 2 2 2 2 3" xfId="4256"/>
    <cellStyle name="Normal 2 2 2 2 2 3 2" xfId="4257"/>
    <cellStyle name="Normal 2 2 2 2 2 3_Saf Jan 2011" xfId="4258"/>
    <cellStyle name="Normal 2 2 2 2 2 4" xfId="4259"/>
    <cellStyle name="Normal 2 2 2 2 2 4 2" xfId="4260"/>
    <cellStyle name="Normal 2 2 2 2 2 4 2 2" xfId="4261"/>
    <cellStyle name="Normal 2 2 2 2 2 4 2_Saf Jan 2011" xfId="4262"/>
    <cellStyle name="Normal 2 2 2 2 2 4 3" xfId="4263"/>
    <cellStyle name="Normal 2 2 2 2 2 4_Saf Jan 2011" xfId="4264"/>
    <cellStyle name="Normal 2 2 2 2 2 5" xfId="4265"/>
    <cellStyle name="Normal 2 2 2 2 2_Saf Jan 2011" xfId="4266"/>
    <cellStyle name="Normal 2 2 2 2 3" xfId="4267"/>
    <cellStyle name="Normal 2 2 2 2 3 2" xfId="4268"/>
    <cellStyle name="Normal 2 2 2 2 3 2 2" xfId="4269"/>
    <cellStyle name="Normal 2 2 2 2 3 2 2 2" xfId="4270"/>
    <cellStyle name="Normal 2 2 2 2 3 2 2_Saf Jan 2011" xfId="4271"/>
    <cellStyle name="Normal 2 2 2 2 3 2 3" xfId="4272"/>
    <cellStyle name="Normal 2 2 2 2 3 2_Saf Jan 2011" xfId="4273"/>
    <cellStyle name="Normal 2 2 2 2 3 3" xfId="4274"/>
    <cellStyle name="Normal 2 2 2 2 3_Saf Jan 2011" xfId="4275"/>
    <cellStyle name="Normal 2 2 2 2 4" xfId="4276"/>
    <cellStyle name="Normal 2 2 2 2 4 2" xfId="4277"/>
    <cellStyle name="Normal 2 2 2 2 4 2 2" xfId="4278"/>
    <cellStyle name="Normal 2 2 2 2 4 2 2 2" xfId="4279"/>
    <cellStyle name="Normal 2 2 2 2 4 2 2_Saf Jan 2011" xfId="4280"/>
    <cellStyle name="Normal 2 2 2 2 4 2 3" xfId="4281"/>
    <cellStyle name="Normal 2 2 2 2 4 2_Saf Jan 2011" xfId="4282"/>
    <cellStyle name="Normal 2 2 2 2 4 3" xfId="4283"/>
    <cellStyle name="Normal 2 2 2 2 4_Saf Jan 2011" xfId="4284"/>
    <cellStyle name="Normal 2 2 2 2 5" xfId="4285"/>
    <cellStyle name="Normal 2 2 2 2 5 2" xfId="4286"/>
    <cellStyle name="Normal 2 2 2 2 5_Saf Jan 2011" xfId="4287"/>
    <cellStyle name="Normal 2 2 2 2 6" xfId="4288"/>
    <cellStyle name="Normal 2 2 2 2_Saf Jan 2011" xfId="4289"/>
    <cellStyle name="Normal 2 2 2 3" xfId="4290"/>
    <cellStyle name="Normal 2 2 2 3 2" xfId="4291"/>
    <cellStyle name="Normal 2 2 2 3_Saf Jan 2011" xfId="4292"/>
    <cellStyle name="Normal 2 2 2 4" xfId="4293"/>
    <cellStyle name="Normal 2 2 2 4 2" xfId="4294"/>
    <cellStyle name="Normal 2 2 2 4_Saf Jan 2011" xfId="4295"/>
    <cellStyle name="Normal 2 2 2 5" xfId="4296"/>
    <cellStyle name="Normal 2 2 2 5 2" xfId="4297"/>
    <cellStyle name="Normal 2 2 2 5 2 2" xfId="4298"/>
    <cellStyle name="Normal 2 2 2 5 2_Saf Jan 2011" xfId="4299"/>
    <cellStyle name="Normal 2 2 2 5 3" xfId="4300"/>
    <cellStyle name="Normal 2 2 2 5_Saf Jan 2011" xfId="4301"/>
    <cellStyle name="Normal 2 2 2 6" xfId="4302"/>
    <cellStyle name="Normal 2 2 2 7" xfId="4303"/>
    <cellStyle name="Normal 2 2 2_Saf Jan 2011" xfId="4304"/>
    <cellStyle name="Normal 2 2 3" xfId="4305"/>
    <cellStyle name="Normal 2 2 3 10" xfId="4306"/>
    <cellStyle name="Normal 2 2 3 2" xfId="4307"/>
    <cellStyle name="Normal 2 2 3 3" xfId="4308"/>
    <cellStyle name="Normal 2 2 3 4" xfId="4309"/>
    <cellStyle name="Normal 2 2 3 5" xfId="4310"/>
    <cellStyle name="Normal 2 2 3 6" xfId="4311"/>
    <cellStyle name="Normal 2 2 3 7" xfId="4312"/>
    <cellStyle name="Normal 2 2 3 8" xfId="4313"/>
    <cellStyle name="Normal 2 2 3 9" xfId="4314"/>
    <cellStyle name="Normal 2 2 3_Saf Jan 2011" xfId="4315"/>
    <cellStyle name="Normal 2 2 4" xfId="4316"/>
    <cellStyle name="Normal 2 2 4 2" xfId="4317"/>
    <cellStyle name="Normal 2 2 4 2 2" xfId="4318"/>
    <cellStyle name="Normal 2 2 4 2_Saf Jan 2011" xfId="4319"/>
    <cellStyle name="Normal 2 2 4 3" xfId="4320"/>
    <cellStyle name="Normal 2 2 4 3 2" xfId="4321"/>
    <cellStyle name="Normal 2 2 4 3_Saf Jan 2011" xfId="4322"/>
    <cellStyle name="Normal 2 2 4 4" xfId="4323"/>
    <cellStyle name="Normal 2 2 4 4 2" xfId="4324"/>
    <cellStyle name="Normal 2 2 4 4 2 2" xfId="4325"/>
    <cellStyle name="Normal 2 2 4 4 2_Saf Jan 2011" xfId="4326"/>
    <cellStyle name="Normal 2 2 4 4 3" xfId="4327"/>
    <cellStyle name="Normal 2 2 4 4_Saf Jan 2011" xfId="4328"/>
    <cellStyle name="Normal 2 2 4 5" xfId="4329"/>
    <cellStyle name="Normal 2 2 4_Saf Jan 2011" xfId="4330"/>
    <cellStyle name="Normal 2 2 5" xfId="4331"/>
    <cellStyle name="Normal 2 2 5 2" xfId="4332"/>
    <cellStyle name="Normal 2 2 5 2 2" xfId="4333"/>
    <cellStyle name="Normal 2 2 5 2 2 2" xfId="4334"/>
    <cellStyle name="Normal 2 2 5 2 2_Saf Jan 2011" xfId="4335"/>
    <cellStyle name="Normal 2 2 5 2 3" xfId="4336"/>
    <cellStyle name="Normal 2 2 5 2_Saf Jan 2011" xfId="4337"/>
    <cellStyle name="Normal 2 2 5 3" xfId="4338"/>
    <cellStyle name="Normal 2 2 5_Saf Jan 2011" xfId="4339"/>
    <cellStyle name="Normal 2 2 6" xfId="4340"/>
    <cellStyle name="Normal 2 2 6 2" xfId="4341"/>
    <cellStyle name="Normal 2 2 6 2 2" xfId="4342"/>
    <cellStyle name="Normal 2 2 6 2 2 2" xfId="4343"/>
    <cellStyle name="Normal 2 2 6 2 2_Saf Jan 2011" xfId="4344"/>
    <cellStyle name="Normal 2 2 6 2 3" xfId="4345"/>
    <cellStyle name="Normal 2 2 6 2_Saf Jan 2011" xfId="4346"/>
    <cellStyle name="Normal 2 2 6 3" xfId="4347"/>
    <cellStyle name="Normal 2 2 6_Saf Jan 2011" xfId="4348"/>
    <cellStyle name="Normal 2 2 7" xfId="4349"/>
    <cellStyle name="Normal 2 2 7 2" xfId="4350"/>
    <cellStyle name="Normal 2 2 7_Saf Jan 2011" xfId="4351"/>
    <cellStyle name="Normal 2 2 8" xfId="4352"/>
    <cellStyle name="Normal 2 2 9" xfId="4353"/>
    <cellStyle name="Normal 2 2_1. SO LATI Per 1 Juli 2013" xfId="4354"/>
    <cellStyle name="Normal 2 20" xfId="4355"/>
    <cellStyle name="Normal 2 21" xfId="4356"/>
    <cellStyle name="Normal 2 22" xfId="4357"/>
    <cellStyle name="Normal 2 23" xfId="4358"/>
    <cellStyle name="Normal 2 24" xfId="4359"/>
    <cellStyle name="Normal 2 24 2" xfId="4360"/>
    <cellStyle name="Normal 2 24 2 10" xfId="4361"/>
    <cellStyle name="Normal 2 24 2 11" xfId="4362"/>
    <cellStyle name="Normal 2 24 2 12" xfId="4363"/>
    <cellStyle name="Normal 2 24 2 2" xfId="4364"/>
    <cellStyle name="Normal 2 24 2 3" xfId="4365"/>
    <cellStyle name="Normal 2 24 2 4" xfId="4366"/>
    <cellStyle name="Normal 2 24 2 5" xfId="4367"/>
    <cellStyle name="Normal 2 24 2 6" xfId="4368"/>
    <cellStyle name="Normal 2 24 2 7" xfId="4369"/>
    <cellStyle name="Normal 2 24 2 8" xfId="4370"/>
    <cellStyle name="Normal 2 24 2 9" xfId="4371"/>
    <cellStyle name="Normal 2 25" xfId="4372"/>
    <cellStyle name="Normal 2 25 10" xfId="4373"/>
    <cellStyle name="Normal 2 25 11" xfId="4374"/>
    <cellStyle name="Normal 2 25 12" xfId="4375"/>
    <cellStyle name="Normal 2 25 13" xfId="4376"/>
    <cellStyle name="Normal 2 25 14" xfId="4377"/>
    <cellStyle name="Normal 2 25 15" xfId="4378"/>
    <cellStyle name="Normal 2 25 16" xfId="4379"/>
    <cellStyle name="Normal 2 25 17" xfId="4380"/>
    <cellStyle name="Normal 2 25 2" xfId="4381"/>
    <cellStyle name="Normal 2 25 2 10" xfId="4382"/>
    <cellStyle name="Normal 2 25 2 2" xfId="4383"/>
    <cellStyle name="Normal 2 25 2 3" xfId="4384"/>
    <cellStyle name="Normal 2 25 2 4" xfId="4385"/>
    <cellStyle name="Normal 2 25 2 5" xfId="4386"/>
    <cellStyle name="Normal 2 25 2 6" xfId="4387"/>
    <cellStyle name="Normal 2 25 2 7" xfId="4388"/>
    <cellStyle name="Normal 2 25 2 8" xfId="4389"/>
    <cellStyle name="Normal 2 25 2 9" xfId="4390"/>
    <cellStyle name="Normal 2 25 3" xfId="4391"/>
    <cellStyle name="Normal 2 25 4" xfId="4392"/>
    <cellStyle name="Normal 2 25 5" xfId="4393"/>
    <cellStyle name="Normal 2 25 6" xfId="4394"/>
    <cellStyle name="Normal 2 25 7" xfId="4395"/>
    <cellStyle name="Normal 2 25 8" xfId="4396"/>
    <cellStyle name="Normal 2 25 9" xfId="4397"/>
    <cellStyle name="Normal 2 26" xfId="4398"/>
    <cellStyle name="Normal 2 26 10" xfId="4399"/>
    <cellStyle name="Normal 2 26 11" xfId="4400"/>
    <cellStyle name="Normal 2 26 12" xfId="4401"/>
    <cellStyle name="Normal 2 26 2" xfId="4402"/>
    <cellStyle name="Normal 2 26 3" xfId="4403"/>
    <cellStyle name="Normal 2 26 4" xfId="4404"/>
    <cellStyle name="Normal 2 26 5" xfId="4405"/>
    <cellStyle name="Normal 2 26 6" xfId="4406"/>
    <cellStyle name="Normal 2 26 7" xfId="4407"/>
    <cellStyle name="Normal 2 26 8" xfId="4408"/>
    <cellStyle name="Normal 2 26 9" xfId="4409"/>
    <cellStyle name="Normal 2 27" xfId="4410"/>
    <cellStyle name="Normal 2 27 10" xfId="4411"/>
    <cellStyle name="Normal 2 27 11" xfId="4412"/>
    <cellStyle name="Normal 2 27 12" xfId="4413"/>
    <cellStyle name="Normal 2 27 13" xfId="4414"/>
    <cellStyle name="Normal 2 27 14" xfId="4415"/>
    <cellStyle name="Normal 2 27 15" xfId="4416"/>
    <cellStyle name="Normal 2 27 16" xfId="4417"/>
    <cellStyle name="Normal 2 27 17" xfId="4418"/>
    <cellStyle name="Normal 2 27 2" xfId="4419"/>
    <cellStyle name="Normal 2 27 2 2" xfId="4420"/>
    <cellStyle name="Normal 2 27 2 3" xfId="4421"/>
    <cellStyle name="Normal 2 27 2 4" xfId="4422"/>
    <cellStyle name="Normal 2 27 2 5" xfId="4423"/>
    <cellStyle name="Normal 2 27 3" xfId="4424"/>
    <cellStyle name="Normal 2 27 4" xfId="4425"/>
    <cellStyle name="Normal 2 27 5" xfId="4426"/>
    <cellStyle name="Normal 2 27 6" xfId="4427"/>
    <cellStyle name="Normal 2 27 7" xfId="4428"/>
    <cellStyle name="Normal 2 27 8" xfId="4429"/>
    <cellStyle name="Normal 2 27 9" xfId="4430"/>
    <cellStyle name="Normal 2 28" xfId="4431"/>
    <cellStyle name="Normal 2 28 10" xfId="4432"/>
    <cellStyle name="Normal 2 28 11" xfId="4433"/>
    <cellStyle name="Normal 2 28 12" xfId="4434"/>
    <cellStyle name="Normal 2 28 13" xfId="4435"/>
    <cellStyle name="Normal 2 28 14" xfId="4436"/>
    <cellStyle name="Normal 2 28 15" xfId="4437"/>
    <cellStyle name="Normal 2 28 16" xfId="4438"/>
    <cellStyle name="Normal 2 28 17" xfId="4439"/>
    <cellStyle name="Normal 2 28 2" xfId="4440"/>
    <cellStyle name="Normal 2 28 2 2" xfId="4441"/>
    <cellStyle name="Normal 2 28 2 3" xfId="4442"/>
    <cellStyle name="Normal 2 28 2 4" xfId="4443"/>
    <cellStyle name="Normal 2 28 2 5" xfId="4444"/>
    <cellStyle name="Normal 2 28 3" xfId="4445"/>
    <cellStyle name="Normal 2 28 4" xfId="4446"/>
    <cellStyle name="Normal 2 28 5" xfId="4447"/>
    <cellStyle name="Normal 2 28 6" xfId="4448"/>
    <cellStyle name="Normal 2 28 7" xfId="4449"/>
    <cellStyle name="Normal 2 28 8" xfId="4450"/>
    <cellStyle name="Normal 2 28 9" xfId="4451"/>
    <cellStyle name="Normal 2 29" xfId="4452"/>
    <cellStyle name="Normal 2 29 10" xfId="4453"/>
    <cellStyle name="Normal 2 29 11" xfId="4454"/>
    <cellStyle name="Normal 2 29 12" xfId="4455"/>
    <cellStyle name="Normal 2 29 2" xfId="4456"/>
    <cellStyle name="Normal 2 29 3" xfId="4457"/>
    <cellStyle name="Normal 2 29 4" xfId="4458"/>
    <cellStyle name="Normal 2 29 5" xfId="4459"/>
    <cellStyle name="Normal 2 29 6" xfId="4460"/>
    <cellStyle name="Normal 2 29 7" xfId="4461"/>
    <cellStyle name="Normal 2 29 8" xfId="4462"/>
    <cellStyle name="Normal 2 29 9" xfId="4463"/>
    <cellStyle name="Normal 2 3" xfId="4464"/>
    <cellStyle name="Normal 2 3 2" xfId="4465"/>
    <cellStyle name="Normal 2 3 2 2" xfId="4466"/>
    <cellStyle name="Normal 2 3 2 2 2" xfId="4467"/>
    <cellStyle name="Normal 2 3 2 2 2 2" xfId="4468"/>
    <cellStyle name="Normal 2 3 2 2 2 2 2" xfId="4469"/>
    <cellStyle name="Normal 2 3 2 2 2 2 2 2" xfId="4470"/>
    <cellStyle name="Normal 2 3 2 2 2 2 2_Saf Jan 2011" xfId="4471"/>
    <cellStyle name="Normal 2 3 2 2 2 2 3" xfId="4472"/>
    <cellStyle name="Normal 2 3 2 2 2 2_Saf Jan 2011" xfId="4473"/>
    <cellStyle name="Normal 2 3 2 2 2 3" xfId="4474"/>
    <cellStyle name="Normal 2 3 2 2 2_Saf Jan 2011" xfId="4475"/>
    <cellStyle name="Normal 2 3 2 2 3" xfId="4476"/>
    <cellStyle name="Normal 2 3 2 2 3 2" xfId="4477"/>
    <cellStyle name="Normal 2 3 2 2 3 2 2" xfId="4478"/>
    <cellStyle name="Normal 2 3 2 2 3 2 2 2" xfId="4479"/>
    <cellStyle name="Normal 2 3 2 2 3 2 2_Saf Jan 2011" xfId="4480"/>
    <cellStyle name="Normal 2 3 2 2 3 2 3" xfId="4481"/>
    <cellStyle name="Normal 2 3 2 2 3 2_Saf Jan 2011" xfId="4482"/>
    <cellStyle name="Normal 2 3 2 2 3 3" xfId="4483"/>
    <cellStyle name="Normal 2 3 2 2 3_Saf Jan 2011" xfId="4484"/>
    <cellStyle name="Normal 2 3 2 2 4" xfId="4485"/>
    <cellStyle name="Normal 2 3 2 2 4 2" xfId="4486"/>
    <cellStyle name="Normal 2 3 2 2 4 2 2" xfId="4487"/>
    <cellStyle name="Normal 2 3 2 2 4 2 2 2" xfId="4488"/>
    <cellStyle name="Normal 2 3 2 2 4 2 2_Saf Jan 2011" xfId="4489"/>
    <cellStyle name="Normal 2 3 2 2 4 2 3" xfId="4490"/>
    <cellStyle name="Normal 2 3 2 2 4 2_Saf Jan 2011" xfId="4491"/>
    <cellStyle name="Normal 2 3 2 2 4 3" xfId="4492"/>
    <cellStyle name="Normal 2 3 2 2 4_Saf Jan 2011" xfId="4493"/>
    <cellStyle name="Normal 2 3 2 2 5" xfId="4494"/>
    <cellStyle name="Normal 2 3 2 2 5 2" xfId="4495"/>
    <cellStyle name="Normal 2 3 2 2 5_Saf Jan 2011" xfId="4496"/>
    <cellStyle name="Normal 2 3 2 2 6" xfId="4497"/>
    <cellStyle name="Normal 2 3 2 2_Saf Jan 2011" xfId="4498"/>
    <cellStyle name="Normal 2 3 2 3" xfId="4499"/>
    <cellStyle name="Normal 2 3 2 3 2" xfId="4500"/>
    <cellStyle name="Normal 2 3 2 3_Saf Jan 2011" xfId="4501"/>
    <cellStyle name="Normal 2 3 2 4" xfId="4502"/>
    <cellStyle name="Normal 2 3 2 4 2" xfId="4503"/>
    <cellStyle name="Normal 2 3 2 4 2 2" xfId="4504"/>
    <cellStyle name="Normal 2 3 2 4 2_Saf Jan 2011" xfId="4505"/>
    <cellStyle name="Normal 2 3 2 4 3" xfId="4506"/>
    <cellStyle name="Normal 2 3 2 4_Saf Jan 2011" xfId="4507"/>
    <cellStyle name="Normal 2 3 2 5" xfId="4508"/>
    <cellStyle name="Normal 2 3 2_REQ" xfId="4509"/>
    <cellStyle name="Normal 2 3 3" xfId="4510"/>
    <cellStyle name="Normal 2 3 3 2" xfId="4511"/>
    <cellStyle name="Normal 2 3 3 2 2" xfId="4512"/>
    <cellStyle name="Normal 2 3 3 2 2 2" xfId="4513"/>
    <cellStyle name="Normal 2 3 3 2 2_Saf Jan 2011" xfId="4514"/>
    <cellStyle name="Normal 2 3 3 2 3" xfId="4515"/>
    <cellStyle name="Normal 2 3 3 2_Saf Jan 2011" xfId="4516"/>
    <cellStyle name="Normal 2 3 3 3" xfId="4517"/>
    <cellStyle name="Normal 2 3 3_Saf Jan 2011" xfId="4518"/>
    <cellStyle name="Normal 2 3 4" xfId="4519"/>
    <cellStyle name="Normal 2 3 4 2" xfId="4520"/>
    <cellStyle name="Normal 2 3 4 2 2" xfId="4521"/>
    <cellStyle name="Normal 2 3 4 2 2 2" xfId="4522"/>
    <cellStyle name="Normal 2 3 4 2 2_Saf Jan 2011" xfId="4523"/>
    <cellStyle name="Normal 2 3 4 2 3" xfId="4524"/>
    <cellStyle name="Normal 2 3 4 2_Saf Jan 2011" xfId="4525"/>
    <cellStyle name="Normal 2 3 4 3" xfId="4526"/>
    <cellStyle name="Normal 2 3 4_Saf Jan 2011" xfId="4527"/>
    <cellStyle name="Normal 2 3 5" xfId="4528"/>
    <cellStyle name="Normal 2 3 5 2" xfId="4529"/>
    <cellStyle name="Normal 2 3 5 2 2" xfId="4530"/>
    <cellStyle name="Normal 2 3 5 2 2 2" xfId="4531"/>
    <cellStyle name="Normal 2 3 5 2 2_Saf Jan 2011" xfId="4532"/>
    <cellStyle name="Normal 2 3 5 2 3" xfId="4533"/>
    <cellStyle name="Normal 2 3 5 2_Saf Jan 2011" xfId="4534"/>
    <cellStyle name="Normal 2 3 5 3" xfId="4535"/>
    <cellStyle name="Normal 2 3 5_Saf Jan 2011" xfId="4536"/>
    <cellStyle name="Normal 2 3 6" xfId="4537"/>
    <cellStyle name="Normal 2 3 6 2" xfId="4538"/>
    <cellStyle name="Normal 2 3 6_Saf Jan 2011" xfId="4539"/>
    <cellStyle name="Normal 2 3 7" xfId="4540"/>
    <cellStyle name="Normal 2 3_REQ" xfId="4541"/>
    <cellStyle name="Normal 2 30" xfId="4542"/>
    <cellStyle name="Normal 2 30 10" xfId="4543"/>
    <cellStyle name="Normal 2 30 11" xfId="4544"/>
    <cellStyle name="Normal 2 30 12" xfId="4545"/>
    <cellStyle name="Normal 2 30 2" xfId="4546"/>
    <cellStyle name="Normal 2 30 3" xfId="4547"/>
    <cellStyle name="Normal 2 30 4" xfId="4548"/>
    <cellStyle name="Normal 2 30 5" xfId="4549"/>
    <cellStyle name="Normal 2 30 6" xfId="4550"/>
    <cellStyle name="Normal 2 30 7" xfId="4551"/>
    <cellStyle name="Normal 2 30 8" xfId="4552"/>
    <cellStyle name="Normal 2 30 9" xfId="4553"/>
    <cellStyle name="Normal 2 31" xfId="4554"/>
    <cellStyle name="Normal 2 31 10" xfId="4555"/>
    <cellStyle name="Normal 2 31 11" xfId="4556"/>
    <cellStyle name="Normal 2 31 12" xfId="4557"/>
    <cellStyle name="Normal 2 31 2" xfId="4558"/>
    <cellStyle name="Normal 2 31 3" xfId="4559"/>
    <cellStyle name="Normal 2 31 4" xfId="4560"/>
    <cellStyle name="Normal 2 31 5" xfId="4561"/>
    <cellStyle name="Normal 2 31 6" xfId="4562"/>
    <cellStyle name="Normal 2 31 7" xfId="4563"/>
    <cellStyle name="Normal 2 31 8" xfId="4564"/>
    <cellStyle name="Normal 2 31 9" xfId="4565"/>
    <cellStyle name="Normal 2 32" xfId="4566"/>
    <cellStyle name="Normal 2 32 10" xfId="4567"/>
    <cellStyle name="Normal 2 32 11" xfId="4568"/>
    <cellStyle name="Normal 2 32 12" xfId="4569"/>
    <cellStyle name="Normal 2 32 2" xfId="4570"/>
    <cellStyle name="Normal 2 32 3" xfId="4571"/>
    <cellStyle name="Normal 2 32 4" xfId="4572"/>
    <cellStyle name="Normal 2 32 5" xfId="4573"/>
    <cellStyle name="Normal 2 32 6" xfId="4574"/>
    <cellStyle name="Normal 2 32 7" xfId="4575"/>
    <cellStyle name="Normal 2 32 8" xfId="4576"/>
    <cellStyle name="Normal 2 32 9" xfId="4577"/>
    <cellStyle name="Normal 2 33" xfId="4578"/>
    <cellStyle name="Normal 2 34" xfId="4579"/>
    <cellStyle name="Normal 2 35" xfId="4580"/>
    <cellStyle name="Normal 2 36" xfId="4581"/>
    <cellStyle name="Normal 2 37" xfId="4582"/>
    <cellStyle name="Normal 2 38" xfId="4583"/>
    <cellStyle name="Normal 2 38 2" xfId="8824"/>
    <cellStyle name="Normal 2 39" xfId="4584"/>
    <cellStyle name="Normal 2 4" xfId="4585"/>
    <cellStyle name="Normal 2 4 2" xfId="4586"/>
    <cellStyle name="Normal 2 4 2 2" xfId="4587"/>
    <cellStyle name="Normal 2 4 2 2 2" xfId="4588"/>
    <cellStyle name="Normal 2 4 2 2 2 2" xfId="4589"/>
    <cellStyle name="Normal 2 4 2 2 2_Saf Jan 2011" xfId="4590"/>
    <cellStyle name="Normal 2 4 2 2 3" xfId="4591"/>
    <cellStyle name="Normal 2 4 2 2_Saf Jan 2011" xfId="4592"/>
    <cellStyle name="Normal 2 4 2 3" xfId="4593"/>
    <cellStyle name="Normal 2 4 2_Saf Jan 2011" xfId="4594"/>
    <cellStyle name="Normal 2 4 3" xfId="4595"/>
    <cellStyle name="Normal 2 4 3 2" xfId="4596"/>
    <cellStyle name="Normal 2 4 3 2 2" xfId="4597"/>
    <cellStyle name="Normal 2 4 3 2 2 2" xfId="4598"/>
    <cellStyle name="Normal 2 4 3 2 2_Saf Jan 2011" xfId="4599"/>
    <cellStyle name="Normal 2 4 3 2 3" xfId="4600"/>
    <cellStyle name="Normal 2 4 3 2_Saf Jan 2011" xfId="4601"/>
    <cellStyle name="Normal 2 4 3 3" xfId="4602"/>
    <cellStyle name="Normal 2 4 3_Saf Jan 2011" xfId="4603"/>
    <cellStyle name="Normal 2 4 4" xfId="4604"/>
    <cellStyle name="Normal 2 4 4 2" xfId="4605"/>
    <cellStyle name="Normal 2 4 4 2 2" xfId="4606"/>
    <cellStyle name="Normal 2 4 4 2 2 2" xfId="4607"/>
    <cellStyle name="Normal 2 4 4 2 2_Saf Jan 2011" xfId="4608"/>
    <cellStyle name="Normal 2 4 4 2 3" xfId="4609"/>
    <cellStyle name="Normal 2 4 4 2_Saf Jan 2011" xfId="4610"/>
    <cellStyle name="Normal 2 4 4 3" xfId="4611"/>
    <cellStyle name="Normal 2 4 4_Saf Jan 2011" xfId="4612"/>
    <cellStyle name="Normal 2 4 5" xfId="4613"/>
    <cellStyle name="Normal 2 4 5 2" xfId="4614"/>
    <cellStyle name="Normal 2 4 5_Saf Jan 2011" xfId="4615"/>
    <cellStyle name="Normal 2 4 6" xfId="4616"/>
    <cellStyle name="Normal 2 4 7" xfId="4617"/>
    <cellStyle name="Normal 2 4 7 2" xfId="8825"/>
    <cellStyle name="Normal 2 4_Saf Jan 2011" xfId="4618"/>
    <cellStyle name="Normal 2 40" xfId="4619"/>
    <cellStyle name="Normal 2 41" xfId="4620"/>
    <cellStyle name="Normal 2 42" xfId="4621"/>
    <cellStyle name="Normal 2 42 2" xfId="8826"/>
    <cellStyle name="Normal 2 43" xfId="4622"/>
    <cellStyle name="Normal 2 44" xfId="4623"/>
    <cellStyle name="Normal 2 45" xfId="4624"/>
    <cellStyle name="Normal 2 46" xfId="7975"/>
    <cellStyle name="Normal 2 5" xfId="4625"/>
    <cellStyle name="Normal 2 5 2" xfId="4626"/>
    <cellStyle name="Normal 2 5_Saf Jan 2011" xfId="4627"/>
    <cellStyle name="Normal 2 6" xfId="4628"/>
    <cellStyle name="Normal 2 6 2" xfId="4629"/>
    <cellStyle name="Normal 2 6 2 2" xfId="4630"/>
    <cellStyle name="Normal 2 6 2 2 2" xfId="4631"/>
    <cellStyle name="Normal 2 6 2 2 2 10" xfId="4632"/>
    <cellStyle name="Normal 2 6 2 2 2 11" xfId="4633"/>
    <cellStyle name="Normal 2 6 2 2 2 12" xfId="4634"/>
    <cellStyle name="Normal 2 6 2 2 2 2" xfId="4635"/>
    <cellStyle name="Normal 2 6 2 2 2 3" xfId="4636"/>
    <cellStyle name="Normal 2 6 2 2 2 4" xfId="4637"/>
    <cellStyle name="Normal 2 6 2 2 2 5" xfId="4638"/>
    <cellStyle name="Normal 2 6 2 2 2 6" xfId="4639"/>
    <cellStyle name="Normal 2 6 2 2 2 7" xfId="4640"/>
    <cellStyle name="Normal 2 6 2 2 2 8" xfId="4641"/>
    <cellStyle name="Normal 2 6 2 2 2 9" xfId="4642"/>
    <cellStyle name="Normal 2 6 2 2 3" xfId="4643"/>
    <cellStyle name="Normal 2 6 2 2 3 10" xfId="4644"/>
    <cellStyle name="Normal 2 6 2 2 3 11" xfId="4645"/>
    <cellStyle name="Normal 2 6 2 2 3 12" xfId="4646"/>
    <cellStyle name="Normal 2 6 2 2 3 2" xfId="4647"/>
    <cellStyle name="Normal 2 6 2 2 3 3" xfId="4648"/>
    <cellStyle name="Normal 2 6 2 2 3 4" xfId="4649"/>
    <cellStyle name="Normal 2 6 2 2 3 5" xfId="4650"/>
    <cellStyle name="Normal 2 6 2 2 3 6" xfId="4651"/>
    <cellStyle name="Normal 2 6 2 2 3 7" xfId="4652"/>
    <cellStyle name="Normal 2 6 2 2 3 8" xfId="4653"/>
    <cellStyle name="Normal 2 6 2 2 3 9" xfId="4654"/>
    <cellStyle name="Normal 2 6 2 2 4" xfId="4655"/>
    <cellStyle name="Normal 2 6 2 2 4 10" xfId="4656"/>
    <cellStyle name="Normal 2 6 2 2 4 11" xfId="4657"/>
    <cellStyle name="Normal 2 6 2 2 4 12" xfId="4658"/>
    <cellStyle name="Normal 2 6 2 2 4 2" xfId="4659"/>
    <cellStyle name="Normal 2 6 2 2 4 3" xfId="4660"/>
    <cellStyle name="Normal 2 6 2 2 4 4" xfId="4661"/>
    <cellStyle name="Normal 2 6 2 2 4 5" xfId="4662"/>
    <cellStyle name="Normal 2 6 2 2 4 6" xfId="4663"/>
    <cellStyle name="Normal 2 6 2 2 4 7" xfId="4664"/>
    <cellStyle name="Normal 2 6 2 2 4 8" xfId="4665"/>
    <cellStyle name="Normal 2 6 2 2 4 9" xfId="4666"/>
    <cellStyle name="Normal 2 6 2 2 5" xfId="4667"/>
    <cellStyle name="Normal 2 6 2 2 5 10" xfId="4668"/>
    <cellStyle name="Normal 2 6 2 2 5 11" xfId="4669"/>
    <cellStyle name="Normal 2 6 2 2 5 12" xfId="4670"/>
    <cellStyle name="Normal 2 6 2 2 5 2" xfId="4671"/>
    <cellStyle name="Normal 2 6 2 2 5 3" xfId="4672"/>
    <cellStyle name="Normal 2 6 2 2 5 4" xfId="4673"/>
    <cellStyle name="Normal 2 6 2 2 5 5" xfId="4674"/>
    <cellStyle name="Normal 2 6 2 2 5 6" xfId="4675"/>
    <cellStyle name="Normal 2 6 2 2 5 7" xfId="4676"/>
    <cellStyle name="Normal 2 6 2 2 5 8" xfId="4677"/>
    <cellStyle name="Normal 2 6 2 2 5 9" xfId="4678"/>
    <cellStyle name="Normal 2 6 2 2 6" xfId="4679"/>
    <cellStyle name="Normal 2 6 2 2 6 10" xfId="4680"/>
    <cellStyle name="Normal 2 6 2 2 6 11" xfId="4681"/>
    <cellStyle name="Normal 2 6 2 2 6 12" xfId="4682"/>
    <cellStyle name="Normal 2 6 2 2 6 2" xfId="4683"/>
    <cellStyle name="Normal 2 6 2 2 6 3" xfId="4684"/>
    <cellStyle name="Normal 2 6 2 2 6 4" xfId="4685"/>
    <cellStyle name="Normal 2 6 2 2 6 5" xfId="4686"/>
    <cellStyle name="Normal 2 6 2 2 6 6" xfId="4687"/>
    <cellStyle name="Normal 2 6 2 2 6 7" xfId="4688"/>
    <cellStyle name="Normal 2 6 2 2 6 8" xfId="4689"/>
    <cellStyle name="Normal 2 6 2 2 6 9" xfId="4690"/>
    <cellStyle name="Normal 2 6 2 2 7" xfId="4691"/>
    <cellStyle name="Normal 2 6 2 2 7 10" xfId="4692"/>
    <cellStyle name="Normal 2 6 2 2 7 11" xfId="4693"/>
    <cellStyle name="Normal 2 6 2 2 7 12" xfId="4694"/>
    <cellStyle name="Normal 2 6 2 2 7 2" xfId="4695"/>
    <cellStyle name="Normal 2 6 2 2 7 3" xfId="4696"/>
    <cellStyle name="Normal 2 6 2 2 7 4" xfId="4697"/>
    <cellStyle name="Normal 2 6 2 2 7 5" xfId="4698"/>
    <cellStyle name="Normal 2 6 2 2 7 6" xfId="4699"/>
    <cellStyle name="Normal 2 6 2 2 7 7" xfId="4700"/>
    <cellStyle name="Normal 2 6 2 2 7 8" xfId="4701"/>
    <cellStyle name="Normal 2 6 2 2 7 9" xfId="4702"/>
    <cellStyle name="Normal 2 6 2_Saf Jan 2011" xfId="4703"/>
    <cellStyle name="Normal 2 6 3" xfId="4704"/>
    <cellStyle name="Normal 2 6_Saf Jan 2011" xfId="4705"/>
    <cellStyle name="Normal 2 7" xfId="4706"/>
    <cellStyle name="Normal 2 7 2" xfId="4707"/>
    <cellStyle name="Normal 2 7 3" xfId="4708"/>
    <cellStyle name="Normal 2 8" xfId="4709"/>
    <cellStyle name="Normal 2 8 10" xfId="4710"/>
    <cellStyle name="Normal 2 8 11" xfId="4711"/>
    <cellStyle name="Normal 2 8 12" xfId="4712"/>
    <cellStyle name="Normal 2 8 13" xfId="4713"/>
    <cellStyle name="Normal 2 8 14" xfId="4714"/>
    <cellStyle name="Normal 2 8 2" xfId="4715"/>
    <cellStyle name="Normal 2 8 3" xfId="4716"/>
    <cellStyle name="Normal 2 8 4" xfId="4717"/>
    <cellStyle name="Normal 2 8 5" xfId="4718"/>
    <cellStyle name="Normal 2 8 6" xfId="4719"/>
    <cellStyle name="Normal 2 8 7" xfId="4720"/>
    <cellStyle name="Normal 2 8 8" xfId="4721"/>
    <cellStyle name="Normal 2 8 9" xfId="4722"/>
    <cellStyle name="Normal 2 9" xfId="4723"/>
    <cellStyle name="Normal 2_1. SO LATI Per 1 Juli 2013" xfId="4724"/>
    <cellStyle name="Normal 20" xfId="4725"/>
    <cellStyle name="Normal 20 2" xfId="4726"/>
    <cellStyle name="Normal 21" xfId="4727"/>
    <cellStyle name="Normal 22" xfId="4728"/>
    <cellStyle name="Normal 23" xfId="4729"/>
    <cellStyle name="Normal 24" xfId="4730"/>
    <cellStyle name="Normal 240" xfId="4731"/>
    <cellStyle name="Normal 240 2" xfId="8827"/>
    <cellStyle name="Normal 243" xfId="4732"/>
    <cellStyle name="Normal 245" xfId="4733"/>
    <cellStyle name="Normal 25" xfId="4734"/>
    <cellStyle name="Normal 26" xfId="4735"/>
    <cellStyle name="Normal 26 2" xfId="4736"/>
    <cellStyle name="Normal 26 2 2" xfId="4737"/>
    <cellStyle name="Normal 26 2 2 2" xfId="8828"/>
    <cellStyle name="Normal 26 2 3" xfId="4738"/>
    <cellStyle name="Normal 26 2 3 2" xfId="8829"/>
    <cellStyle name="Normal 26 2 4" xfId="4739"/>
    <cellStyle name="Normal 26 2 4 2" xfId="8830"/>
    <cellStyle name="Normal 26 2 5" xfId="4740"/>
    <cellStyle name="Normal 26 2 5 2" xfId="8831"/>
    <cellStyle name="Normal 26 2 6" xfId="4741"/>
    <cellStyle name="Normal 26 2 6 2" xfId="8832"/>
    <cellStyle name="Normal 26 3" xfId="4742"/>
    <cellStyle name="Normal 26 3 2" xfId="4743"/>
    <cellStyle name="Normal 26 3 2 2" xfId="8833"/>
    <cellStyle name="Normal 26 3 3" xfId="4744"/>
    <cellStyle name="Normal 26 3 3 2" xfId="8834"/>
    <cellStyle name="Normal 26 3 4" xfId="4745"/>
    <cellStyle name="Normal 26 3 4 2" xfId="8835"/>
    <cellStyle name="Normal 26 3 5" xfId="4746"/>
    <cellStyle name="Normal 26 3 5 2" xfId="8836"/>
    <cellStyle name="Normal 26 3 6" xfId="4747"/>
    <cellStyle name="Normal 26 3 6 2" xfId="8837"/>
    <cellStyle name="Normal 26 4" xfId="4748"/>
    <cellStyle name="Normal 26 4 2" xfId="4749"/>
    <cellStyle name="Normal 26 4 2 2" xfId="8838"/>
    <cellStyle name="Normal 26 4 3" xfId="4750"/>
    <cellStyle name="Normal 26 4 3 2" xfId="8839"/>
    <cellStyle name="Normal 26 4 4" xfId="4751"/>
    <cellStyle name="Normal 26 4 4 2" xfId="8840"/>
    <cellStyle name="Normal 26 4 5" xfId="4752"/>
    <cellStyle name="Normal 26 4 5 2" xfId="8841"/>
    <cellStyle name="Normal 26 4 6" xfId="4753"/>
    <cellStyle name="Normal 26 4 6 2" xfId="8842"/>
    <cellStyle name="Normal 26 5" xfId="4754"/>
    <cellStyle name="Normal 26 5 2" xfId="4755"/>
    <cellStyle name="Normal 26 5 2 2" xfId="8843"/>
    <cellStyle name="Normal 26 5 3" xfId="4756"/>
    <cellStyle name="Normal 26 5 3 2" xfId="8844"/>
    <cellStyle name="Normal 26 5 4" xfId="4757"/>
    <cellStyle name="Normal 26 5 4 2" xfId="8845"/>
    <cellStyle name="Normal 26 5 5" xfId="4758"/>
    <cellStyle name="Normal 26 5 5 2" xfId="8846"/>
    <cellStyle name="Normal 26 5 6" xfId="4759"/>
    <cellStyle name="Normal 26 5 6 2" xfId="8847"/>
    <cellStyle name="Normal 26 6" xfId="4760"/>
    <cellStyle name="Normal 26 6 2" xfId="4761"/>
    <cellStyle name="Normal 26 7" xfId="4762"/>
    <cellStyle name="Normal 26_MPP new" xfId="4763"/>
    <cellStyle name="Normal 27" xfId="4764"/>
    <cellStyle name="Normal 27 2" xfId="4765"/>
    <cellStyle name="Normal 27 2 2" xfId="4766"/>
    <cellStyle name="Normal 27 2 2 2" xfId="8848"/>
    <cellStyle name="Normal 27 2 3" xfId="4767"/>
    <cellStyle name="Normal 27 2 3 2" xfId="8849"/>
    <cellStyle name="Normal 27 2 4" xfId="4768"/>
    <cellStyle name="Normal 27 2 4 2" xfId="8850"/>
    <cellStyle name="Normal 27 2 5" xfId="4769"/>
    <cellStyle name="Normal 27 2 5 2" xfId="8851"/>
    <cellStyle name="Normal 27 2 6" xfId="4770"/>
    <cellStyle name="Normal 27 2 6 2" xfId="8852"/>
    <cellStyle name="Normal 27 3" xfId="4771"/>
    <cellStyle name="Normal 27 3 2" xfId="4772"/>
    <cellStyle name="Normal 27 3 2 2" xfId="8853"/>
    <cellStyle name="Normal 27 3 3" xfId="4773"/>
    <cellStyle name="Normal 27 3 3 2" xfId="8854"/>
    <cellStyle name="Normal 27 3 4" xfId="4774"/>
    <cellStyle name="Normal 27 3 4 2" xfId="8855"/>
    <cellStyle name="Normal 27 3 5" xfId="4775"/>
    <cellStyle name="Normal 27 3 5 2" xfId="8856"/>
    <cellStyle name="Normal 27 3 6" xfId="4776"/>
    <cellStyle name="Normal 27 3 6 2" xfId="8857"/>
    <cellStyle name="Normal 27 4" xfId="4777"/>
    <cellStyle name="Normal 27 4 2" xfId="4778"/>
    <cellStyle name="Normal 27 4 2 2" xfId="8858"/>
    <cellStyle name="Normal 27 4 3" xfId="4779"/>
    <cellStyle name="Normal 27 4 3 2" xfId="8859"/>
    <cellStyle name="Normal 27 4 4" xfId="4780"/>
    <cellStyle name="Normal 27 4 4 2" xfId="8860"/>
    <cellStyle name="Normal 27 4 5" xfId="4781"/>
    <cellStyle name="Normal 27 4 5 2" xfId="8861"/>
    <cellStyle name="Normal 27 4 6" xfId="4782"/>
    <cellStyle name="Normal 27 4 6 2" xfId="8862"/>
    <cellStyle name="Normal 27 5" xfId="4783"/>
    <cellStyle name="Normal 27 5 2" xfId="4784"/>
    <cellStyle name="Normal 27 5 2 2" xfId="8863"/>
    <cellStyle name="Normal 27 5 3" xfId="4785"/>
    <cellStyle name="Normal 27 5 3 2" xfId="8864"/>
    <cellStyle name="Normal 27 5 4" xfId="4786"/>
    <cellStyle name="Normal 27 5 4 2" xfId="8865"/>
    <cellStyle name="Normal 27 5 5" xfId="4787"/>
    <cellStyle name="Normal 27 5 5 2" xfId="8866"/>
    <cellStyle name="Normal 27 5 6" xfId="4788"/>
    <cellStyle name="Normal 27 5 6 2" xfId="8867"/>
    <cellStyle name="Normal 27 6" xfId="4789"/>
    <cellStyle name="Normal 27_MPP new" xfId="4790"/>
    <cellStyle name="Normal 28" xfId="4791"/>
    <cellStyle name="Normal 28 2" xfId="4792"/>
    <cellStyle name="Normal 28 2 2" xfId="4793"/>
    <cellStyle name="Normal 28 2 2 2" xfId="8868"/>
    <cellStyle name="Normal 28 2 3" xfId="4794"/>
    <cellStyle name="Normal 28 2 3 2" xfId="8869"/>
    <cellStyle name="Normal 28 2 4" xfId="4795"/>
    <cellStyle name="Normal 28 2 4 2" xfId="8870"/>
    <cellStyle name="Normal 28 2 5" xfId="4796"/>
    <cellStyle name="Normal 28 2 5 2" xfId="8871"/>
    <cellStyle name="Normal 28 2 6" xfId="4797"/>
    <cellStyle name="Normal 28 2 6 2" xfId="8872"/>
    <cellStyle name="Normal 28 3" xfId="4798"/>
    <cellStyle name="Normal 28 3 2" xfId="4799"/>
    <cellStyle name="Normal 28 3 2 2" xfId="8873"/>
    <cellStyle name="Normal 28 3 3" xfId="4800"/>
    <cellStyle name="Normal 28 3 3 2" xfId="8874"/>
    <cellStyle name="Normal 28 3 4" xfId="4801"/>
    <cellStyle name="Normal 28 3 4 2" xfId="8875"/>
    <cellStyle name="Normal 28 3 5" xfId="4802"/>
    <cellStyle name="Normal 28 3 5 2" xfId="8876"/>
    <cellStyle name="Normal 28 3 6" xfId="4803"/>
    <cellStyle name="Normal 28 3 6 2" xfId="8877"/>
    <cellStyle name="Normal 28 4" xfId="4804"/>
    <cellStyle name="Normal 28 4 2" xfId="4805"/>
    <cellStyle name="Normal 28 4 2 2" xfId="8878"/>
    <cellStyle name="Normal 28 4 3" xfId="4806"/>
    <cellStyle name="Normal 28 4 3 2" xfId="8879"/>
    <cellStyle name="Normal 28 4 4" xfId="4807"/>
    <cellStyle name="Normal 28 4 4 2" xfId="8880"/>
    <cellStyle name="Normal 28 4 5" xfId="4808"/>
    <cellStyle name="Normal 28 4 5 2" xfId="8881"/>
    <cellStyle name="Normal 28 4 6" xfId="4809"/>
    <cellStyle name="Normal 28 4 6 2" xfId="8882"/>
    <cellStyle name="Normal 28 5" xfId="4810"/>
    <cellStyle name="Normal 28 5 2" xfId="4811"/>
    <cellStyle name="Normal 28 5 2 2" xfId="8883"/>
    <cellStyle name="Normal 28 5 3" xfId="4812"/>
    <cellStyle name="Normal 28 5 3 2" xfId="8884"/>
    <cellStyle name="Normal 28 5 4" xfId="4813"/>
    <cellStyle name="Normal 28 5 4 2" xfId="8885"/>
    <cellStyle name="Normal 28 5 5" xfId="4814"/>
    <cellStyle name="Normal 28 5 5 2" xfId="8886"/>
    <cellStyle name="Normal 28 5 6" xfId="4815"/>
    <cellStyle name="Normal 28 5 6 2" xfId="8887"/>
    <cellStyle name="Normal 28 6" xfId="4816"/>
    <cellStyle name="Normal 28 6 10" xfId="4817"/>
    <cellStyle name="Normal 28 6 11" xfId="4818"/>
    <cellStyle name="Normal 28 6 12" xfId="4819"/>
    <cellStyle name="Normal 28 6 2" xfId="4820"/>
    <cellStyle name="Normal 28 6 3" xfId="4821"/>
    <cellStyle name="Normal 28 6 4" xfId="4822"/>
    <cellStyle name="Normal 28 6 5" xfId="4823"/>
    <cellStyle name="Normal 28 6 6" xfId="4824"/>
    <cellStyle name="Normal 28 6 7" xfId="4825"/>
    <cellStyle name="Normal 28 6 8" xfId="4826"/>
    <cellStyle name="Normal 28 6 9" xfId="4827"/>
    <cellStyle name="Normal 28_MPP new" xfId="4828"/>
    <cellStyle name="Normal 29" xfId="4829"/>
    <cellStyle name="Normal 29 2" xfId="4830"/>
    <cellStyle name="Normal 29 2 2" xfId="4831"/>
    <cellStyle name="Normal 29 2 2 2" xfId="8888"/>
    <cellStyle name="Normal 29 2 3" xfId="4832"/>
    <cellStyle name="Normal 29 2 3 2" xfId="8889"/>
    <cellStyle name="Normal 29 2 4" xfId="4833"/>
    <cellStyle name="Normal 29 2 4 2" xfId="8890"/>
    <cellStyle name="Normal 29 2 5" xfId="4834"/>
    <cellStyle name="Normal 29 2 5 2" xfId="8891"/>
    <cellStyle name="Normal 29 2 6" xfId="4835"/>
    <cellStyle name="Normal 29 2 6 2" xfId="8892"/>
    <cellStyle name="Normal 29 3" xfId="4836"/>
    <cellStyle name="Normal 29 3 2" xfId="4837"/>
    <cellStyle name="Normal 29 3 2 2" xfId="8893"/>
    <cellStyle name="Normal 29 3 3" xfId="4838"/>
    <cellStyle name="Normal 29 3 3 2" xfId="8894"/>
    <cellStyle name="Normal 29 3 4" xfId="4839"/>
    <cellStyle name="Normal 29 3 4 2" xfId="8895"/>
    <cellStyle name="Normal 29 3 5" xfId="4840"/>
    <cellStyle name="Normal 29 3 5 2" xfId="8896"/>
    <cellStyle name="Normal 29 3 6" xfId="4841"/>
    <cellStyle name="Normal 29 3 6 2" xfId="8897"/>
    <cellStyle name="Normal 29 4" xfId="4842"/>
    <cellStyle name="Normal 29 4 2" xfId="4843"/>
    <cellStyle name="Normal 29 4 2 2" xfId="8898"/>
    <cellStyle name="Normal 29 4 3" xfId="4844"/>
    <cellStyle name="Normal 29 4 3 2" xfId="8899"/>
    <cellStyle name="Normal 29 4 4" xfId="4845"/>
    <cellStyle name="Normal 29 4 4 2" xfId="8900"/>
    <cellStyle name="Normal 29 4 5" xfId="4846"/>
    <cellStyle name="Normal 29 4 5 2" xfId="8901"/>
    <cellStyle name="Normal 29 4 6" xfId="4847"/>
    <cellStyle name="Normal 29 4 6 2" xfId="8902"/>
    <cellStyle name="Normal 29 5" xfId="4848"/>
    <cellStyle name="Normal 29 5 2" xfId="4849"/>
    <cellStyle name="Normal 29 5 2 2" xfId="8903"/>
    <cellStyle name="Normal 29 5 3" xfId="4850"/>
    <cellStyle name="Normal 29 5 3 2" xfId="8904"/>
    <cellStyle name="Normal 29 5 4" xfId="4851"/>
    <cellStyle name="Normal 29 5 4 2" xfId="8905"/>
    <cellStyle name="Normal 29 5 5" xfId="4852"/>
    <cellStyle name="Normal 29 5 5 2" xfId="8906"/>
    <cellStyle name="Normal 29 5 6" xfId="4853"/>
    <cellStyle name="Normal 29 5 6 2" xfId="8907"/>
    <cellStyle name="Normal 29 6" xfId="4854"/>
    <cellStyle name="Normal 29 6 10" xfId="4855"/>
    <cellStyle name="Normal 29 6 11" xfId="4856"/>
    <cellStyle name="Normal 29 6 12" xfId="4857"/>
    <cellStyle name="Normal 29 6 2" xfId="4858"/>
    <cellStyle name="Normal 29 6 3" xfId="4859"/>
    <cellStyle name="Normal 29 6 4" xfId="4860"/>
    <cellStyle name="Normal 29 6 5" xfId="4861"/>
    <cellStyle name="Normal 29 6 6" xfId="4862"/>
    <cellStyle name="Normal 29 6 7" xfId="4863"/>
    <cellStyle name="Normal 29 6 8" xfId="4864"/>
    <cellStyle name="Normal 29 6 9" xfId="4865"/>
    <cellStyle name="Normal 29_MPP new" xfId="4866"/>
    <cellStyle name="Normal 3" xfId="4867"/>
    <cellStyle name="Normal 3 10" xfId="4868"/>
    <cellStyle name="Normal 3 11" xfId="4869"/>
    <cellStyle name="Normal 3 12" xfId="4870"/>
    <cellStyle name="Normal 3 12 10" xfId="4871"/>
    <cellStyle name="Normal 3 12 2" xfId="4872"/>
    <cellStyle name="Normal 3 12 3" xfId="4873"/>
    <cellStyle name="Normal 3 12 4" xfId="4874"/>
    <cellStyle name="Normal 3 12 5" xfId="4875"/>
    <cellStyle name="Normal 3 12 6" xfId="4876"/>
    <cellStyle name="Normal 3 12 7" xfId="4877"/>
    <cellStyle name="Normal 3 12 8" xfId="4878"/>
    <cellStyle name="Normal 3 12 9" xfId="4879"/>
    <cellStyle name="Normal 3 13" xfId="4880"/>
    <cellStyle name="Normal 3 13 10" xfId="4881"/>
    <cellStyle name="Normal 3 13 11" xfId="4882"/>
    <cellStyle name="Normal 3 13 12" xfId="4883"/>
    <cellStyle name="Normal 3 13 2" xfId="4884"/>
    <cellStyle name="Normal 3 13 3" xfId="4885"/>
    <cellStyle name="Normal 3 13 4" xfId="4886"/>
    <cellStyle name="Normal 3 13 5" xfId="4887"/>
    <cellStyle name="Normal 3 13 6" xfId="4888"/>
    <cellStyle name="Normal 3 13 7" xfId="4889"/>
    <cellStyle name="Normal 3 13 8" xfId="4890"/>
    <cellStyle name="Normal 3 13 9" xfId="4891"/>
    <cellStyle name="Normal 3 14" xfId="4892"/>
    <cellStyle name="Normal 3 15" xfId="4893"/>
    <cellStyle name="Normal 3 16" xfId="4894"/>
    <cellStyle name="Normal 3 17" xfId="4895"/>
    <cellStyle name="Normal 3 18" xfId="4896"/>
    <cellStyle name="Normal 3 19" xfId="4897"/>
    <cellStyle name="Normal 3 2" xfId="4898"/>
    <cellStyle name="Normal 3 2 10" xfId="4899"/>
    <cellStyle name="Normal 3 2 2" xfId="4900"/>
    <cellStyle name="Normal 3 2 2 10" xfId="4901"/>
    <cellStyle name="Normal 3 2 2 2" xfId="4902"/>
    <cellStyle name="Normal 3 2 2 3" xfId="4903"/>
    <cellStyle name="Normal 3 2 2 4" xfId="4904"/>
    <cellStyle name="Normal 3 2 2 5" xfId="4905"/>
    <cellStyle name="Normal 3 2 2 6" xfId="4906"/>
    <cellStyle name="Normal 3 2 2 7" xfId="4907"/>
    <cellStyle name="Normal 3 2 2 8" xfId="4908"/>
    <cellStyle name="Normal 3 2 2 9" xfId="4909"/>
    <cellStyle name="Normal 3 2 2_Saf Jan 2011" xfId="4910"/>
    <cellStyle name="Normal 3 2 3" xfId="4911"/>
    <cellStyle name="Normal 3 2 3 2" xfId="4912"/>
    <cellStyle name="Normal 3 2 3_Saf Jan 2011" xfId="4913"/>
    <cellStyle name="Normal 3 2 4" xfId="4914"/>
    <cellStyle name="Normal 3 2 5" xfId="4915"/>
    <cellStyle name="Normal 3 2 6" xfId="4916"/>
    <cellStyle name="Normal 3 2 7" xfId="4917"/>
    <cellStyle name="Normal 3 2 8" xfId="4918"/>
    <cellStyle name="Normal 3 2 9" xfId="4919"/>
    <cellStyle name="Normal 3 2_REQ" xfId="4920"/>
    <cellStyle name="Normal 3 20" xfId="4921"/>
    <cellStyle name="Normal 3 21" xfId="4922"/>
    <cellStyle name="Normal 3 22" xfId="4923"/>
    <cellStyle name="Normal 3 23" xfId="4924"/>
    <cellStyle name="Normal 3 24" xfId="4925"/>
    <cellStyle name="Normal 3 242" xfId="4926"/>
    <cellStyle name="Normal 3 25" xfId="4927"/>
    <cellStyle name="Normal 3 25 2" xfId="8908"/>
    <cellStyle name="Normal 3 26" xfId="4928"/>
    <cellStyle name="Normal 3 27" xfId="4929"/>
    <cellStyle name="Normal 3 28" xfId="4930"/>
    <cellStyle name="Normal 3 29" xfId="4931"/>
    <cellStyle name="Normal 3 3" xfId="4932"/>
    <cellStyle name="Normal 3 3 2" xfId="4933"/>
    <cellStyle name="Normal 3 3 2 2" xfId="4934"/>
    <cellStyle name="Normal 3 3 2 3" xfId="4935"/>
    <cellStyle name="Normal 3 3 3" xfId="4936"/>
    <cellStyle name="Normal 3 3_REQ" xfId="4937"/>
    <cellStyle name="Normal 3 30" xfId="4938"/>
    <cellStyle name="Normal 3 4" xfId="4939"/>
    <cellStyle name="Normal 3 4 2" xfId="4940"/>
    <cellStyle name="Normal 3 4_REQ" xfId="4941"/>
    <cellStyle name="Normal 3 5" xfId="4942"/>
    <cellStyle name="Normal 3 5 2" xfId="4943"/>
    <cellStyle name="Normal 3 5 3" xfId="4944"/>
    <cellStyle name="Normal 3 5_REQ" xfId="4945"/>
    <cellStyle name="Normal 3 6" xfId="4946"/>
    <cellStyle name="Normal 3 7" xfId="4947"/>
    <cellStyle name="Normal 3 8" xfId="4948"/>
    <cellStyle name="Normal 3 9" xfId="4949"/>
    <cellStyle name="Normal 3_1. SO LATI Per 1 Juli 2013" xfId="4950"/>
    <cellStyle name="Normal 30" xfId="4951"/>
    <cellStyle name="Normal 30 10" xfId="4952"/>
    <cellStyle name="Normal 30 11" xfId="4953"/>
    <cellStyle name="Normal 30 12" xfId="4954"/>
    <cellStyle name="Normal 30 2" xfId="4955"/>
    <cellStyle name="Normal 30 3" xfId="4956"/>
    <cellStyle name="Normal 30 4" xfId="4957"/>
    <cellStyle name="Normal 30 5" xfId="4958"/>
    <cellStyle name="Normal 30 6" xfId="4959"/>
    <cellStyle name="Normal 30 7" xfId="4960"/>
    <cellStyle name="Normal 30 8" xfId="4961"/>
    <cellStyle name="Normal 30 9" xfId="4962"/>
    <cellStyle name="Normal 31" xfId="4963"/>
    <cellStyle name="Normal 31 2" xfId="4964"/>
    <cellStyle name="Normal 31 2 2" xfId="4965"/>
    <cellStyle name="Normal 31 2 2 2" xfId="8909"/>
    <cellStyle name="Normal 31 2 3" xfId="4966"/>
    <cellStyle name="Normal 31 2 3 2" xfId="8910"/>
    <cellStyle name="Normal 31 2 4" xfId="4967"/>
    <cellStyle name="Normal 31 2 4 2" xfId="8911"/>
    <cellStyle name="Normal 31 2 5" xfId="4968"/>
    <cellStyle name="Normal 31 2 5 2" xfId="8912"/>
    <cellStyle name="Normal 31 2 6" xfId="4969"/>
    <cellStyle name="Normal 31 2 6 2" xfId="8913"/>
    <cellStyle name="Normal 31 3" xfId="4970"/>
    <cellStyle name="Normal 31 3 2" xfId="4971"/>
    <cellStyle name="Normal 31 3 2 2" xfId="8914"/>
    <cellStyle name="Normal 31 3 3" xfId="4972"/>
    <cellStyle name="Normal 31 3 3 2" xfId="8915"/>
    <cellStyle name="Normal 31 3 4" xfId="4973"/>
    <cellStyle name="Normal 31 3 4 2" xfId="8916"/>
    <cellStyle name="Normal 31 3 5" xfId="4974"/>
    <cellStyle name="Normal 31 3 5 2" xfId="8917"/>
    <cellStyle name="Normal 31 3 6" xfId="4975"/>
    <cellStyle name="Normal 31 3 6 2" xfId="8918"/>
    <cellStyle name="Normal 31 4" xfId="4976"/>
    <cellStyle name="Normal 31 4 2" xfId="4977"/>
    <cellStyle name="Normal 31 4 2 2" xfId="8919"/>
    <cellStyle name="Normal 31 4 3" xfId="4978"/>
    <cellStyle name="Normal 31 4 3 2" xfId="8920"/>
    <cellStyle name="Normal 31 4 4" xfId="4979"/>
    <cellStyle name="Normal 31 4 4 2" xfId="8921"/>
    <cellStyle name="Normal 31 4 5" xfId="4980"/>
    <cellStyle name="Normal 31 4 5 2" xfId="8922"/>
    <cellStyle name="Normal 31 4 6" xfId="4981"/>
    <cellStyle name="Normal 31 4 6 2" xfId="8923"/>
    <cellStyle name="Normal 31 5" xfId="4982"/>
    <cellStyle name="Normal 31 5 2" xfId="4983"/>
    <cellStyle name="Normal 31 5 2 2" xfId="8924"/>
    <cellStyle name="Normal 31 5 3" xfId="4984"/>
    <cellStyle name="Normal 31 5 3 2" xfId="8925"/>
    <cellStyle name="Normal 31 5 4" xfId="4985"/>
    <cellStyle name="Normal 31 5 4 2" xfId="8926"/>
    <cellStyle name="Normal 31 5 5" xfId="4986"/>
    <cellStyle name="Normal 31 5 5 2" xfId="8927"/>
    <cellStyle name="Normal 31 5 6" xfId="4987"/>
    <cellStyle name="Normal 31 5 6 2" xfId="8928"/>
    <cellStyle name="Normal 32" xfId="4988"/>
    <cellStyle name="Normal 32 10" xfId="4989"/>
    <cellStyle name="Normal 32 11" xfId="4990"/>
    <cellStyle name="Normal 32 12" xfId="4991"/>
    <cellStyle name="Normal 32 2" xfId="4992"/>
    <cellStyle name="Normal 32 3" xfId="4993"/>
    <cellStyle name="Normal 32 4" xfId="4994"/>
    <cellStyle name="Normal 32 5" xfId="4995"/>
    <cellStyle name="Normal 32 6" xfId="4996"/>
    <cellStyle name="Normal 32 7" xfId="4997"/>
    <cellStyle name="Normal 32 8" xfId="4998"/>
    <cellStyle name="Normal 32 9" xfId="4999"/>
    <cellStyle name="Normal 33" xfId="5000"/>
    <cellStyle name="Normal 33 10" xfId="5001"/>
    <cellStyle name="Normal 33 11" xfId="5002"/>
    <cellStyle name="Normal 33 12" xfId="5003"/>
    <cellStyle name="Normal 33 2" xfId="5004"/>
    <cellStyle name="Normal 33 3" xfId="5005"/>
    <cellStyle name="Normal 33 4" xfId="5006"/>
    <cellStyle name="Normal 33 5" xfId="5007"/>
    <cellStyle name="Normal 33 6" xfId="5008"/>
    <cellStyle name="Normal 33 7" xfId="5009"/>
    <cellStyle name="Normal 33 8" xfId="5010"/>
    <cellStyle name="Normal 33 9" xfId="5011"/>
    <cellStyle name="Normal 34" xfId="5012"/>
    <cellStyle name="Normal 34 10" xfId="5013"/>
    <cellStyle name="Normal 34 11" xfId="5014"/>
    <cellStyle name="Normal 34 12" xfId="5015"/>
    <cellStyle name="Normal 34 2" xfId="5016"/>
    <cellStyle name="Normal 34 3" xfId="5017"/>
    <cellStyle name="Normal 34 4" xfId="5018"/>
    <cellStyle name="Normal 34 5" xfId="5019"/>
    <cellStyle name="Normal 34 6" xfId="5020"/>
    <cellStyle name="Normal 34 7" xfId="5021"/>
    <cellStyle name="Normal 34 8" xfId="5022"/>
    <cellStyle name="Normal 34 9" xfId="5023"/>
    <cellStyle name="Normal 35" xfId="5024"/>
    <cellStyle name="Normal 35 10" xfId="5025"/>
    <cellStyle name="Normal 35 11" xfId="5026"/>
    <cellStyle name="Normal 35 12" xfId="5027"/>
    <cellStyle name="Normal 35 2" xfId="5028"/>
    <cellStyle name="Normal 35 3" xfId="5029"/>
    <cellStyle name="Normal 35 4" xfId="5030"/>
    <cellStyle name="Normal 35 5" xfId="5031"/>
    <cellStyle name="Normal 35 6" xfId="5032"/>
    <cellStyle name="Normal 35 7" xfId="5033"/>
    <cellStyle name="Normal 35 8" xfId="5034"/>
    <cellStyle name="Normal 35 9" xfId="5035"/>
    <cellStyle name="Normal 36" xfId="5036"/>
    <cellStyle name="Normal 36 10" xfId="5037"/>
    <cellStyle name="Normal 36 11" xfId="5038"/>
    <cellStyle name="Normal 36 12" xfId="5039"/>
    <cellStyle name="Normal 36 2" xfId="5040"/>
    <cellStyle name="Normal 36 3" xfId="5041"/>
    <cellStyle name="Normal 36 4" xfId="5042"/>
    <cellStyle name="Normal 36 5" xfId="5043"/>
    <cellStyle name="Normal 36 6" xfId="5044"/>
    <cellStyle name="Normal 36 7" xfId="5045"/>
    <cellStyle name="Normal 36 8" xfId="5046"/>
    <cellStyle name="Normal 36 9" xfId="5047"/>
    <cellStyle name="Normal 37" xfId="5048"/>
    <cellStyle name="Normal 37 10" xfId="5049"/>
    <cellStyle name="Normal 37 11" xfId="5050"/>
    <cellStyle name="Normal 37 12" xfId="5051"/>
    <cellStyle name="Normal 37 2" xfId="5052"/>
    <cellStyle name="Normal 37 3" xfId="5053"/>
    <cellStyle name="Normal 37 4" xfId="5054"/>
    <cellStyle name="Normal 37 5" xfId="5055"/>
    <cellStyle name="Normal 37 6" xfId="5056"/>
    <cellStyle name="Normal 37 7" xfId="5057"/>
    <cellStyle name="Normal 37 8" xfId="5058"/>
    <cellStyle name="Normal 37 9" xfId="5059"/>
    <cellStyle name="Normal 38" xfId="5060"/>
    <cellStyle name="Normal 38 10" xfId="5061"/>
    <cellStyle name="Normal 38 11" xfId="5062"/>
    <cellStyle name="Normal 38 12" xfId="5063"/>
    <cellStyle name="Normal 38 2" xfId="5064"/>
    <cellStyle name="Normal 38 3" xfId="5065"/>
    <cellStyle name="Normal 38 4" xfId="5066"/>
    <cellStyle name="Normal 38 5" xfId="5067"/>
    <cellStyle name="Normal 38 6" xfId="5068"/>
    <cellStyle name="Normal 38 7" xfId="5069"/>
    <cellStyle name="Normal 38 8" xfId="5070"/>
    <cellStyle name="Normal 38 9" xfId="5071"/>
    <cellStyle name="Normal 39" xfId="5072"/>
    <cellStyle name="Normal 39 2" xfId="5073"/>
    <cellStyle name="Normal 39_1. SO LATI Per 1 Juli 2013" xfId="5074"/>
    <cellStyle name="Normal 4" xfId="5075"/>
    <cellStyle name="Normal 4 10" xfId="5076"/>
    <cellStyle name="Normal 4 11" xfId="5077"/>
    <cellStyle name="Normal 4 12" xfId="5078"/>
    <cellStyle name="Normal 4 13" xfId="5079"/>
    <cellStyle name="Normal 4 14" xfId="5080"/>
    <cellStyle name="Normal 4 14 10" xfId="5081"/>
    <cellStyle name="Normal 4 14 11" xfId="5082"/>
    <cellStyle name="Normal 4 14 12" xfId="5083"/>
    <cellStyle name="Normal 4 14 2" xfId="5084"/>
    <cellStyle name="Normal 4 14 3" xfId="5085"/>
    <cellStyle name="Normal 4 14 4" xfId="5086"/>
    <cellStyle name="Normal 4 14 5" xfId="5087"/>
    <cellStyle name="Normal 4 14 6" xfId="5088"/>
    <cellStyle name="Normal 4 14 7" xfId="5089"/>
    <cellStyle name="Normal 4 14 8" xfId="5090"/>
    <cellStyle name="Normal 4 14 9" xfId="5091"/>
    <cellStyle name="Normal 4 15" xfId="5092"/>
    <cellStyle name="Normal 4 15 2" xfId="8929"/>
    <cellStyle name="Normal 4 16" xfId="5093"/>
    <cellStyle name="Normal 4 16 2" xfId="8930"/>
    <cellStyle name="Normal 4 17" xfId="5094"/>
    <cellStyle name="Normal 4 17 10" xfId="5095"/>
    <cellStyle name="Normal 4 17 11" xfId="5096"/>
    <cellStyle name="Normal 4 17 12" xfId="5097"/>
    <cellStyle name="Normal 4 17 2" xfId="5098"/>
    <cellStyle name="Normal 4 17 3" xfId="5099"/>
    <cellStyle name="Normal 4 17 4" xfId="5100"/>
    <cellStyle name="Normal 4 17 5" xfId="5101"/>
    <cellStyle name="Normal 4 17 6" xfId="5102"/>
    <cellStyle name="Normal 4 17 7" xfId="5103"/>
    <cellStyle name="Normal 4 17 8" xfId="5104"/>
    <cellStyle name="Normal 4 17 9" xfId="5105"/>
    <cellStyle name="Normal 4 18" xfId="5106"/>
    <cellStyle name="Normal 4 18 10" xfId="5107"/>
    <cellStyle name="Normal 4 18 11" xfId="5108"/>
    <cellStyle name="Normal 4 18 12" xfId="5109"/>
    <cellStyle name="Normal 4 18 2" xfId="5110"/>
    <cellStyle name="Normal 4 18 3" xfId="5111"/>
    <cellStyle name="Normal 4 18 4" xfId="5112"/>
    <cellStyle name="Normal 4 18 5" xfId="5113"/>
    <cellStyle name="Normal 4 18 6" xfId="5114"/>
    <cellStyle name="Normal 4 18 7" xfId="5115"/>
    <cellStyle name="Normal 4 18 8" xfId="5116"/>
    <cellStyle name="Normal 4 18 9" xfId="5117"/>
    <cellStyle name="Normal 4 19" xfId="5118"/>
    <cellStyle name="Normal 4 2" xfId="5119"/>
    <cellStyle name="Normal 4 2 10" xfId="5120"/>
    <cellStyle name="Normal 4 2 11" xfId="5121"/>
    <cellStyle name="Normal 4 2 12" xfId="5122"/>
    <cellStyle name="Normal 4 2 13" xfId="5123"/>
    <cellStyle name="Normal 4 2 13 10" xfId="5124"/>
    <cellStyle name="Normal 4 2 13 11" xfId="5125"/>
    <cellStyle name="Normal 4 2 13 12" xfId="5126"/>
    <cellStyle name="Normal 4 2 13 2" xfId="5127"/>
    <cellStyle name="Normal 4 2 13 3" xfId="5128"/>
    <cellStyle name="Normal 4 2 13 4" xfId="5129"/>
    <cellStyle name="Normal 4 2 13 5" xfId="5130"/>
    <cellStyle name="Normal 4 2 13 6" xfId="5131"/>
    <cellStyle name="Normal 4 2 13 7" xfId="5132"/>
    <cellStyle name="Normal 4 2 13 8" xfId="5133"/>
    <cellStyle name="Normal 4 2 13 9" xfId="5134"/>
    <cellStyle name="Normal 4 2 2" xfId="5135"/>
    <cellStyle name="Normal 4 2 2 2" xfId="5136"/>
    <cellStyle name="Normal 4 2 2 3" xfId="5137"/>
    <cellStyle name="Normal 4 2 3" xfId="5138"/>
    <cellStyle name="Normal 4 2 4" xfId="5139"/>
    <cellStyle name="Normal 4 2 5" xfId="5140"/>
    <cellStyle name="Normal 4 2 6" xfId="5141"/>
    <cellStyle name="Normal 4 2 7" xfId="5142"/>
    <cellStyle name="Normal 4 2 8" xfId="5143"/>
    <cellStyle name="Normal 4 2 9" xfId="5144"/>
    <cellStyle name="Normal 4 2_Saf Jan 2011" xfId="5145"/>
    <cellStyle name="Normal 4 20" xfId="5146"/>
    <cellStyle name="Normal 4 21" xfId="5147"/>
    <cellStyle name="Normal 4 22" xfId="5148"/>
    <cellStyle name="Normal 4 23" xfId="5149"/>
    <cellStyle name="Normal 4 24" xfId="5150"/>
    <cellStyle name="Normal 4 25" xfId="5151"/>
    <cellStyle name="Normal 4 26" xfId="5152"/>
    <cellStyle name="Normal 4 27" xfId="5153"/>
    <cellStyle name="Normal 4 28" xfId="5154"/>
    <cellStyle name="Normal 4 29" xfId="5155"/>
    <cellStyle name="Normal 4 3" xfId="5156"/>
    <cellStyle name="Normal 4 3 2" xfId="5157"/>
    <cellStyle name="Normal 4 3_Saf Jan 2011" xfId="5158"/>
    <cellStyle name="Normal 4 30" xfId="5159"/>
    <cellStyle name="Normal 4 4" xfId="5160"/>
    <cellStyle name="Normal 4 4 2" xfId="5161"/>
    <cellStyle name="Normal 4 4_Saf Jan 2011" xfId="5162"/>
    <cellStyle name="Normal 4 5" xfId="5163"/>
    <cellStyle name="Normal 4 6" xfId="5164"/>
    <cellStyle name="Normal 4 7" xfId="5165"/>
    <cellStyle name="Normal 4 8" xfId="5166"/>
    <cellStyle name="Normal 4 8 10" xfId="5167"/>
    <cellStyle name="Normal 4 8 11" xfId="5168"/>
    <cellStyle name="Normal 4 8 12" xfId="5169"/>
    <cellStyle name="Normal 4 8 2" xfId="5170"/>
    <cellStyle name="Normal 4 8 3" xfId="5171"/>
    <cellStyle name="Normal 4 8 4" xfId="5172"/>
    <cellStyle name="Normal 4 8 5" xfId="5173"/>
    <cellStyle name="Normal 4 8 6" xfId="5174"/>
    <cellStyle name="Normal 4 8 7" xfId="5175"/>
    <cellStyle name="Normal 4 8 8" xfId="5176"/>
    <cellStyle name="Normal 4 8 9" xfId="5177"/>
    <cellStyle name="Normal 4 9" xfId="5178"/>
    <cellStyle name="Normal 4_MPP new" xfId="5179"/>
    <cellStyle name="Normal 40" xfId="5180"/>
    <cellStyle name="Normal 41" xfId="5181"/>
    <cellStyle name="Normal 41 10" xfId="5182"/>
    <cellStyle name="Normal 41 2" xfId="5183"/>
    <cellStyle name="Normal 41 3" xfId="5184"/>
    <cellStyle name="Normal 41 4" xfId="5185"/>
    <cellStyle name="Normal 41 5" xfId="5186"/>
    <cellStyle name="Normal 41 6" xfId="5187"/>
    <cellStyle name="Normal 41 7" xfId="5188"/>
    <cellStyle name="Normal 41 8" xfId="5189"/>
    <cellStyle name="Normal 41 9" xfId="5190"/>
    <cellStyle name="Normal 42" xfId="5191"/>
    <cellStyle name="Normal 43" xfId="5192"/>
    <cellStyle name="Normal 44" xfId="5193"/>
    <cellStyle name="Normal 44 2" xfId="5194"/>
    <cellStyle name="Normal 44 3" xfId="5195"/>
    <cellStyle name="Normal 45" xfId="5196"/>
    <cellStyle name="Normal 45 2" xfId="5197"/>
    <cellStyle name="Normal 46" xfId="5198"/>
    <cellStyle name="Normal 46 2" xfId="5199"/>
    <cellStyle name="Normal 47" xfId="5200"/>
    <cellStyle name="Normal 47 2" xfId="5201"/>
    <cellStyle name="Normal 47 3" xfId="5202"/>
    <cellStyle name="Normal 48" xfId="5203"/>
    <cellStyle name="Normal 48 2" xfId="5204"/>
    <cellStyle name="Normal 49" xfId="5205"/>
    <cellStyle name="Normal 49 2" xfId="8"/>
    <cellStyle name="Normal 5" xfId="5206"/>
    <cellStyle name="Normal 5 10" xfId="5207"/>
    <cellStyle name="Normal 5 11" xfId="5208"/>
    <cellStyle name="Normal 5 12" xfId="5209"/>
    <cellStyle name="Normal 5 13" xfId="5210"/>
    <cellStyle name="Normal 5 14" xfId="5211"/>
    <cellStyle name="Normal 5 15" xfId="5212"/>
    <cellStyle name="Normal 5 16" xfId="5213"/>
    <cellStyle name="Normal 5 17" xfId="5214"/>
    <cellStyle name="Normal 5 18" xfId="5215"/>
    <cellStyle name="Normal 5 19" xfId="5216"/>
    <cellStyle name="Normal 5 19 2" xfId="8931"/>
    <cellStyle name="Normal 5 2" xfId="5217"/>
    <cellStyle name="Normal 5 2 2" xfId="5218"/>
    <cellStyle name="Normal 5 2 3" xfId="5219"/>
    <cellStyle name="Normal 5 2_Saf Jan 2011" xfId="5220"/>
    <cellStyle name="Normal 5 20" xfId="5221"/>
    <cellStyle name="Normal 5 20 2" xfId="8932"/>
    <cellStyle name="Normal 5 21" xfId="5222"/>
    <cellStyle name="Normal 5 21 2" xfId="8933"/>
    <cellStyle name="Normal 5 22" xfId="5223"/>
    <cellStyle name="Normal 5 22 2" xfId="8934"/>
    <cellStyle name="Normal 5 23" xfId="5224"/>
    <cellStyle name="Normal 5 23 2" xfId="8935"/>
    <cellStyle name="Normal 5 3" xfId="5225"/>
    <cellStyle name="Normal 5 3 2" xfId="5226"/>
    <cellStyle name="Normal 5 3 3" xfId="5227"/>
    <cellStyle name="Normal 5 3 4" xfId="5228"/>
    <cellStyle name="Normal 5 3 5" xfId="5229"/>
    <cellStyle name="Normal 5 3_Saf Jan 2011" xfId="5230"/>
    <cellStyle name="Normal 5 4" xfId="5231"/>
    <cellStyle name="Normal 5 4 2" xfId="5232"/>
    <cellStyle name="Normal 5 4_Saf Jan 2011" xfId="5233"/>
    <cellStyle name="Normal 5 5" xfId="5234"/>
    <cellStyle name="Normal 5 6" xfId="5235"/>
    <cellStyle name="Normal 5 7" xfId="5236"/>
    <cellStyle name="Normal 5 8" xfId="5237"/>
    <cellStyle name="Normal 5 9" xfId="5238"/>
    <cellStyle name="Normal 5_Copy of ROSTER KERJA OKTOBER 2012 OK" xfId="5239"/>
    <cellStyle name="Normal 50" xfId="5240"/>
    <cellStyle name="Normal 51" xfId="5241"/>
    <cellStyle name="Normal 51 2" xfId="5242"/>
    <cellStyle name="Normal 52" xfId="5243"/>
    <cellStyle name="Normal 53" xfId="5244"/>
    <cellStyle name="Normal 53 2" xfId="8936"/>
    <cellStyle name="Normal 54" xfId="5245"/>
    <cellStyle name="Normal 54 2" xfId="8937"/>
    <cellStyle name="Normal 55" xfId="5246"/>
    <cellStyle name="Normal 55 2" xfId="8938"/>
    <cellStyle name="Normal 56" xfId="5247"/>
    <cellStyle name="Normal 56 2" xfId="8939"/>
    <cellStyle name="Normal 57" xfId="5248"/>
    <cellStyle name="Normal 57 2" xfId="8940"/>
    <cellStyle name="Normal 58" xfId="9003"/>
    <cellStyle name="Normal 59" xfId="5249"/>
    <cellStyle name="Normal 6" xfId="5250"/>
    <cellStyle name="Normal 6 10" xfId="5251"/>
    <cellStyle name="Normal 6 11" xfId="5252"/>
    <cellStyle name="Normal 6 12" xfId="5253"/>
    <cellStyle name="Normal 6 13" xfId="5254"/>
    <cellStyle name="Normal 6 13 2" xfId="8941"/>
    <cellStyle name="Normal 6 14" xfId="5255"/>
    <cellStyle name="Normal 6 14 2" xfId="8942"/>
    <cellStyle name="Normal 6 2" xfId="5256"/>
    <cellStyle name="Normal 6 2 10" xfId="5257"/>
    <cellStyle name="Normal 6 2 10 2" xfId="8943"/>
    <cellStyle name="Normal 6 2 11" xfId="5258"/>
    <cellStyle name="Normal 6 2 11 2" xfId="8944"/>
    <cellStyle name="Normal 6 2 12" xfId="5259"/>
    <cellStyle name="Normal 6 2 12 2" xfId="8945"/>
    <cellStyle name="Normal 6 2 13" xfId="5260"/>
    <cellStyle name="Normal 6 2 14" xfId="5261"/>
    <cellStyle name="Normal 6 2 15" xfId="5262"/>
    <cellStyle name="Normal 6 2 16" xfId="5263"/>
    <cellStyle name="Normal 6 2 17" xfId="5264"/>
    <cellStyle name="Normal 6 2 18" xfId="5265"/>
    <cellStyle name="Normal 6 2 19" xfId="5266"/>
    <cellStyle name="Normal 6 2 2" xfId="5267"/>
    <cellStyle name="Normal 6 2 2 10" xfId="5268"/>
    <cellStyle name="Normal 6 2 2 11" xfId="5269"/>
    <cellStyle name="Normal 6 2 2 12" xfId="5270"/>
    <cellStyle name="Normal 6 2 2 13" xfId="5271"/>
    <cellStyle name="Normal 6 2 2 13 2" xfId="8946"/>
    <cellStyle name="Normal 6 2 2 2" xfId="5272"/>
    <cellStyle name="Normal 6 2 2 2 2" xfId="5273"/>
    <cellStyle name="Normal 6 2 2 2 3" xfId="5274"/>
    <cellStyle name="Normal 6 2 2 3" xfId="5275"/>
    <cellStyle name="Normal 6 2 2 4" xfId="5276"/>
    <cellStyle name="Normal 6 2 2 5" xfId="5277"/>
    <cellStyle name="Normal 6 2 2 6" xfId="5278"/>
    <cellStyle name="Normal 6 2 2 7" xfId="5279"/>
    <cellStyle name="Normal 6 2 2 8" xfId="5280"/>
    <cellStyle name="Normal 6 2 2 9" xfId="5281"/>
    <cellStyle name="Normal 6 2 20" xfId="5282"/>
    <cellStyle name="Normal 6 2 21" xfId="5283"/>
    <cellStyle name="Normal 6 2 22" xfId="5284"/>
    <cellStyle name="Normal 6 2 23" xfId="5285"/>
    <cellStyle name="Normal 6 2 24" xfId="5286"/>
    <cellStyle name="Normal 6 2 3" xfId="5287"/>
    <cellStyle name="Normal 6 2 3 2" xfId="8947"/>
    <cellStyle name="Normal 6 2 4" xfId="5288"/>
    <cellStyle name="Normal 6 2 4 2" xfId="5289"/>
    <cellStyle name="Normal 6 2 4 2 2" xfId="8949"/>
    <cellStyle name="Normal 6 2 4 3" xfId="5290"/>
    <cellStyle name="Normal 6 2 4 3 2" xfId="8950"/>
    <cellStyle name="Normal 6 2 4 4" xfId="5291"/>
    <cellStyle name="Normal 6 2 4 4 2" xfId="8951"/>
    <cellStyle name="Normal 6 2 4 5" xfId="5292"/>
    <cellStyle name="Normal 6 2 4 5 2" xfId="8952"/>
    <cellStyle name="Normal 6 2 4 6" xfId="5293"/>
    <cellStyle name="Normal 6 2 4 6 2" xfId="8953"/>
    <cellStyle name="Normal 6 2 4 7" xfId="8948"/>
    <cellStyle name="Normal 6 2 5" xfId="5294"/>
    <cellStyle name="Normal 6 2 5 2" xfId="5295"/>
    <cellStyle name="Normal 6 2 5 2 2" xfId="8955"/>
    <cellStyle name="Normal 6 2 5 3" xfId="5296"/>
    <cellStyle name="Normal 6 2 5 3 2" xfId="8956"/>
    <cellStyle name="Normal 6 2 5 4" xfId="5297"/>
    <cellStyle name="Normal 6 2 5 4 2" xfId="8957"/>
    <cellStyle name="Normal 6 2 5 5" xfId="5298"/>
    <cellStyle name="Normal 6 2 5 5 2" xfId="8958"/>
    <cellStyle name="Normal 6 2 5 6" xfId="5299"/>
    <cellStyle name="Normal 6 2 5 6 2" xfId="8959"/>
    <cellStyle name="Normal 6 2 5 7" xfId="8954"/>
    <cellStyle name="Normal 6 2 6" xfId="5300"/>
    <cellStyle name="Normal 6 2 6 2" xfId="5301"/>
    <cellStyle name="Normal 6 2 6 2 2" xfId="8961"/>
    <cellStyle name="Normal 6 2 6 3" xfId="5302"/>
    <cellStyle name="Normal 6 2 6 3 2" xfId="8962"/>
    <cellStyle name="Normal 6 2 6 4" xfId="5303"/>
    <cellStyle name="Normal 6 2 6 4 2" xfId="8963"/>
    <cellStyle name="Normal 6 2 6 5" xfId="5304"/>
    <cellStyle name="Normal 6 2 6 5 2" xfId="8964"/>
    <cellStyle name="Normal 6 2 6 6" xfId="5305"/>
    <cellStyle name="Normal 6 2 6 6 2" xfId="8965"/>
    <cellStyle name="Normal 6 2 6 7" xfId="8960"/>
    <cellStyle name="Normal 6 2 7" xfId="5306"/>
    <cellStyle name="Normal 6 2 7 2" xfId="5307"/>
    <cellStyle name="Normal 6 2 7 2 2" xfId="8967"/>
    <cellStyle name="Normal 6 2 7 3" xfId="5308"/>
    <cellStyle name="Normal 6 2 7 3 2" xfId="8968"/>
    <cellStyle name="Normal 6 2 7 4" xfId="5309"/>
    <cellStyle name="Normal 6 2 7 4 2" xfId="8969"/>
    <cellStyle name="Normal 6 2 7 5" xfId="5310"/>
    <cellStyle name="Normal 6 2 7 5 2" xfId="8970"/>
    <cellStyle name="Normal 6 2 7 6" xfId="5311"/>
    <cellStyle name="Normal 6 2 7 6 2" xfId="8971"/>
    <cellStyle name="Normal 6 2 7 7" xfId="8966"/>
    <cellStyle name="Normal 6 2 8" xfId="5312"/>
    <cellStyle name="Normal 6 2 8 2" xfId="5313"/>
    <cellStyle name="Normal 6 2 8 2 2" xfId="8973"/>
    <cellStyle name="Normal 6 2 8 3" xfId="5314"/>
    <cellStyle name="Normal 6 2 8 3 2" xfId="8974"/>
    <cellStyle name="Normal 6 2 8 4" xfId="5315"/>
    <cellStyle name="Normal 6 2 8 4 2" xfId="8975"/>
    <cellStyle name="Normal 6 2 8 5" xfId="5316"/>
    <cellStyle name="Normal 6 2 8 5 2" xfId="8976"/>
    <cellStyle name="Normal 6 2 8 6" xfId="5317"/>
    <cellStyle name="Normal 6 2 8 6 2" xfId="8977"/>
    <cellStyle name="Normal 6 2 8 7" xfId="8972"/>
    <cellStyle name="Normal 6 2 9" xfId="5318"/>
    <cellStyle name="Normal 6 2 9 2" xfId="5319"/>
    <cellStyle name="Normal 6 2 9 2 2" xfId="8979"/>
    <cellStyle name="Normal 6 2 9 3" xfId="5320"/>
    <cellStyle name="Normal 6 2 9 3 2" xfId="8980"/>
    <cellStyle name="Normal 6 2 9 4" xfId="5321"/>
    <cellStyle name="Normal 6 2 9 4 2" xfId="8981"/>
    <cellStyle name="Normal 6 2 9 5" xfId="5322"/>
    <cellStyle name="Normal 6 2 9 5 2" xfId="8982"/>
    <cellStyle name="Normal 6 2 9 6" xfId="5323"/>
    <cellStyle name="Normal 6 2 9 6 2" xfId="8983"/>
    <cellStyle name="Normal 6 2 9 7" xfId="8978"/>
    <cellStyle name="Normal 6 2_MPP new" xfId="5324"/>
    <cellStyle name="Normal 6 3" xfId="5325"/>
    <cellStyle name="Normal 6 3 2" xfId="5326"/>
    <cellStyle name="Normal 6 3 2 2" xfId="8985"/>
    <cellStyle name="Normal 6 3 3" xfId="5327"/>
    <cellStyle name="Normal 6 3 3 2" xfId="8986"/>
    <cellStyle name="Normal 6 3 4" xfId="5328"/>
    <cellStyle name="Normal 6 3 4 2" xfId="8987"/>
    <cellStyle name="Normal 6 3 5" xfId="5329"/>
    <cellStyle name="Normal 6 3 5 2" xfId="8988"/>
    <cellStyle name="Normal 6 3 6" xfId="5330"/>
    <cellStyle name="Normal 6 3 6 2" xfId="8989"/>
    <cellStyle name="Normal 6 3 7" xfId="8984"/>
    <cellStyle name="Normal 6 4" xfId="5331"/>
    <cellStyle name="Normal 6 4 2" xfId="5332"/>
    <cellStyle name="Normal 6 4 3" xfId="5333"/>
    <cellStyle name="Normal 6 4 4" xfId="5334"/>
    <cellStyle name="Normal 6 4 5" xfId="5335"/>
    <cellStyle name="Normal 6 4 6" xfId="5336"/>
    <cellStyle name="Normal 6 5" xfId="5337"/>
    <cellStyle name="Normal 6 5 2" xfId="5338"/>
    <cellStyle name="Normal 6 5 3" xfId="5339"/>
    <cellStyle name="Normal 6 5 4" xfId="5340"/>
    <cellStyle name="Normal 6 5 5" xfId="5341"/>
    <cellStyle name="Normal 6 5 6" xfId="5342"/>
    <cellStyle name="Normal 6 6" xfId="5343"/>
    <cellStyle name="Normal 6 6 2" xfId="5344"/>
    <cellStyle name="Normal 6 6 3" xfId="5345"/>
    <cellStyle name="Normal 6 6 4" xfId="5346"/>
    <cellStyle name="Normal 6 6 5" xfId="5347"/>
    <cellStyle name="Normal 6 6 6" xfId="5348"/>
    <cellStyle name="Normal 6 7" xfId="5349"/>
    <cellStyle name="Normal 6 7 2" xfId="5350"/>
    <cellStyle name="Normal 6 7 3" xfId="5351"/>
    <cellStyle name="Normal 6 7 4" xfId="5352"/>
    <cellStyle name="Normal 6 7 5" xfId="5353"/>
    <cellStyle name="Normal 6 7 6" xfId="5354"/>
    <cellStyle name="Normal 6 8" xfId="5355"/>
    <cellStyle name="Normal 6 8 2" xfId="5356"/>
    <cellStyle name="Normal 6 8 3" xfId="5357"/>
    <cellStyle name="Normal 6 8 4" xfId="5358"/>
    <cellStyle name="Normal 6 8 5" xfId="5359"/>
    <cellStyle name="Normal 6 8 6" xfId="5360"/>
    <cellStyle name="Normal 6 9" xfId="5361"/>
    <cellStyle name="Normal 6 9 2" xfId="5362"/>
    <cellStyle name="Normal 6 9 3" xfId="5363"/>
    <cellStyle name="Normal 6 9 4" xfId="5364"/>
    <cellStyle name="Normal 6 9 5" xfId="5365"/>
    <cellStyle name="Normal 6 9 6" xfId="5366"/>
    <cellStyle name="Normal 6_1. SO LATI Per 1 Juli 2013" xfId="5367"/>
    <cellStyle name="Normal 7" xfId="5368"/>
    <cellStyle name="Normal 7 10" xfId="5369"/>
    <cellStyle name="Normal 7 10 10" xfId="5370"/>
    <cellStyle name="Normal 7 10 11" xfId="5371"/>
    <cellStyle name="Normal 7 10 12" xfId="5372"/>
    <cellStyle name="Normal 7 10 2" xfId="5373"/>
    <cellStyle name="Normal 7 10 2 2" xfId="5374"/>
    <cellStyle name="Normal 7 10 2 3" xfId="5375"/>
    <cellStyle name="Normal 7 10 2 4" xfId="5376"/>
    <cellStyle name="Normal 7 10 2 5" xfId="5377"/>
    <cellStyle name="Normal 7 10 2 6" xfId="5378"/>
    <cellStyle name="Normal 7 10 3" xfId="5379"/>
    <cellStyle name="Normal 7 10 3 2" xfId="5380"/>
    <cellStyle name="Normal 7 10 3 3" xfId="5381"/>
    <cellStyle name="Normal 7 10 3 4" xfId="5382"/>
    <cellStyle name="Normal 7 10 3 5" xfId="5383"/>
    <cellStyle name="Normal 7 10 3 6" xfId="5384"/>
    <cellStyle name="Normal 7 10 4" xfId="5385"/>
    <cellStyle name="Normal 7 10 4 2" xfId="5386"/>
    <cellStyle name="Normal 7 10 4 3" xfId="5387"/>
    <cellStyle name="Normal 7 10 4 4" xfId="5388"/>
    <cellStyle name="Normal 7 10 4 5" xfId="5389"/>
    <cellStyle name="Normal 7 10 4 6" xfId="5390"/>
    <cellStyle name="Normal 7 10 5" xfId="5391"/>
    <cellStyle name="Normal 7 10 6" xfId="5392"/>
    <cellStyle name="Normal 7 10 7" xfId="5393"/>
    <cellStyle name="Normal 7 10 8" xfId="5394"/>
    <cellStyle name="Normal 7 10 9" xfId="5395"/>
    <cellStyle name="Normal 7 11" xfId="5396"/>
    <cellStyle name="Normal 7 11 10" xfId="5397"/>
    <cellStyle name="Normal 7 11 11" xfId="5398"/>
    <cellStyle name="Normal 7 11 12" xfId="5399"/>
    <cellStyle name="Normal 7 11 2" xfId="5400"/>
    <cellStyle name="Normal 7 11 2 2" xfId="5401"/>
    <cellStyle name="Normal 7 11 2 3" xfId="5402"/>
    <cellStyle name="Normal 7 11 2 4" xfId="5403"/>
    <cellStyle name="Normal 7 11 2 5" xfId="5404"/>
    <cellStyle name="Normal 7 11 2 6" xfId="5405"/>
    <cellStyle name="Normal 7 11 3" xfId="5406"/>
    <cellStyle name="Normal 7 11 3 2" xfId="5407"/>
    <cellStyle name="Normal 7 11 3 3" xfId="5408"/>
    <cellStyle name="Normal 7 11 3 4" xfId="5409"/>
    <cellStyle name="Normal 7 11 3 5" xfId="5410"/>
    <cellStyle name="Normal 7 11 3 6" xfId="5411"/>
    <cellStyle name="Normal 7 11 4" xfId="5412"/>
    <cellStyle name="Normal 7 11 4 2" xfId="5413"/>
    <cellStyle name="Normal 7 11 4 3" xfId="5414"/>
    <cellStyle name="Normal 7 11 4 4" xfId="5415"/>
    <cellStyle name="Normal 7 11 4 5" xfId="5416"/>
    <cellStyle name="Normal 7 11 4 6" xfId="5417"/>
    <cellStyle name="Normal 7 11 5" xfId="5418"/>
    <cellStyle name="Normal 7 11 6" xfId="5419"/>
    <cellStyle name="Normal 7 11 7" xfId="5420"/>
    <cellStyle name="Normal 7 11 8" xfId="5421"/>
    <cellStyle name="Normal 7 11 9" xfId="5422"/>
    <cellStyle name="Normal 7 12" xfId="5423"/>
    <cellStyle name="Normal 7 12 10" xfId="5424"/>
    <cellStyle name="Normal 7 12 11" xfId="5425"/>
    <cellStyle name="Normal 7 12 12" xfId="5426"/>
    <cellStyle name="Normal 7 12 2" xfId="5427"/>
    <cellStyle name="Normal 7 12 2 2" xfId="5428"/>
    <cellStyle name="Normal 7 12 2 3" xfId="5429"/>
    <cellStyle name="Normal 7 12 2 4" xfId="5430"/>
    <cellStyle name="Normal 7 12 2 5" xfId="5431"/>
    <cellStyle name="Normal 7 12 2 6" xfId="5432"/>
    <cellStyle name="Normal 7 12 3" xfId="5433"/>
    <cellStyle name="Normal 7 12 3 2" xfId="5434"/>
    <cellStyle name="Normal 7 12 3 3" xfId="5435"/>
    <cellStyle name="Normal 7 12 3 4" xfId="5436"/>
    <cellStyle name="Normal 7 12 3 5" xfId="5437"/>
    <cellStyle name="Normal 7 12 3 6" xfId="5438"/>
    <cellStyle name="Normal 7 12 4" xfId="5439"/>
    <cellStyle name="Normal 7 12 4 2" xfId="5440"/>
    <cellStyle name="Normal 7 12 4 3" xfId="5441"/>
    <cellStyle name="Normal 7 12 4 4" xfId="5442"/>
    <cellStyle name="Normal 7 12 4 5" xfId="5443"/>
    <cellStyle name="Normal 7 12 4 6" xfId="5444"/>
    <cellStyle name="Normal 7 12 5" xfId="5445"/>
    <cellStyle name="Normal 7 12 6" xfId="5446"/>
    <cellStyle name="Normal 7 12 7" xfId="5447"/>
    <cellStyle name="Normal 7 12 8" xfId="5448"/>
    <cellStyle name="Normal 7 12 9" xfId="5449"/>
    <cellStyle name="Normal 7 13" xfId="5450"/>
    <cellStyle name="Normal 7 13 2" xfId="5451"/>
    <cellStyle name="Normal 7 13 3" xfId="5452"/>
    <cellStyle name="Normal 7 13 4" xfId="5453"/>
    <cellStyle name="Normal 7 13 5" xfId="5454"/>
    <cellStyle name="Normal 7 13 6" xfId="5455"/>
    <cellStyle name="Normal 7 14" xfId="5456"/>
    <cellStyle name="Normal 7 14 2" xfId="5457"/>
    <cellStyle name="Normal 7 14 3" xfId="5458"/>
    <cellStyle name="Normal 7 14 4" xfId="5459"/>
    <cellStyle name="Normal 7 14 5" xfId="5460"/>
    <cellStyle name="Normal 7 14 6" xfId="5461"/>
    <cellStyle name="Normal 7 15" xfId="5462"/>
    <cellStyle name="Normal 7 15 2" xfId="5463"/>
    <cellStyle name="Normal 7 15 3" xfId="5464"/>
    <cellStyle name="Normal 7 15 4" xfId="5465"/>
    <cellStyle name="Normal 7 15 5" xfId="5466"/>
    <cellStyle name="Normal 7 15 6" xfId="5467"/>
    <cellStyle name="Normal 7 16" xfId="5468"/>
    <cellStyle name="Normal 7 17" xfId="5469"/>
    <cellStyle name="Normal 7 18" xfId="5470"/>
    <cellStyle name="Normal 7 19" xfId="5471"/>
    <cellStyle name="Normal 7 2" xfId="5472"/>
    <cellStyle name="Normal 7 2 2" xfId="5473"/>
    <cellStyle name="Normal 7 2 3" xfId="5474"/>
    <cellStyle name="Normal 7 2 4" xfId="5475"/>
    <cellStyle name="Normal 7 2 5" xfId="5476"/>
    <cellStyle name="Normal 7 2 6" xfId="5477"/>
    <cellStyle name="Normal 7 20" xfId="5478"/>
    <cellStyle name="Normal 7 21" xfId="5479"/>
    <cellStyle name="Normal 7 22" xfId="5480"/>
    <cellStyle name="Normal 7 23" xfId="5481"/>
    <cellStyle name="Normal 7 3" xfId="5482"/>
    <cellStyle name="Normal 7 3 2" xfId="5483"/>
    <cellStyle name="Normal 7 3 2 2" xfId="8991"/>
    <cellStyle name="Normal 7 3 3" xfId="5484"/>
    <cellStyle name="Normal 7 3 3 2" xfId="8992"/>
    <cellStyle name="Normal 7 3 4" xfId="5485"/>
    <cellStyle name="Normal 7 3 4 2" xfId="8993"/>
    <cellStyle name="Normal 7 3 5" xfId="5486"/>
    <cellStyle name="Normal 7 3 5 2" xfId="8994"/>
    <cellStyle name="Normal 7 3 6" xfId="5487"/>
    <cellStyle name="Normal 7 3 6 2" xfId="8995"/>
    <cellStyle name="Normal 7 3 7" xfId="8990"/>
    <cellStyle name="Normal 7 4" xfId="5488"/>
    <cellStyle name="Normal 7 4 10" xfId="5489"/>
    <cellStyle name="Normal 7 4 11" xfId="5490"/>
    <cellStyle name="Normal 7 4 12" xfId="5491"/>
    <cellStyle name="Normal 7 4 2" xfId="5492"/>
    <cellStyle name="Normal 7 4 2 2" xfId="5493"/>
    <cellStyle name="Normal 7 4 2 3" xfId="5494"/>
    <cellStyle name="Normal 7 4 2 4" xfId="5495"/>
    <cellStyle name="Normal 7 4 2 5" xfId="5496"/>
    <cellStyle name="Normal 7 4 2 6" xfId="5497"/>
    <cellStyle name="Normal 7 4 3" xfId="5498"/>
    <cellStyle name="Normal 7 4 3 2" xfId="5499"/>
    <cellStyle name="Normal 7 4 3 3" xfId="5500"/>
    <cellStyle name="Normal 7 4 3 4" xfId="5501"/>
    <cellStyle name="Normal 7 4 3 5" xfId="5502"/>
    <cellStyle name="Normal 7 4 3 6" xfId="5503"/>
    <cellStyle name="Normal 7 4 4" xfId="5504"/>
    <cellStyle name="Normal 7 4 4 2" xfId="5505"/>
    <cellStyle name="Normal 7 4 4 3" xfId="5506"/>
    <cellStyle name="Normal 7 4 4 4" xfId="5507"/>
    <cellStyle name="Normal 7 4 4 5" xfId="5508"/>
    <cellStyle name="Normal 7 4 4 6" xfId="5509"/>
    <cellStyle name="Normal 7 4 5" xfId="5510"/>
    <cellStyle name="Normal 7 4 6" xfId="5511"/>
    <cellStyle name="Normal 7 4 7" xfId="5512"/>
    <cellStyle name="Normal 7 4 8" xfId="5513"/>
    <cellStyle name="Normal 7 4 9" xfId="5514"/>
    <cellStyle name="Normal 7 5" xfId="5515"/>
    <cellStyle name="Normal 7 5 10" xfId="5516"/>
    <cellStyle name="Normal 7 5 11" xfId="5517"/>
    <cellStyle name="Normal 7 5 12" xfId="5518"/>
    <cellStyle name="Normal 7 5 2" xfId="5519"/>
    <cellStyle name="Normal 7 5 2 2" xfId="5520"/>
    <cellStyle name="Normal 7 5 2 3" xfId="5521"/>
    <cellStyle name="Normal 7 5 2 4" xfId="5522"/>
    <cellStyle name="Normal 7 5 2 5" xfId="5523"/>
    <cellStyle name="Normal 7 5 2 6" xfId="5524"/>
    <cellStyle name="Normal 7 5 3" xfId="5525"/>
    <cellStyle name="Normal 7 5 3 2" xfId="5526"/>
    <cellStyle name="Normal 7 5 3 3" xfId="5527"/>
    <cellStyle name="Normal 7 5 3 4" xfId="5528"/>
    <cellStyle name="Normal 7 5 3 5" xfId="5529"/>
    <cellStyle name="Normal 7 5 3 6" xfId="5530"/>
    <cellStyle name="Normal 7 5 4" xfId="5531"/>
    <cellStyle name="Normal 7 5 4 2" xfId="5532"/>
    <cellStyle name="Normal 7 5 4 3" xfId="5533"/>
    <cellStyle name="Normal 7 5 4 4" xfId="5534"/>
    <cellStyle name="Normal 7 5 4 5" xfId="5535"/>
    <cellStyle name="Normal 7 5 4 6" xfId="5536"/>
    <cellStyle name="Normal 7 5 5" xfId="5537"/>
    <cellStyle name="Normal 7 5 6" xfId="5538"/>
    <cellStyle name="Normal 7 5 7" xfId="5539"/>
    <cellStyle name="Normal 7 5 8" xfId="5540"/>
    <cellStyle name="Normal 7 5 9" xfId="5541"/>
    <cellStyle name="Normal 7 6" xfId="5542"/>
    <cellStyle name="Normal 7 6 10" xfId="5543"/>
    <cellStyle name="Normal 7 6 11" xfId="5544"/>
    <cellStyle name="Normal 7 6 12" xfId="5545"/>
    <cellStyle name="Normal 7 6 2" xfId="5546"/>
    <cellStyle name="Normal 7 6 2 2" xfId="5547"/>
    <cellStyle name="Normal 7 6 2 3" xfId="5548"/>
    <cellStyle name="Normal 7 6 2 4" xfId="5549"/>
    <cellStyle name="Normal 7 6 2 5" xfId="5550"/>
    <cellStyle name="Normal 7 6 2 6" xfId="5551"/>
    <cellStyle name="Normal 7 6 3" xfId="5552"/>
    <cellStyle name="Normal 7 6 3 2" xfId="5553"/>
    <cellStyle name="Normal 7 6 3 3" xfId="5554"/>
    <cellStyle name="Normal 7 6 3 4" xfId="5555"/>
    <cellStyle name="Normal 7 6 3 5" xfId="5556"/>
    <cellStyle name="Normal 7 6 3 6" xfId="5557"/>
    <cellStyle name="Normal 7 6 4" xfId="5558"/>
    <cellStyle name="Normal 7 6 4 2" xfId="5559"/>
    <cellStyle name="Normal 7 6 4 3" xfId="5560"/>
    <cellStyle name="Normal 7 6 4 4" xfId="5561"/>
    <cellStyle name="Normal 7 6 4 5" xfId="5562"/>
    <cellStyle name="Normal 7 6 4 6" xfId="5563"/>
    <cellStyle name="Normal 7 6 5" xfId="5564"/>
    <cellStyle name="Normal 7 6 6" xfId="5565"/>
    <cellStyle name="Normal 7 6 7" xfId="5566"/>
    <cellStyle name="Normal 7 6 8" xfId="5567"/>
    <cellStyle name="Normal 7 6 9" xfId="5568"/>
    <cellStyle name="Normal 7 7" xfId="5569"/>
    <cellStyle name="Normal 7 7 10" xfId="5570"/>
    <cellStyle name="Normal 7 7 11" xfId="5571"/>
    <cellStyle name="Normal 7 7 12" xfId="5572"/>
    <cellStyle name="Normal 7 7 13" xfId="5573"/>
    <cellStyle name="Normal 7 7 2" xfId="5574"/>
    <cellStyle name="Normal 7 7 2 2" xfId="5575"/>
    <cellStyle name="Normal 7 7 2 2 2" xfId="8997"/>
    <cellStyle name="Normal 7 7 2 3" xfId="5576"/>
    <cellStyle name="Normal 7 7 2 3 2" xfId="8998"/>
    <cellStyle name="Normal 7 7 2 4" xfId="5577"/>
    <cellStyle name="Normal 7 7 2 4 2" xfId="8999"/>
    <cellStyle name="Normal 7 7 2 5" xfId="5578"/>
    <cellStyle name="Normal 7 7 2 5 2" xfId="9000"/>
    <cellStyle name="Normal 7 7 2 6" xfId="5579"/>
    <cellStyle name="Normal 7 7 2 6 2" xfId="9001"/>
    <cellStyle name="Normal 7 7 2 7" xfId="8996"/>
    <cellStyle name="Normal 7 7 3" xfId="5580"/>
    <cellStyle name="Normal 7 7 3 2" xfId="5581"/>
    <cellStyle name="Normal 7 7 3 3" xfId="5582"/>
    <cellStyle name="Normal 7 7 3 4" xfId="5583"/>
    <cellStyle name="Normal 7 7 3 5" xfId="5584"/>
    <cellStyle name="Normal 7 7 3 6" xfId="5585"/>
    <cellStyle name="Normal 7 7 4" xfId="5586"/>
    <cellStyle name="Normal 7 7 4 2" xfId="5587"/>
    <cellStyle name="Normal 7 7 4 3" xfId="5588"/>
    <cellStyle name="Normal 7 7 4 4" xfId="5589"/>
    <cellStyle name="Normal 7 7 4 5" xfId="5590"/>
    <cellStyle name="Normal 7 7 4 6" xfId="5591"/>
    <cellStyle name="Normal 7 7 5" xfId="5592"/>
    <cellStyle name="Normal 7 7 5 2" xfId="5593"/>
    <cellStyle name="Normal 7 7 5 3" xfId="5594"/>
    <cellStyle name="Normal 7 7 5 4" xfId="5595"/>
    <cellStyle name="Normal 7 7 5 5" xfId="5596"/>
    <cellStyle name="Normal 7 7 5 6" xfId="5597"/>
    <cellStyle name="Normal 7 7 6" xfId="5598"/>
    <cellStyle name="Normal 7 7 7" xfId="5599"/>
    <cellStyle name="Normal 7 7 8" xfId="5600"/>
    <cellStyle name="Normal 7 7 9" xfId="5601"/>
    <cellStyle name="Normal 7 8" xfId="5602"/>
    <cellStyle name="Normal 7 8 10" xfId="5603"/>
    <cellStyle name="Normal 7 8 11" xfId="5604"/>
    <cellStyle name="Normal 7 8 12" xfId="5605"/>
    <cellStyle name="Normal 7 8 2" xfId="5606"/>
    <cellStyle name="Normal 7 8 2 2" xfId="5607"/>
    <cellStyle name="Normal 7 8 2 3" xfId="5608"/>
    <cellStyle name="Normal 7 8 2 4" xfId="5609"/>
    <cellStyle name="Normal 7 8 2 5" xfId="5610"/>
    <cellStyle name="Normal 7 8 2 6" xfId="5611"/>
    <cellStyle name="Normal 7 8 3" xfId="5612"/>
    <cellStyle name="Normal 7 8 3 2" xfId="5613"/>
    <cellStyle name="Normal 7 8 3 3" xfId="5614"/>
    <cellStyle name="Normal 7 8 3 4" xfId="5615"/>
    <cellStyle name="Normal 7 8 3 5" xfId="5616"/>
    <cellStyle name="Normal 7 8 3 6" xfId="5617"/>
    <cellStyle name="Normal 7 8 4" xfId="5618"/>
    <cellStyle name="Normal 7 8 4 2" xfId="5619"/>
    <cellStyle name="Normal 7 8 4 3" xfId="5620"/>
    <cellStyle name="Normal 7 8 4 4" xfId="5621"/>
    <cellStyle name="Normal 7 8 4 5" xfId="5622"/>
    <cellStyle name="Normal 7 8 4 6" xfId="5623"/>
    <cellStyle name="Normal 7 8 5" xfId="5624"/>
    <cellStyle name="Normal 7 8 6" xfId="5625"/>
    <cellStyle name="Normal 7 8 7" xfId="5626"/>
    <cellStyle name="Normal 7 8 8" xfId="5627"/>
    <cellStyle name="Normal 7 8 9" xfId="5628"/>
    <cellStyle name="Normal 7 9" xfId="5629"/>
    <cellStyle name="Normal 7 9 10" xfId="5630"/>
    <cellStyle name="Normal 7 9 11" xfId="5631"/>
    <cellStyle name="Normal 7 9 12" xfId="5632"/>
    <cellStyle name="Normal 7 9 2" xfId="5633"/>
    <cellStyle name="Normal 7 9 2 2" xfId="5634"/>
    <cellStyle name="Normal 7 9 2 3" xfId="5635"/>
    <cellStyle name="Normal 7 9 2 4" xfId="5636"/>
    <cellStyle name="Normal 7 9 2 5" xfId="5637"/>
    <cellStyle name="Normal 7 9 2 6" xfId="5638"/>
    <cellStyle name="Normal 7 9 3" xfId="5639"/>
    <cellStyle name="Normal 7 9 3 2" xfId="5640"/>
    <cellStyle name="Normal 7 9 3 3" xfId="5641"/>
    <cellStyle name="Normal 7 9 3 4" xfId="5642"/>
    <cellStyle name="Normal 7 9 3 5" xfId="5643"/>
    <cellStyle name="Normal 7 9 3 6" xfId="5644"/>
    <cellStyle name="Normal 7 9 4" xfId="5645"/>
    <cellStyle name="Normal 7 9 4 2" xfId="5646"/>
    <cellStyle name="Normal 7 9 4 3" xfId="5647"/>
    <cellStyle name="Normal 7 9 4 4" xfId="5648"/>
    <cellStyle name="Normal 7 9 4 5" xfId="5649"/>
    <cellStyle name="Normal 7 9 4 6" xfId="5650"/>
    <cellStyle name="Normal 7 9 5" xfId="5651"/>
    <cellStyle name="Normal 7 9 6" xfId="5652"/>
    <cellStyle name="Normal 7 9 7" xfId="5653"/>
    <cellStyle name="Normal 7 9 8" xfId="5654"/>
    <cellStyle name="Normal 7 9 9" xfId="5655"/>
    <cellStyle name="Normal 7_MPP new" xfId="5656"/>
    <cellStyle name="Normal 8" xfId="5657"/>
    <cellStyle name="Normal 8 10" xfId="5658"/>
    <cellStyle name="Normal 8 10 2" xfId="5659"/>
    <cellStyle name="Normal 8 10 3" xfId="5660"/>
    <cellStyle name="Normal 8 10 4" xfId="5661"/>
    <cellStyle name="Normal 8 10 5" xfId="5662"/>
    <cellStyle name="Normal 8 10 6" xfId="5663"/>
    <cellStyle name="Normal 8 11" xfId="5664"/>
    <cellStyle name="Normal 8 11 2" xfId="5665"/>
    <cellStyle name="Normal 8 11 3" xfId="5666"/>
    <cellStyle name="Normal 8 11 4" xfId="5667"/>
    <cellStyle name="Normal 8 11 5" xfId="5668"/>
    <cellStyle name="Normal 8 11 6" xfId="5669"/>
    <cellStyle name="Normal 8 12" xfId="5670"/>
    <cellStyle name="Normal 8 12 2" xfId="5671"/>
    <cellStyle name="Normal 8 12 3" xfId="5672"/>
    <cellStyle name="Normal 8 12 4" xfId="5673"/>
    <cellStyle name="Normal 8 12 5" xfId="5674"/>
    <cellStyle name="Normal 8 12 6" xfId="5675"/>
    <cellStyle name="Normal 8 13" xfId="5676"/>
    <cellStyle name="Normal 8 14" xfId="5677"/>
    <cellStyle name="Normal 8 15" xfId="5678"/>
    <cellStyle name="Normal 8 16" xfId="5679"/>
    <cellStyle name="Normal 8 17" xfId="5680"/>
    <cellStyle name="Normal 8 2" xfId="5681"/>
    <cellStyle name="Normal 8 2 10" xfId="5682"/>
    <cellStyle name="Normal 8 2 11" xfId="5683"/>
    <cellStyle name="Normal 8 2 12" xfId="5684"/>
    <cellStyle name="Normal 8 2 2" xfId="5685"/>
    <cellStyle name="Normal 8 2 2 2" xfId="5686"/>
    <cellStyle name="Normal 8 2 2 3" xfId="5687"/>
    <cellStyle name="Normal 8 2 2 4" xfId="5688"/>
    <cellStyle name="Normal 8 2 2 5" xfId="5689"/>
    <cellStyle name="Normal 8 2 2 6" xfId="5690"/>
    <cellStyle name="Normal 8 2 3" xfId="5691"/>
    <cellStyle name="Normal 8 2 3 2" xfId="5692"/>
    <cellStyle name="Normal 8 2 3 3" xfId="5693"/>
    <cellStyle name="Normal 8 2 3 4" xfId="5694"/>
    <cellStyle name="Normal 8 2 3 5" xfId="5695"/>
    <cellStyle name="Normal 8 2 3 6" xfId="5696"/>
    <cellStyle name="Normal 8 2 4" xfId="5697"/>
    <cellStyle name="Normal 8 2 4 2" xfId="5698"/>
    <cellStyle name="Normal 8 2 4 3" xfId="5699"/>
    <cellStyle name="Normal 8 2 4 4" xfId="5700"/>
    <cellStyle name="Normal 8 2 4 5" xfId="5701"/>
    <cellStyle name="Normal 8 2 4 6" xfId="5702"/>
    <cellStyle name="Normal 8 2 5" xfId="5703"/>
    <cellStyle name="Normal 8 2 6" xfId="5704"/>
    <cellStyle name="Normal 8 2 7" xfId="5705"/>
    <cellStyle name="Normal 8 2 8" xfId="5706"/>
    <cellStyle name="Normal 8 2 9" xfId="5707"/>
    <cellStyle name="Normal 8 3" xfId="5708"/>
    <cellStyle name="Normal 8 3 2" xfId="5709"/>
    <cellStyle name="Normal 8 3 3" xfId="5710"/>
    <cellStyle name="Normal 8 3 4" xfId="5711"/>
    <cellStyle name="Normal 8 3 5" xfId="5712"/>
    <cellStyle name="Normal 8 3 6" xfId="5713"/>
    <cellStyle name="Normal 8 4" xfId="5714"/>
    <cellStyle name="Normal 8 4 2" xfId="5715"/>
    <cellStyle name="Normal 8 4 3" xfId="5716"/>
    <cellStyle name="Normal 8 4 4" xfId="5717"/>
    <cellStyle name="Normal 8 4 5" xfId="5718"/>
    <cellStyle name="Normal 8 4 6" xfId="5719"/>
    <cellStyle name="Normal 8 5" xfId="5720"/>
    <cellStyle name="Normal 8 5 2" xfId="5721"/>
    <cellStyle name="Normal 8 5 3" xfId="5722"/>
    <cellStyle name="Normal 8 5 4" xfId="5723"/>
    <cellStyle name="Normal 8 5 5" xfId="5724"/>
    <cellStyle name="Normal 8 5 6" xfId="5725"/>
    <cellStyle name="Normal 8 6" xfId="5726"/>
    <cellStyle name="Normal 8 6 2" xfId="5727"/>
    <cellStyle name="Normal 8 6 3" xfId="5728"/>
    <cellStyle name="Normal 8 6 4" xfId="5729"/>
    <cellStyle name="Normal 8 6 5" xfId="5730"/>
    <cellStyle name="Normal 8 6 6" xfId="5731"/>
    <cellStyle name="Normal 8 7" xfId="5732"/>
    <cellStyle name="Normal 8 7 2" xfId="5733"/>
    <cellStyle name="Normal 8 7 3" xfId="5734"/>
    <cellStyle name="Normal 8 7 4" xfId="5735"/>
    <cellStyle name="Normal 8 7 5" xfId="5736"/>
    <cellStyle name="Normal 8 7 6" xfId="5737"/>
    <cellStyle name="Normal 8 8" xfId="5738"/>
    <cellStyle name="Normal 8 8 2" xfId="5739"/>
    <cellStyle name="Normal 8 8 3" xfId="5740"/>
    <cellStyle name="Normal 8 8 4" xfId="5741"/>
    <cellStyle name="Normal 8 8 5" xfId="5742"/>
    <cellStyle name="Normal 8 8 6" xfId="5743"/>
    <cellStyle name="Normal 8 9" xfId="5744"/>
    <cellStyle name="Normal 8 9 2" xfId="5745"/>
    <cellStyle name="Normal 8 9 3" xfId="5746"/>
    <cellStyle name="Normal 8 9 4" xfId="5747"/>
    <cellStyle name="Normal 8 9 5" xfId="5748"/>
    <cellStyle name="Normal 8 9 6" xfId="5749"/>
    <cellStyle name="Normal 9" xfId="5750"/>
    <cellStyle name="Normal 9 10" xfId="5751"/>
    <cellStyle name="Normal 9 10 2" xfId="5752"/>
    <cellStyle name="Normal 9 10 3" xfId="5753"/>
    <cellStyle name="Normal 9 10 4" xfId="5754"/>
    <cellStyle name="Normal 9 10 5" xfId="5755"/>
    <cellStyle name="Normal 9 10 6" xfId="5756"/>
    <cellStyle name="Normal 9 11" xfId="5757"/>
    <cellStyle name="Normal 9 11 2" xfId="5758"/>
    <cellStyle name="Normal 9 11 3" xfId="5759"/>
    <cellStyle name="Normal 9 11 4" xfId="5760"/>
    <cellStyle name="Normal 9 11 5" xfId="5761"/>
    <cellStyle name="Normal 9 11 6" xfId="5762"/>
    <cellStyle name="Normal 9 12" xfId="5763"/>
    <cellStyle name="Normal 9 12 2" xfId="5764"/>
    <cellStyle name="Normal 9 12 3" xfId="5765"/>
    <cellStyle name="Normal 9 12 4" xfId="5766"/>
    <cellStyle name="Normal 9 12 5" xfId="5767"/>
    <cellStyle name="Normal 9 12 6" xfId="5768"/>
    <cellStyle name="Normal 9 13" xfId="5769"/>
    <cellStyle name="Normal 9 14" xfId="5770"/>
    <cellStyle name="Normal 9 15" xfId="5771"/>
    <cellStyle name="Normal 9 16" xfId="5772"/>
    <cellStyle name="Normal 9 17" xfId="5773"/>
    <cellStyle name="Normal 9 2" xfId="5774"/>
    <cellStyle name="Normal 9 2 2" xfId="5775"/>
    <cellStyle name="Normal 9 2 3" xfId="5776"/>
    <cellStyle name="Normal 9 2 4" xfId="5777"/>
    <cellStyle name="Normal 9 2 5" xfId="5778"/>
    <cellStyle name="Normal 9 2 6" xfId="5779"/>
    <cellStyle name="Normal 9 3" xfId="5780"/>
    <cellStyle name="Normal 9 3 2" xfId="5781"/>
    <cellStyle name="Normal 9 3 3" xfId="5782"/>
    <cellStyle name="Normal 9 3 4" xfId="5783"/>
    <cellStyle name="Normal 9 3 5" xfId="5784"/>
    <cellStyle name="Normal 9 3 6" xfId="5785"/>
    <cellStyle name="Normal 9 4" xfId="5786"/>
    <cellStyle name="Normal 9 4 2" xfId="5787"/>
    <cellStyle name="Normal 9 4 3" xfId="5788"/>
    <cellStyle name="Normal 9 4 4" xfId="5789"/>
    <cellStyle name="Normal 9 4 5" xfId="5790"/>
    <cellStyle name="Normal 9 4 6" xfId="5791"/>
    <cellStyle name="Normal 9 5" xfId="5792"/>
    <cellStyle name="Normal 9 5 2" xfId="5793"/>
    <cellStyle name="Normal 9 5 3" xfId="5794"/>
    <cellStyle name="Normal 9 5 4" xfId="5795"/>
    <cellStyle name="Normal 9 5 5" xfId="5796"/>
    <cellStyle name="Normal 9 5 6" xfId="5797"/>
    <cellStyle name="Normal 9 6" xfId="5798"/>
    <cellStyle name="Normal 9 6 2" xfId="5799"/>
    <cellStyle name="Normal 9 6 3" xfId="5800"/>
    <cellStyle name="Normal 9 6 4" xfId="5801"/>
    <cellStyle name="Normal 9 6 5" xfId="5802"/>
    <cellStyle name="Normal 9 6 6" xfId="5803"/>
    <cellStyle name="Normal 9 7" xfId="5804"/>
    <cellStyle name="Normal 9 7 2" xfId="5805"/>
    <cellStyle name="Normal 9 7 3" xfId="5806"/>
    <cellStyle name="Normal 9 7 4" xfId="5807"/>
    <cellStyle name="Normal 9 7 5" xfId="5808"/>
    <cellStyle name="Normal 9 7 6" xfId="5809"/>
    <cellStyle name="Normal 9 8" xfId="5810"/>
    <cellStyle name="Normal 9 8 2" xfId="5811"/>
    <cellStyle name="Normal 9 8 3" xfId="5812"/>
    <cellStyle name="Normal 9 8 4" xfId="5813"/>
    <cellStyle name="Normal 9 8 5" xfId="5814"/>
    <cellStyle name="Normal 9 8 6" xfId="5815"/>
    <cellStyle name="Normal 9 9" xfId="5816"/>
    <cellStyle name="Normal 9 9 2" xfId="5817"/>
    <cellStyle name="Normal 9 9 3" xfId="5818"/>
    <cellStyle name="Normal 9 9 4" xfId="5819"/>
    <cellStyle name="Normal 9 9 5" xfId="5820"/>
    <cellStyle name="Normal 9 9 6" xfId="5821"/>
    <cellStyle name="Normal_Data TK May'08" xfId="4"/>
    <cellStyle name="Normal_Data TK May'08 2" xfId="7"/>
    <cellStyle name="Note 10" xfId="5822"/>
    <cellStyle name="Note 10 2" xfId="5823"/>
    <cellStyle name="Note 10 3" xfId="5824"/>
    <cellStyle name="Note 10 4" xfId="5825"/>
    <cellStyle name="Note 10 5" xfId="5826"/>
    <cellStyle name="Note 10 6" xfId="5827"/>
    <cellStyle name="Note 11" xfId="5828"/>
    <cellStyle name="Note 11 2" xfId="5829"/>
    <cellStyle name="Note 11 3" xfId="5830"/>
    <cellStyle name="Note 11 4" xfId="5831"/>
    <cellStyle name="Note 11 5" xfId="5832"/>
    <cellStyle name="Note 11 6" xfId="5833"/>
    <cellStyle name="Note 12" xfId="5834"/>
    <cellStyle name="Note 12 2" xfId="5835"/>
    <cellStyle name="Note 12 3" xfId="5836"/>
    <cellStyle name="Note 12 4" xfId="5837"/>
    <cellStyle name="Note 12 5" xfId="5838"/>
    <cellStyle name="Note 12 6" xfId="5839"/>
    <cellStyle name="Note 13" xfId="5840"/>
    <cellStyle name="Note 13 2" xfId="5841"/>
    <cellStyle name="Note 13 3" xfId="5842"/>
    <cellStyle name="Note 13 4" xfId="5843"/>
    <cellStyle name="Note 13 5" xfId="5844"/>
    <cellStyle name="Note 13 6" xfId="5845"/>
    <cellStyle name="Note 14" xfId="5846"/>
    <cellStyle name="Note 14 2" xfId="5847"/>
    <cellStyle name="Note 14 3" xfId="5848"/>
    <cellStyle name="Note 14 4" xfId="5849"/>
    <cellStyle name="Note 14 5" xfId="5850"/>
    <cellStyle name="Note 14 6" xfId="5851"/>
    <cellStyle name="Note 15" xfId="5852"/>
    <cellStyle name="Note 15 2" xfId="5853"/>
    <cellStyle name="Note 15 3" xfId="5854"/>
    <cellStyle name="Note 15 4" xfId="5855"/>
    <cellStyle name="Note 15 5" xfId="5856"/>
    <cellStyle name="Note 15 6" xfId="5857"/>
    <cellStyle name="Note 16" xfId="5858"/>
    <cellStyle name="Note 16 2" xfId="5859"/>
    <cellStyle name="Note 16 3" xfId="5860"/>
    <cellStyle name="Note 16 4" xfId="5861"/>
    <cellStyle name="Note 16 5" xfId="5862"/>
    <cellStyle name="Note 16 6" xfId="5863"/>
    <cellStyle name="Note 17" xfId="5864"/>
    <cellStyle name="Note 17 2" xfId="5865"/>
    <cellStyle name="Note 17 3" xfId="5866"/>
    <cellStyle name="Note 17 4" xfId="5867"/>
    <cellStyle name="Note 17 5" xfId="5868"/>
    <cellStyle name="Note 17 6" xfId="5869"/>
    <cellStyle name="Note 18" xfId="5870"/>
    <cellStyle name="Note 18 2" xfId="5871"/>
    <cellStyle name="Note 18 3" xfId="5872"/>
    <cellStyle name="Note 18 4" xfId="5873"/>
    <cellStyle name="Note 18 5" xfId="5874"/>
    <cellStyle name="Note 18 6" xfId="5875"/>
    <cellStyle name="Note 19" xfId="5876"/>
    <cellStyle name="Note 19 2" xfId="5877"/>
    <cellStyle name="Note 19 3" xfId="5878"/>
    <cellStyle name="Note 19 4" xfId="5879"/>
    <cellStyle name="Note 19 5" xfId="5880"/>
    <cellStyle name="Note 19 6" xfId="5881"/>
    <cellStyle name="Note 2" xfId="5882"/>
    <cellStyle name="Note 2 10" xfId="5883"/>
    <cellStyle name="Note 2 10 2" xfId="5884"/>
    <cellStyle name="Note 2 10 3" xfId="5885"/>
    <cellStyle name="Note 2 10 4" xfId="5886"/>
    <cellStyle name="Note 2 10 5" xfId="5887"/>
    <cellStyle name="Note 2 10 6" xfId="5888"/>
    <cellStyle name="Note 2 11" xfId="5889"/>
    <cellStyle name="Note 2 11 2" xfId="5890"/>
    <cellStyle name="Note 2 11 3" xfId="5891"/>
    <cellStyle name="Note 2 11 4" xfId="5892"/>
    <cellStyle name="Note 2 11 5" xfId="5893"/>
    <cellStyle name="Note 2 11 6" xfId="5894"/>
    <cellStyle name="Note 2 12" xfId="5895"/>
    <cellStyle name="Note 2 13" xfId="5896"/>
    <cellStyle name="Note 2 14" xfId="5897"/>
    <cellStyle name="Note 2 15" xfId="5898"/>
    <cellStyle name="Note 2 16" xfId="5899"/>
    <cellStyle name="Note 2 2" xfId="5900"/>
    <cellStyle name="Note 2 2 10" xfId="5901"/>
    <cellStyle name="Note 2 2 11" xfId="5902"/>
    <cellStyle name="Note 2 2 2" xfId="5903"/>
    <cellStyle name="Note 2 2 2 2" xfId="5904"/>
    <cellStyle name="Note 2 2 2 3" xfId="5905"/>
    <cellStyle name="Note 2 2 2 4" xfId="5906"/>
    <cellStyle name="Note 2 2 2 5" xfId="5907"/>
    <cellStyle name="Note 2 2 2 6" xfId="5908"/>
    <cellStyle name="Note 2 2 3" xfId="5909"/>
    <cellStyle name="Note 2 2 3 2" xfId="5910"/>
    <cellStyle name="Note 2 2 3 3" xfId="5911"/>
    <cellStyle name="Note 2 2 3 4" xfId="5912"/>
    <cellStyle name="Note 2 2 3 5" xfId="5913"/>
    <cellStyle name="Note 2 2 3 6" xfId="5914"/>
    <cellStyle name="Note 2 2 4" xfId="5915"/>
    <cellStyle name="Note 2 2 4 2" xfId="5916"/>
    <cellStyle name="Note 2 2 4 3" xfId="5917"/>
    <cellStyle name="Note 2 2 4 4" xfId="5918"/>
    <cellStyle name="Note 2 2 4 5" xfId="5919"/>
    <cellStyle name="Note 2 2 4 6" xfId="5920"/>
    <cellStyle name="Note 2 2 5" xfId="5921"/>
    <cellStyle name="Note 2 2 5 2" xfId="5922"/>
    <cellStyle name="Note 2 2 5 3" xfId="5923"/>
    <cellStyle name="Note 2 2 5 4" xfId="5924"/>
    <cellStyle name="Note 2 2 5 5" xfId="5925"/>
    <cellStyle name="Note 2 2 5 6" xfId="5926"/>
    <cellStyle name="Note 2 2 6" xfId="5927"/>
    <cellStyle name="Note 2 2 6 2" xfId="5928"/>
    <cellStyle name="Note 2 2 6 3" xfId="5929"/>
    <cellStyle name="Note 2 2 6 4" xfId="5930"/>
    <cellStyle name="Note 2 2 6 5" xfId="5931"/>
    <cellStyle name="Note 2 2 6 6" xfId="5932"/>
    <cellStyle name="Note 2 2 7" xfId="5933"/>
    <cellStyle name="Note 2 2 8" xfId="5934"/>
    <cellStyle name="Note 2 2 9" xfId="5935"/>
    <cellStyle name="Note 2 3" xfId="5936"/>
    <cellStyle name="Note 2 3 2" xfId="5937"/>
    <cellStyle name="Note 2 3 3" xfId="5938"/>
    <cellStyle name="Note 2 3 4" xfId="5939"/>
    <cellStyle name="Note 2 3 5" xfId="5940"/>
    <cellStyle name="Note 2 3 6" xfId="5941"/>
    <cellStyle name="Note 2 4" xfId="5942"/>
    <cellStyle name="Note 2 4 2" xfId="5943"/>
    <cellStyle name="Note 2 4 3" xfId="5944"/>
    <cellStyle name="Note 2 4 4" xfId="5945"/>
    <cellStyle name="Note 2 4 5" xfId="5946"/>
    <cellStyle name="Note 2 4 6" xfId="5947"/>
    <cellStyle name="Note 2 5" xfId="5948"/>
    <cellStyle name="Note 2 5 10" xfId="5949"/>
    <cellStyle name="Note 2 5 11" xfId="5950"/>
    <cellStyle name="Note 2 5 12" xfId="5951"/>
    <cellStyle name="Note 2 5 2" xfId="5952"/>
    <cellStyle name="Note 2 5 2 2" xfId="5953"/>
    <cellStyle name="Note 2 5 2 3" xfId="5954"/>
    <cellStyle name="Note 2 5 2 4" xfId="5955"/>
    <cellStyle name="Note 2 5 2 5" xfId="5956"/>
    <cellStyle name="Note 2 5 2 6" xfId="5957"/>
    <cellStyle name="Note 2 5 3" xfId="5958"/>
    <cellStyle name="Note 2 5 3 2" xfId="5959"/>
    <cellStyle name="Note 2 5 3 3" xfId="5960"/>
    <cellStyle name="Note 2 5 3 4" xfId="5961"/>
    <cellStyle name="Note 2 5 3 5" xfId="5962"/>
    <cellStyle name="Note 2 5 3 6" xfId="5963"/>
    <cellStyle name="Note 2 5 4" xfId="5964"/>
    <cellStyle name="Note 2 5 4 2" xfId="5965"/>
    <cellStyle name="Note 2 5 4 3" xfId="5966"/>
    <cellStyle name="Note 2 5 4 4" xfId="5967"/>
    <cellStyle name="Note 2 5 4 5" xfId="5968"/>
    <cellStyle name="Note 2 5 4 6" xfId="5969"/>
    <cellStyle name="Note 2 5 5" xfId="5970"/>
    <cellStyle name="Note 2 5 6" xfId="5971"/>
    <cellStyle name="Note 2 5 7" xfId="5972"/>
    <cellStyle name="Note 2 5 8" xfId="5973"/>
    <cellStyle name="Note 2 5 9" xfId="5974"/>
    <cellStyle name="Note 2 6" xfId="5975"/>
    <cellStyle name="Note 2 6 2" xfId="5976"/>
    <cellStyle name="Note 2 6 3" xfId="5977"/>
    <cellStyle name="Note 2 6 4" xfId="5978"/>
    <cellStyle name="Note 2 6 5" xfId="5979"/>
    <cellStyle name="Note 2 6 6" xfId="5980"/>
    <cellStyle name="Note 2 7" xfId="5981"/>
    <cellStyle name="Note 2 7 2" xfId="5982"/>
    <cellStyle name="Note 2 7 3" xfId="5983"/>
    <cellStyle name="Note 2 7 4" xfId="5984"/>
    <cellStyle name="Note 2 7 5" xfId="5985"/>
    <cellStyle name="Note 2 7 6" xfId="5986"/>
    <cellStyle name="Note 2 8" xfId="5987"/>
    <cellStyle name="Note 2 8 2" xfId="5988"/>
    <cellStyle name="Note 2 8 3" xfId="5989"/>
    <cellStyle name="Note 2 8 4" xfId="5990"/>
    <cellStyle name="Note 2 8 5" xfId="5991"/>
    <cellStyle name="Note 2 8 6" xfId="5992"/>
    <cellStyle name="Note 2 9" xfId="5993"/>
    <cellStyle name="Note 2 9 2" xfId="5994"/>
    <cellStyle name="Note 2 9 3" xfId="5995"/>
    <cellStyle name="Note 2 9 4" xfId="5996"/>
    <cellStyle name="Note 2 9 5" xfId="5997"/>
    <cellStyle name="Note 2 9 6" xfId="5998"/>
    <cellStyle name="Note 20" xfId="5999"/>
    <cellStyle name="Note 20 2" xfId="6000"/>
    <cellStyle name="Note 20 3" xfId="6001"/>
    <cellStyle name="Note 20 4" xfId="6002"/>
    <cellStyle name="Note 20 5" xfId="6003"/>
    <cellStyle name="Note 20 6" xfId="6004"/>
    <cellStyle name="Note 21" xfId="6005"/>
    <cellStyle name="Note 21 2" xfId="6006"/>
    <cellStyle name="Note 21 3" xfId="6007"/>
    <cellStyle name="Note 21 4" xfId="6008"/>
    <cellStyle name="Note 21 5" xfId="6009"/>
    <cellStyle name="Note 21 6" xfId="6010"/>
    <cellStyle name="Note 3" xfId="6011"/>
    <cellStyle name="Note 3 2" xfId="6012"/>
    <cellStyle name="Note 3 2 2" xfId="6013"/>
    <cellStyle name="Note 3 2 3" xfId="6014"/>
    <cellStyle name="Note 3 2 4" xfId="6015"/>
    <cellStyle name="Note 3 2 5" xfId="6016"/>
    <cellStyle name="Note 3 2 6" xfId="6017"/>
    <cellStyle name="Note 3 3" xfId="6018"/>
    <cellStyle name="Note 3 4" xfId="6019"/>
    <cellStyle name="Note 3 5" xfId="6020"/>
    <cellStyle name="Note 3 6" xfId="6021"/>
    <cellStyle name="Note 3 7" xfId="6022"/>
    <cellStyle name="Note 4" xfId="6023"/>
    <cellStyle name="Note 4 2" xfId="6024"/>
    <cellStyle name="Note 4 2 2" xfId="6025"/>
    <cellStyle name="Note 4 2 3" xfId="6026"/>
    <cellStyle name="Note 4 2 4" xfId="6027"/>
    <cellStyle name="Note 4 2 5" xfId="6028"/>
    <cellStyle name="Note 4 2 6" xfId="6029"/>
    <cellStyle name="Note 4 3" xfId="6030"/>
    <cellStyle name="Note 4 4" xfId="6031"/>
    <cellStyle name="Note 4 5" xfId="6032"/>
    <cellStyle name="Note 4 6" xfId="6033"/>
    <cellStyle name="Note 4 7" xfId="6034"/>
    <cellStyle name="Note 5" xfId="6035"/>
    <cellStyle name="Note 5 2" xfId="6036"/>
    <cellStyle name="Note 5 2 2" xfId="6037"/>
    <cellStyle name="Note 5 2 3" xfId="6038"/>
    <cellStyle name="Note 5 2 4" xfId="6039"/>
    <cellStyle name="Note 5 2 5" xfId="6040"/>
    <cellStyle name="Note 5 2 6" xfId="6041"/>
    <cellStyle name="Note 5 3" xfId="6042"/>
    <cellStyle name="Note 5 4" xfId="6043"/>
    <cellStyle name="Note 5 5" xfId="6044"/>
    <cellStyle name="Note 5 6" xfId="6045"/>
    <cellStyle name="Note 5 7" xfId="6046"/>
    <cellStyle name="Note 6" xfId="6047"/>
    <cellStyle name="Note 6 2" xfId="6048"/>
    <cellStyle name="Note 6 2 2" xfId="6049"/>
    <cellStyle name="Note 6 2 3" xfId="6050"/>
    <cellStyle name="Note 6 2 4" xfId="6051"/>
    <cellStyle name="Note 6 2 5" xfId="6052"/>
    <cellStyle name="Note 6 2 6" xfId="6053"/>
    <cellStyle name="Note 6 3" xfId="6054"/>
    <cellStyle name="Note 6 4" xfId="6055"/>
    <cellStyle name="Note 6 5" xfId="6056"/>
    <cellStyle name="Note 6 6" xfId="6057"/>
    <cellStyle name="Note 6 7" xfId="6058"/>
    <cellStyle name="Note 7" xfId="6059"/>
    <cellStyle name="Note 7 2" xfId="6060"/>
    <cellStyle name="Note 7 3" xfId="6061"/>
    <cellStyle name="Note 7 4" xfId="6062"/>
    <cellStyle name="Note 7 5" xfId="6063"/>
    <cellStyle name="Note 7 6" xfId="6064"/>
    <cellStyle name="Note 8" xfId="6065"/>
    <cellStyle name="Note 8 10" xfId="6066"/>
    <cellStyle name="Note 8 2" xfId="6067"/>
    <cellStyle name="Note 8 2 2" xfId="6068"/>
    <cellStyle name="Note 8 2 3" xfId="6069"/>
    <cellStyle name="Note 8 2 4" xfId="6070"/>
    <cellStyle name="Note 8 2 5" xfId="6071"/>
    <cellStyle name="Note 8 2 6" xfId="6072"/>
    <cellStyle name="Note 8 3" xfId="6073"/>
    <cellStyle name="Note 8 3 2" xfId="6074"/>
    <cellStyle name="Note 8 3 3" xfId="6075"/>
    <cellStyle name="Note 8 3 4" xfId="6076"/>
    <cellStyle name="Note 8 3 5" xfId="6077"/>
    <cellStyle name="Note 8 3 6" xfId="6078"/>
    <cellStyle name="Note 8 4" xfId="6079"/>
    <cellStyle name="Note 8 4 2" xfId="6080"/>
    <cellStyle name="Note 8 4 3" xfId="6081"/>
    <cellStyle name="Note 8 4 4" xfId="6082"/>
    <cellStyle name="Note 8 4 5" xfId="6083"/>
    <cellStyle name="Note 8 4 6" xfId="6084"/>
    <cellStyle name="Note 8 5" xfId="6085"/>
    <cellStyle name="Note 8 5 2" xfId="6086"/>
    <cellStyle name="Note 8 5 3" xfId="6087"/>
    <cellStyle name="Note 8 5 4" xfId="6088"/>
    <cellStyle name="Note 8 5 5" xfId="6089"/>
    <cellStyle name="Note 8 5 6" xfId="6090"/>
    <cellStyle name="Note 8 6" xfId="6091"/>
    <cellStyle name="Note 8 7" xfId="6092"/>
    <cellStyle name="Note 8 8" xfId="6093"/>
    <cellStyle name="Note 8 9" xfId="6094"/>
    <cellStyle name="Note 9" xfId="6095"/>
    <cellStyle name="Note 9 2" xfId="6096"/>
    <cellStyle name="Note 9 3" xfId="6097"/>
    <cellStyle name="Note 9 4" xfId="6098"/>
    <cellStyle name="Note 9 5" xfId="6099"/>
    <cellStyle name="Note 9 6" xfId="6100"/>
    <cellStyle name="Output 10" xfId="6101"/>
    <cellStyle name="Output 10 2" xfId="6102"/>
    <cellStyle name="Output 10 3" xfId="6103"/>
    <cellStyle name="Output 10 4" xfId="6104"/>
    <cellStyle name="Output 10 5" xfId="6105"/>
    <cellStyle name="Output 10 6" xfId="6106"/>
    <cellStyle name="Output 11" xfId="6107"/>
    <cellStyle name="Output 11 2" xfId="6108"/>
    <cellStyle name="Output 11 3" xfId="6109"/>
    <cellStyle name="Output 11 4" xfId="6110"/>
    <cellStyle name="Output 11 5" xfId="6111"/>
    <cellStyle name="Output 11 6" xfId="6112"/>
    <cellStyle name="Output 12" xfId="6113"/>
    <cellStyle name="Output 12 2" xfId="6114"/>
    <cellStyle name="Output 12 3" xfId="6115"/>
    <cellStyle name="Output 12 4" xfId="6116"/>
    <cellStyle name="Output 12 5" xfId="6117"/>
    <cellStyle name="Output 12 6" xfId="6118"/>
    <cellStyle name="Output 13" xfId="6119"/>
    <cellStyle name="Output 13 2" xfId="6120"/>
    <cellStyle name="Output 13 3" xfId="6121"/>
    <cellStyle name="Output 13 4" xfId="6122"/>
    <cellStyle name="Output 13 5" xfId="6123"/>
    <cellStyle name="Output 13 6" xfId="6124"/>
    <cellStyle name="Output 14" xfId="6125"/>
    <cellStyle name="Output 14 2" xfId="6126"/>
    <cellStyle name="Output 14 3" xfId="6127"/>
    <cellStyle name="Output 14 4" xfId="6128"/>
    <cellStyle name="Output 14 5" xfId="6129"/>
    <cellStyle name="Output 14 6" xfId="6130"/>
    <cellStyle name="Output 15" xfId="6131"/>
    <cellStyle name="Output 15 2" xfId="6132"/>
    <cellStyle name="Output 15 3" xfId="6133"/>
    <cellStyle name="Output 15 4" xfId="6134"/>
    <cellStyle name="Output 15 5" xfId="6135"/>
    <cellStyle name="Output 15 6" xfId="6136"/>
    <cellStyle name="Output 16" xfId="6137"/>
    <cellStyle name="Output 16 2" xfId="6138"/>
    <cellStyle name="Output 16 3" xfId="6139"/>
    <cellStyle name="Output 16 4" xfId="6140"/>
    <cellStyle name="Output 16 5" xfId="6141"/>
    <cellStyle name="Output 16 6" xfId="6142"/>
    <cellStyle name="Output 17" xfId="6143"/>
    <cellStyle name="Output 17 2" xfId="6144"/>
    <cellStyle name="Output 17 3" xfId="6145"/>
    <cellStyle name="Output 17 4" xfId="6146"/>
    <cellStyle name="Output 17 5" xfId="6147"/>
    <cellStyle name="Output 17 6" xfId="6148"/>
    <cellStyle name="Output 18" xfId="6149"/>
    <cellStyle name="Output 18 2" xfId="6150"/>
    <cellStyle name="Output 18 3" xfId="6151"/>
    <cellStyle name="Output 18 4" xfId="6152"/>
    <cellStyle name="Output 18 5" xfId="6153"/>
    <cellStyle name="Output 18 6" xfId="6154"/>
    <cellStyle name="Output 19" xfId="6155"/>
    <cellStyle name="Output 19 2" xfId="6156"/>
    <cellStyle name="Output 19 3" xfId="6157"/>
    <cellStyle name="Output 19 4" xfId="6158"/>
    <cellStyle name="Output 19 5" xfId="6159"/>
    <cellStyle name="Output 19 6" xfId="6160"/>
    <cellStyle name="Output 2" xfId="6161"/>
    <cellStyle name="Output 2 10" xfId="6162"/>
    <cellStyle name="Output 2 10 2" xfId="6163"/>
    <cellStyle name="Output 2 10 3" xfId="6164"/>
    <cellStyle name="Output 2 10 4" xfId="6165"/>
    <cellStyle name="Output 2 10 5" xfId="6166"/>
    <cellStyle name="Output 2 10 6" xfId="6167"/>
    <cellStyle name="Output 2 11" xfId="6168"/>
    <cellStyle name="Output 2 11 2" xfId="6169"/>
    <cellStyle name="Output 2 11 3" xfId="6170"/>
    <cellStyle name="Output 2 11 4" xfId="6171"/>
    <cellStyle name="Output 2 11 5" xfId="6172"/>
    <cellStyle name="Output 2 11 6" xfId="6173"/>
    <cellStyle name="Output 2 12" xfId="6174"/>
    <cellStyle name="Output 2 13" xfId="6175"/>
    <cellStyle name="Output 2 14" xfId="6176"/>
    <cellStyle name="Output 2 15" xfId="6177"/>
    <cellStyle name="Output 2 16" xfId="6178"/>
    <cellStyle name="Output 2 2" xfId="6179"/>
    <cellStyle name="Output 2 2 2" xfId="6180"/>
    <cellStyle name="Output 2 2 3" xfId="6181"/>
    <cellStyle name="Output 2 2 4" xfId="6182"/>
    <cellStyle name="Output 2 2 5" xfId="6183"/>
    <cellStyle name="Output 2 2 6" xfId="6184"/>
    <cellStyle name="Output 2 3" xfId="6185"/>
    <cellStyle name="Output 2 3 2" xfId="6186"/>
    <cellStyle name="Output 2 3 3" xfId="6187"/>
    <cellStyle name="Output 2 3 4" xfId="6188"/>
    <cellStyle name="Output 2 3 5" xfId="6189"/>
    <cellStyle name="Output 2 3 6" xfId="6190"/>
    <cellStyle name="Output 2 4" xfId="6191"/>
    <cellStyle name="Output 2 4 2" xfId="6192"/>
    <cellStyle name="Output 2 4 3" xfId="6193"/>
    <cellStyle name="Output 2 4 4" xfId="6194"/>
    <cellStyle name="Output 2 4 5" xfId="6195"/>
    <cellStyle name="Output 2 4 6" xfId="6196"/>
    <cellStyle name="Output 2 5" xfId="6197"/>
    <cellStyle name="Output 2 5 2" xfId="6198"/>
    <cellStyle name="Output 2 5 3" xfId="6199"/>
    <cellStyle name="Output 2 5 4" xfId="6200"/>
    <cellStyle name="Output 2 5 5" xfId="6201"/>
    <cellStyle name="Output 2 5 6" xfId="6202"/>
    <cellStyle name="Output 2 6" xfId="6203"/>
    <cellStyle name="Output 2 6 2" xfId="6204"/>
    <cellStyle name="Output 2 6 3" xfId="6205"/>
    <cellStyle name="Output 2 6 4" xfId="6206"/>
    <cellStyle name="Output 2 6 5" xfId="6207"/>
    <cellStyle name="Output 2 6 6" xfId="6208"/>
    <cellStyle name="Output 2 7" xfId="6209"/>
    <cellStyle name="Output 2 7 2" xfId="6210"/>
    <cellStyle name="Output 2 7 3" xfId="6211"/>
    <cellStyle name="Output 2 7 4" xfId="6212"/>
    <cellStyle name="Output 2 7 5" xfId="6213"/>
    <cellStyle name="Output 2 7 6" xfId="6214"/>
    <cellStyle name="Output 2 8" xfId="6215"/>
    <cellStyle name="Output 2 8 2" xfId="6216"/>
    <cellStyle name="Output 2 8 3" xfId="6217"/>
    <cellStyle name="Output 2 8 4" xfId="6218"/>
    <cellStyle name="Output 2 8 5" xfId="6219"/>
    <cellStyle name="Output 2 8 6" xfId="6220"/>
    <cellStyle name="Output 2 9" xfId="6221"/>
    <cellStyle name="Output 2 9 2" xfId="6222"/>
    <cellStyle name="Output 2 9 3" xfId="6223"/>
    <cellStyle name="Output 2 9 4" xfId="6224"/>
    <cellStyle name="Output 2 9 5" xfId="6225"/>
    <cellStyle name="Output 2 9 6" xfId="6226"/>
    <cellStyle name="Output 2_MPP new" xfId="6227"/>
    <cellStyle name="Output 20" xfId="6228"/>
    <cellStyle name="Output 20 2" xfId="6229"/>
    <cellStyle name="Output 20 3" xfId="6230"/>
    <cellStyle name="Output 20 4" xfId="6231"/>
    <cellStyle name="Output 20 5" xfId="6232"/>
    <cellStyle name="Output 20 6" xfId="6233"/>
    <cellStyle name="Output 21" xfId="6234"/>
    <cellStyle name="Output 21 2" xfId="6235"/>
    <cellStyle name="Output 21 3" xfId="6236"/>
    <cellStyle name="Output 21 4" xfId="6237"/>
    <cellStyle name="Output 21 5" xfId="6238"/>
    <cellStyle name="Output 21 6" xfId="6239"/>
    <cellStyle name="Output 3" xfId="6240"/>
    <cellStyle name="Output 3 2" xfId="6241"/>
    <cellStyle name="Output 3 2 2" xfId="6242"/>
    <cellStyle name="Output 3 2 3" xfId="6243"/>
    <cellStyle name="Output 3 2 4" xfId="6244"/>
    <cellStyle name="Output 3 2 5" xfId="6245"/>
    <cellStyle name="Output 3 2 6" xfId="6246"/>
    <cellStyle name="Output 3 3" xfId="6247"/>
    <cellStyle name="Output 3 4" xfId="6248"/>
    <cellStyle name="Output 3 5" xfId="6249"/>
    <cellStyle name="Output 3 6" xfId="6250"/>
    <cellStyle name="Output 3 7" xfId="6251"/>
    <cellStyle name="Output 4" xfId="6252"/>
    <cellStyle name="Output 4 2" xfId="6253"/>
    <cellStyle name="Output 4 2 2" xfId="6254"/>
    <cellStyle name="Output 4 2 3" xfId="6255"/>
    <cellStyle name="Output 4 2 4" xfId="6256"/>
    <cellStyle name="Output 4 2 5" xfId="6257"/>
    <cellStyle name="Output 4 2 6" xfId="6258"/>
    <cellStyle name="Output 4 3" xfId="6259"/>
    <cellStyle name="Output 4 4" xfId="6260"/>
    <cellStyle name="Output 4 5" xfId="6261"/>
    <cellStyle name="Output 4 6" xfId="6262"/>
    <cellStyle name="Output 4 7" xfId="6263"/>
    <cellStyle name="Output 5" xfId="6264"/>
    <cellStyle name="Output 5 2" xfId="6265"/>
    <cellStyle name="Output 5 2 2" xfId="6266"/>
    <cellStyle name="Output 5 2 3" xfId="6267"/>
    <cellStyle name="Output 5 2 4" xfId="6268"/>
    <cellStyle name="Output 5 2 5" xfId="6269"/>
    <cellStyle name="Output 5 2 6" xfId="6270"/>
    <cellStyle name="Output 5 3" xfId="6271"/>
    <cellStyle name="Output 5 4" xfId="6272"/>
    <cellStyle name="Output 5 5" xfId="6273"/>
    <cellStyle name="Output 5 6" xfId="6274"/>
    <cellStyle name="Output 5 7" xfId="6275"/>
    <cellStyle name="Output 6" xfId="6276"/>
    <cellStyle name="Output 6 2" xfId="6277"/>
    <cellStyle name="Output 6 2 2" xfId="6278"/>
    <cellStyle name="Output 6 2 3" xfId="6279"/>
    <cellStyle name="Output 6 2 4" xfId="6280"/>
    <cellStyle name="Output 6 2 5" xfId="6281"/>
    <cellStyle name="Output 6 2 6" xfId="6282"/>
    <cellStyle name="Output 6 3" xfId="6283"/>
    <cellStyle name="Output 6 4" xfId="6284"/>
    <cellStyle name="Output 6 5" xfId="6285"/>
    <cellStyle name="Output 6 6" xfId="6286"/>
    <cellStyle name="Output 6 7" xfId="6287"/>
    <cellStyle name="Output 7" xfId="6288"/>
    <cellStyle name="Output 7 2" xfId="6289"/>
    <cellStyle name="Output 7 3" xfId="6290"/>
    <cellStyle name="Output 7 4" xfId="6291"/>
    <cellStyle name="Output 7 5" xfId="6292"/>
    <cellStyle name="Output 7 6" xfId="6293"/>
    <cellStyle name="Output 8" xfId="6294"/>
    <cellStyle name="Output 8 2" xfId="6295"/>
    <cellStyle name="Output 8 3" xfId="6296"/>
    <cellStyle name="Output 8 4" xfId="6297"/>
    <cellStyle name="Output 8 5" xfId="6298"/>
    <cellStyle name="Output 8 6" xfId="6299"/>
    <cellStyle name="Output 9" xfId="6300"/>
    <cellStyle name="Output 9 2" xfId="6301"/>
    <cellStyle name="Output 9 3" xfId="6302"/>
    <cellStyle name="Output 9 4" xfId="6303"/>
    <cellStyle name="Output 9 5" xfId="6304"/>
    <cellStyle name="Output 9 6" xfId="6305"/>
    <cellStyle name="Percent [0]" xfId="6306"/>
    <cellStyle name="Percent [0] 2" xfId="6307"/>
    <cellStyle name="Percent [0] 2 2" xfId="6308"/>
    <cellStyle name="Percent [0] 2 3" xfId="6309"/>
    <cellStyle name="Percent [0] 2 4" xfId="6310"/>
    <cellStyle name="Percent [0] 2 5" xfId="6311"/>
    <cellStyle name="Percent [0] 2 6" xfId="6312"/>
    <cellStyle name="Percent [0] 3" xfId="6313"/>
    <cellStyle name="Percent [0] 4" xfId="6314"/>
    <cellStyle name="Percent [0] 5" xfId="6315"/>
    <cellStyle name="Percent [0] 6" xfId="6316"/>
    <cellStyle name="Percent [0] 7" xfId="6317"/>
    <cellStyle name="Percent [00]" xfId="6318"/>
    <cellStyle name="Percent [00] 2" xfId="6319"/>
    <cellStyle name="Percent [00] 2 2" xfId="6320"/>
    <cellStyle name="Percent [00] 2 3" xfId="6321"/>
    <cellStyle name="Percent [00] 2 4" xfId="6322"/>
    <cellStyle name="Percent [00] 2 5" xfId="6323"/>
    <cellStyle name="Percent [00] 2 6" xfId="6324"/>
    <cellStyle name="Percent [00] 3" xfId="6325"/>
    <cellStyle name="Percent [00] 4" xfId="6326"/>
    <cellStyle name="Percent [00] 5" xfId="6327"/>
    <cellStyle name="Percent [00] 6" xfId="6328"/>
    <cellStyle name="Percent [00] 7" xfId="6329"/>
    <cellStyle name="Percent [2]" xfId="6330"/>
    <cellStyle name="Percent [2] 2" xfId="6331"/>
    <cellStyle name="Percent [2] 2 2" xfId="6332"/>
    <cellStyle name="Percent [2] 2 3" xfId="6333"/>
    <cellStyle name="Percent [2] 2 4" xfId="6334"/>
    <cellStyle name="Percent [2] 2 5" xfId="6335"/>
    <cellStyle name="Percent [2] 2 6" xfId="6336"/>
    <cellStyle name="Percent [2] 3" xfId="6337"/>
    <cellStyle name="Percent [2] 4" xfId="6338"/>
    <cellStyle name="Percent [2] 5" xfId="6339"/>
    <cellStyle name="Percent [2] 6" xfId="6340"/>
    <cellStyle name="Percent [2] 7" xfId="6341"/>
    <cellStyle name="Percent 10" xfId="6342"/>
    <cellStyle name="Percent 10 2" xfId="6343"/>
    <cellStyle name="Percent 10 3" xfId="6344"/>
    <cellStyle name="Percent 10 4" xfId="6345"/>
    <cellStyle name="Percent 10 5" xfId="6346"/>
    <cellStyle name="Percent 10 6" xfId="6347"/>
    <cellStyle name="Percent 11" xfId="6348"/>
    <cellStyle name="Percent 11 10" xfId="6349"/>
    <cellStyle name="Percent 11 11" xfId="6350"/>
    <cellStyle name="Percent 11 12" xfId="6351"/>
    <cellStyle name="Percent 11 13" xfId="6352"/>
    <cellStyle name="Percent 11 2" xfId="6353"/>
    <cellStyle name="Percent 11 2 10" xfId="6354"/>
    <cellStyle name="Percent 11 2 11" xfId="6355"/>
    <cellStyle name="Percent 11 2 12" xfId="6356"/>
    <cellStyle name="Percent 11 2 2" xfId="6357"/>
    <cellStyle name="Percent 11 2 2 2" xfId="6358"/>
    <cellStyle name="Percent 11 2 2 3" xfId="6359"/>
    <cellStyle name="Percent 11 2 2 4" xfId="6360"/>
    <cellStyle name="Percent 11 2 2 5" xfId="6361"/>
    <cellStyle name="Percent 11 2 2 6" xfId="6362"/>
    <cellStyle name="Percent 11 2 3" xfId="6363"/>
    <cellStyle name="Percent 11 2 3 2" xfId="6364"/>
    <cellStyle name="Percent 11 2 3 3" xfId="6365"/>
    <cellStyle name="Percent 11 2 3 4" xfId="6366"/>
    <cellStyle name="Percent 11 2 3 5" xfId="6367"/>
    <cellStyle name="Percent 11 2 3 6" xfId="6368"/>
    <cellStyle name="Percent 11 2 4" xfId="6369"/>
    <cellStyle name="Percent 11 2 4 2" xfId="6370"/>
    <cellStyle name="Percent 11 2 4 3" xfId="6371"/>
    <cellStyle name="Percent 11 2 4 4" xfId="6372"/>
    <cellStyle name="Percent 11 2 4 5" xfId="6373"/>
    <cellStyle name="Percent 11 2 4 6" xfId="6374"/>
    <cellStyle name="Percent 11 2 5" xfId="6375"/>
    <cellStyle name="Percent 11 2 6" xfId="6376"/>
    <cellStyle name="Percent 11 2 7" xfId="6377"/>
    <cellStyle name="Percent 11 2 8" xfId="6378"/>
    <cellStyle name="Percent 11 2 9" xfId="6379"/>
    <cellStyle name="Percent 11 3" xfId="6380"/>
    <cellStyle name="Percent 11 3 2" xfId="6381"/>
    <cellStyle name="Percent 11 3 3" xfId="6382"/>
    <cellStyle name="Percent 11 3 4" xfId="6383"/>
    <cellStyle name="Percent 11 3 5" xfId="6384"/>
    <cellStyle name="Percent 11 3 6" xfId="6385"/>
    <cellStyle name="Percent 11 4" xfId="6386"/>
    <cellStyle name="Percent 11 4 2" xfId="6387"/>
    <cellStyle name="Percent 11 4 3" xfId="6388"/>
    <cellStyle name="Percent 11 4 4" xfId="6389"/>
    <cellStyle name="Percent 11 4 5" xfId="6390"/>
    <cellStyle name="Percent 11 4 6" xfId="6391"/>
    <cellStyle name="Percent 11 5" xfId="6392"/>
    <cellStyle name="Percent 11 5 2" xfId="6393"/>
    <cellStyle name="Percent 11 5 3" xfId="6394"/>
    <cellStyle name="Percent 11 5 4" xfId="6395"/>
    <cellStyle name="Percent 11 5 5" xfId="6396"/>
    <cellStyle name="Percent 11 5 6" xfId="6397"/>
    <cellStyle name="Percent 11 6" xfId="6398"/>
    <cellStyle name="Percent 11 7" xfId="6399"/>
    <cellStyle name="Percent 11 8" xfId="6400"/>
    <cellStyle name="Percent 11 9" xfId="6401"/>
    <cellStyle name="Percent 2" xfId="6402"/>
    <cellStyle name="Percent 2 10" xfId="6403"/>
    <cellStyle name="Percent 2 10 10" xfId="6404"/>
    <cellStyle name="Percent 2 10 11" xfId="6405"/>
    <cellStyle name="Percent 2 10 12" xfId="6406"/>
    <cellStyle name="Percent 2 10 2" xfId="6407"/>
    <cellStyle name="Percent 2 10 2 2" xfId="6408"/>
    <cellStyle name="Percent 2 10 2 3" xfId="6409"/>
    <cellStyle name="Percent 2 10 2 4" xfId="6410"/>
    <cellStyle name="Percent 2 10 2 5" xfId="6411"/>
    <cellStyle name="Percent 2 10 2 6" xfId="6412"/>
    <cellStyle name="Percent 2 10 3" xfId="6413"/>
    <cellStyle name="Percent 2 10 3 2" xfId="6414"/>
    <cellStyle name="Percent 2 10 3 3" xfId="6415"/>
    <cellStyle name="Percent 2 10 3 4" xfId="6416"/>
    <cellStyle name="Percent 2 10 3 5" xfId="6417"/>
    <cellStyle name="Percent 2 10 3 6" xfId="6418"/>
    <cellStyle name="Percent 2 10 4" xfId="6419"/>
    <cellStyle name="Percent 2 10 4 2" xfId="6420"/>
    <cellStyle name="Percent 2 10 4 3" xfId="6421"/>
    <cellStyle name="Percent 2 10 4 4" xfId="6422"/>
    <cellStyle name="Percent 2 10 4 5" xfId="6423"/>
    <cellStyle name="Percent 2 10 4 6" xfId="6424"/>
    <cellStyle name="Percent 2 10 5" xfId="6425"/>
    <cellStyle name="Percent 2 10 6" xfId="6426"/>
    <cellStyle name="Percent 2 10 7" xfId="6427"/>
    <cellStyle name="Percent 2 10 8" xfId="6428"/>
    <cellStyle name="Percent 2 10 9" xfId="6429"/>
    <cellStyle name="Percent 2 11" xfId="6430"/>
    <cellStyle name="Percent 2 11 10" xfId="6431"/>
    <cellStyle name="Percent 2 11 11" xfId="6432"/>
    <cellStyle name="Percent 2 11 12" xfId="6433"/>
    <cellStyle name="Percent 2 11 2" xfId="6434"/>
    <cellStyle name="Percent 2 11 2 2" xfId="6435"/>
    <cellStyle name="Percent 2 11 2 3" xfId="6436"/>
    <cellStyle name="Percent 2 11 2 4" xfId="6437"/>
    <cellStyle name="Percent 2 11 2 5" xfId="6438"/>
    <cellStyle name="Percent 2 11 2 6" xfId="6439"/>
    <cellStyle name="Percent 2 11 3" xfId="6440"/>
    <cellStyle name="Percent 2 11 3 2" xfId="6441"/>
    <cellStyle name="Percent 2 11 3 3" xfId="6442"/>
    <cellStyle name="Percent 2 11 3 4" xfId="6443"/>
    <cellStyle name="Percent 2 11 3 5" xfId="6444"/>
    <cellStyle name="Percent 2 11 3 6" xfId="6445"/>
    <cellStyle name="Percent 2 11 4" xfId="6446"/>
    <cellStyle name="Percent 2 11 4 2" xfId="6447"/>
    <cellStyle name="Percent 2 11 4 3" xfId="6448"/>
    <cellStyle name="Percent 2 11 4 4" xfId="6449"/>
    <cellStyle name="Percent 2 11 4 5" xfId="6450"/>
    <cellStyle name="Percent 2 11 4 6" xfId="6451"/>
    <cellStyle name="Percent 2 11 5" xfId="6452"/>
    <cellStyle name="Percent 2 11 6" xfId="6453"/>
    <cellStyle name="Percent 2 11 7" xfId="6454"/>
    <cellStyle name="Percent 2 11 8" xfId="6455"/>
    <cellStyle name="Percent 2 11 9" xfId="6456"/>
    <cellStyle name="Percent 2 12" xfId="6457"/>
    <cellStyle name="Percent 2 12 10" xfId="6458"/>
    <cellStyle name="Percent 2 12 11" xfId="6459"/>
    <cellStyle name="Percent 2 12 12" xfId="6460"/>
    <cellStyle name="Percent 2 12 2" xfId="6461"/>
    <cellStyle name="Percent 2 12 2 2" xfId="6462"/>
    <cellStyle name="Percent 2 12 2 3" xfId="6463"/>
    <cellStyle name="Percent 2 12 2 4" xfId="6464"/>
    <cellStyle name="Percent 2 12 2 5" xfId="6465"/>
    <cellStyle name="Percent 2 12 2 6" xfId="6466"/>
    <cellStyle name="Percent 2 12 3" xfId="6467"/>
    <cellStyle name="Percent 2 12 3 2" xfId="6468"/>
    <cellStyle name="Percent 2 12 3 3" xfId="6469"/>
    <cellStyle name="Percent 2 12 3 4" xfId="6470"/>
    <cellStyle name="Percent 2 12 3 5" xfId="6471"/>
    <cellStyle name="Percent 2 12 3 6" xfId="6472"/>
    <cellStyle name="Percent 2 12 4" xfId="6473"/>
    <cellStyle name="Percent 2 12 4 2" xfId="6474"/>
    <cellStyle name="Percent 2 12 4 3" xfId="6475"/>
    <cellStyle name="Percent 2 12 4 4" xfId="6476"/>
    <cellStyle name="Percent 2 12 4 5" xfId="6477"/>
    <cellStyle name="Percent 2 12 4 6" xfId="6478"/>
    <cellStyle name="Percent 2 12 5" xfId="6479"/>
    <cellStyle name="Percent 2 12 6" xfId="6480"/>
    <cellStyle name="Percent 2 12 7" xfId="6481"/>
    <cellStyle name="Percent 2 12 8" xfId="6482"/>
    <cellStyle name="Percent 2 12 9" xfId="6483"/>
    <cellStyle name="Percent 2 13" xfId="6484"/>
    <cellStyle name="Percent 2 13 10" xfId="6485"/>
    <cellStyle name="Percent 2 13 11" xfId="6486"/>
    <cellStyle name="Percent 2 13 12" xfId="6487"/>
    <cellStyle name="Percent 2 13 2" xfId="6488"/>
    <cellStyle name="Percent 2 13 2 2" xfId="6489"/>
    <cellStyle name="Percent 2 13 2 3" xfId="6490"/>
    <cellStyle name="Percent 2 13 2 4" xfId="6491"/>
    <cellStyle name="Percent 2 13 2 5" xfId="6492"/>
    <cellStyle name="Percent 2 13 2 6" xfId="6493"/>
    <cellStyle name="Percent 2 13 3" xfId="6494"/>
    <cellStyle name="Percent 2 13 3 2" xfId="6495"/>
    <cellStyle name="Percent 2 13 3 3" xfId="6496"/>
    <cellStyle name="Percent 2 13 3 4" xfId="6497"/>
    <cellStyle name="Percent 2 13 3 5" xfId="6498"/>
    <cellStyle name="Percent 2 13 3 6" xfId="6499"/>
    <cellStyle name="Percent 2 13 4" xfId="6500"/>
    <cellStyle name="Percent 2 13 4 2" xfId="6501"/>
    <cellStyle name="Percent 2 13 4 3" xfId="6502"/>
    <cellStyle name="Percent 2 13 4 4" xfId="6503"/>
    <cellStyle name="Percent 2 13 4 5" xfId="6504"/>
    <cellStyle name="Percent 2 13 4 6" xfId="6505"/>
    <cellStyle name="Percent 2 13 5" xfId="6506"/>
    <cellStyle name="Percent 2 13 6" xfId="6507"/>
    <cellStyle name="Percent 2 13 7" xfId="6508"/>
    <cellStyle name="Percent 2 13 8" xfId="6509"/>
    <cellStyle name="Percent 2 13 9" xfId="6510"/>
    <cellStyle name="Percent 2 14" xfId="6511"/>
    <cellStyle name="Percent 2 14 10" xfId="6512"/>
    <cellStyle name="Percent 2 14 11" xfId="6513"/>
    <cellStyle name="Percent 2 14 12" xfId="6514"/>
    <cellStyle name="Percent 2 14 2" xfId="6515"/>
    <cellStyle name="Percent 2 14 2 2" xfId="6516"/>
    <cellStyle name="Percent 2 14 2 3" xfId="6517"/>
    <cellStyle name="Percent 2 14 2 4" xfId="6518"/>
    <cellStyle name="Percent 2 14 2 5" xfId="6519"/>
    <cellStyle name="Percent 2 14 2 6" xfId="6520"/>
    <cellStyle name="Percent 2 14 3" xfId="6521"/>
    <cellStyle name="Percent 2 14 3 2" xfId="6522"/>
    <cellStyle name="Percent 2 14 3 3" xfId="6523"/>
    <cellStyle name="Percent 2 14 3 4" xfId="6524"/>
    <cellStyle name="Percent 2 14 3 5" xfId="6525"/>
    <cellStyle name="Percent 2 14 3 6" xfId="6526"/>
    <cellStyle name="Percent 2 14 4" xfId="6527"/>
    <cellStyle name="Percent 2 14 4 2" xfId="6528"/>
    <cellStyle name="Percent 2 14 4 3" xfId="6529"/>
    <cellStyle name="Percent 2 14 4 4" xfId="6530"/>
    <cellStyle name="Percent 2 14 4 5" xfId="6531"/>
    <cellStyle name="Percent 2 14 4 6" xfId="6532"/>
    <cellStyle name="Percent 2 14 5" xfId="6533"/>
    <cellStyle name="Percent 2 14 6" xfId="6534"/>
    <cellStyle name="Percent 2 14 7" xfId="6535"/>
    <cellStyle name="Percent 2 14 8" xfId="6536"/>
    <cellStyle name="Percent 2 14 9" xfId="6537"/>
    <cellStyle name="Percent 2 15" xfId="6538"/>
    <cellStyle name="Percent 2 15 10" xfId="6539"/>
    <cellStyle name="Percent 2 15 11" xfId="6540"/>
    <cellStyle name="Percent 2 15 12" xfId="6541"/>
    <cellStyle name="Percent 2 15 2" xfId="6542"/>
    <cellStyle name="Percent 2 15 2 2" xfId="6543"/>
    <cellStyle name="Percent 2 15 2 3" xfId="6544"/>
    <cellStyle name="Percent 2 15 2 4" xfId="6545"/>
    <cellStyle name="Percent 2 15 2 5" xfId="6546"/>
    <cellStyle name="Percent 2 15 2 6" xfId="6547"/>
    <cellStyle name="Percent 2 15 3" xfId="6548"/>
    <cellStyle name="Percent 2 15 3 2" xfId="6549"/>
    <cellStyle name="Percent 2 15 3 3" xfId="6550"/>
    <cellStyle name="Percent 2 15 3 4" xfId="6551"/>
    <cellStyle name="Percent 2 15 3 5" xfId="6552"/>
    <cellStyle name="Percent 2 15 3 6" xfId="6553"/>
    <cellStyle name="Percent 2 15 4" xfId="6554"/>
    <cellStyle name="Percent 2 15 4 2" xfId="6555"/>
    <cellStyle name="Percent 2 15 4 3" xfId="6556"/>
    <cellStyle name="Percent 2 15 4 4" xfId="6557"/>
    <cellStyle name="Percent 2 15 4 5" xfId="6558"/>
    <cellStyle name="Percent 2 15 4 6" xfId="6559"/>
    <cellStyle name="Percent 2 15 5" xfId="6560"/>
    <cellStyle name="Percent 2 15 6" xfId="6561"/>
    <cellStyle name="Percent 2 15 7" xfId="6562"/>
    <cellStyle name="Percent 2 15 8" xfId="6563"/>
    <cellStyle name="Percent 2 15 9" xfId="6564"/>
    <cellStyle name="Percent 2 16" xfId="6565"/>
    <cellStyle name="Percent 2 16 10" xfId="6566"/>
    <cellStyle name="Percent 2 16 11" xfId="6567"/>
    <cellStyle name="Percent 2 16 12" xfId="6568"/>
    <cellStyle name="Percent 2 16 13" xfId="6569"/>
    <cellStyle name="Percent 2 16 14" xfId="6570"/>
    <cellStyle name="Percent 2 16 15" xfId="6571"/>
    <cellStyle name="Percent 2 16 16" xfId="6572"/>
    <cellStyle name="Percent 2 16 2" xfId="6573"/>
    <cellStyle name="Percent 2 16 2 2" xfId="6574"/>
    <cellStyle name="Percent 2 16 2 3" xfId="6575"/>
    <cellStyle name="Percent 2 16 2 4" xfId="6576"/>
    <cellStyle name="Percent 2 16 2 5" xfId="6577"/>
    <cellStyle name="Percent 2 16 2 6" xfId="6578"/>
    <cellStyle name="Percent 2 16 3" xfId="6579"/>
    <cellStyle name="Percent 2 16 3 2" xfId="6580"/>
    <cellStyle name="Percent 2 16 3 3" xfId="6581"/>
    <cellStyle name="Percent 2 16 3 4" xfId="6582"/>
    <cellStyle name="Percent 2 16 3 5" xfId="6583"/>
    <cellStyle name="Percent 2 16 3 6" xfId="6584"/>
    <cellStyle name="Percent 2 16 4" xfId="6585"/>
    <cellStyle name="Percent 2 16 4 2" xfId="6586"/>
    <cellStyle name="Percent 2 16 4 3" xfId="6587"/>
    <cellStyle name="Percent 2 16 4 4" xfId="6588"/>
    <cellStyle name="Percent 2 16 4 5" xfId="6589"/>
    <cellStyle name="Percent 2 16 4 6" xfId="6590"/>
    <cellStyle name="Percent 2 16 5" xfId="6591"/>
    <cellStyle name="Percent 2 16 5 2" xfId="6592"/>
    <cellStyle name="Percent 2 16 5 3" xfId="6593"/>
    <cellStyle name="Percent 2 16 5 4" xfId="6594"/>
    <cellStyle name="Percent 2 16 5 5" xfId="6595"/>
    <cellStyle name="Percent 2 16 5 6" xfId="6596"/>
    <cellStyle name="Percent 2 16 6" xfId="6597"/>
    <cellStyle name="Percent 2 16 6 2" xfId="6598"/>
    <cellStyle name="Percent 2 16 6 3" xfId="6599"/>
    <cellStyle name="Percent 2 16 6 4" xfId="6600"/>
    <cellStyle name="Percent 2 16 6 5" xfId="6601"/>
    <cellStyle name="Percent 2 16 6 6" xfId="6602"/>
    <cellStyle name="Percent 2 16 7" xfId="6603"/>
    <cellStyle name="Percent 2 16 7 2" xfId="6604"/>
    <cellStyle name="Percent 2 16 7 3" xfId="6605"/>
    <cellStyle name="Percent 2 16 7 4" xfId="6606"/>
    <cellStyle name="Percent 2 16 7 5" xfId="6607"/>
    <cellStyle name="Percent 2 16 7 6" xfId="6608"/>
    <cellStyle name="Percent 2 16 8" xfId="6609"/>
    <cellStyle name="Percent 2 16 8 2" xfId="6610"/>
    <cellStyle name="Percent 2 16 8 3" xfId="6611"/>
    <cellStyle name="Percent 2 16 8 4" xfId="6612"/>
    <cellStyle name="Percent 2 16 8 5" xfId="6613"/>
    <cellStyle name="Percent 2 16 8 6" xfId="6614"/>
    <cellStyle name="Percent 2 16 9" xfId="6615"/>
    <cellStyle name="Percent 2 17" xfId="6616"/>
    <cellStyle name="Percent 2 18" xfId="6617"/>
    <cellStyle name="Percent 2 19" xfId="6618"/>
    <cellStyle name="Percent 2 2" xfId="6619"/>
    <cellStyle name="Percent 2 2 10" xfId="6620"/>
    <cellStyle name="Percent 2 2 2" xfId="6621"/>
    <cellStyle name="Percent 2 2 2 2" xfId="6622"/>
    <cellStyle name="Percent 2 2 2 3" xfId="6623"/>
    <cellStyle name="Percent 2 2 2 4" xfId="6624"/>
    <cellStyle name="Percent 2 2 2 5" xfId="6625"/>
    <cellStyle name="Percent 2 2 2 6" xfId="6626"/>
    <cellStyle name="Percent 2 2 3" xfId="6627"/>
    <cellStyle name="Percent 2 2 3 2" xfId="6628"/>
    <cellStyle name="Percent 2 2 3 3" xfId="6629"/>
    <cellStyle name="Percent 2 2 3 4" xfId="6630"/>
    <cellStyle name="Percent 2 2 3 5" xfId="6631"/>
    <cellStyle name="Percent 2 2 3 6" xfId="6632"/>
    <cellStyle name="Percent 2 2 4" xfId="6633"/>
    <cellStyle name="Percent 2 2 4 2" xfId="6634"/>
    <cellStyle name="Percent 2 2 4 3" xfId="6635"/>
    <cellStyle name="Percent 2 2 4 4" xfId="6636"/>
    <cellStyle name="Percent 2 2 4 5" xfId="6637"/>
    <cellStyle name="Percent 2 2 4 6" xfId="6638"/>
    <cellStyle name="Percent 2 2 5" xfId="6639"/>
    <cellStyle name="Percent 2 2 5 2" xfId="6640"/>
    <cellStyle name="Percent 2 2 5 3" xfId="6641"/>
    <cellStyle name="Percent 2 2 5 4" xfId="6642"/>
    <cellStyle name="Percent 2 2 5 5" xfId="6643"/>
    <cellStyle name="Percent 2 2 5 6" xfId="6644"/>
    <cellStyle name="Percent 2 2 6" xfId="6645"/>
    <cellStyle name="Percent 2 2 7" xfId="6646"/>
    <cellStyle name="Percent 2 2 8" xfId="6647"/>
    <cellStyle name="Percent 2 2 9" xfId="6648"/>
    <cellStyle name="Percent 2 20" xfId="6649"/>
    <cellStyle name="Percent 2 21" xfId="6650"/>
    <cellStyle name="Percent 2 3" xfId="6651"/>
    <cellStyle name="Percent 2 3 2" xfId="6652"/>
    <cellStyle name="Percent 2 3 2 2" xfId="6653"/>
    <cellStyle name="Percent 2 3 2 3" xfId="6654"/>
    <cellStyle name="Percent 2 3 2 4" xfId="6655"/>
    <cellStyle name="Percent 2 3 2 5" xfId="6656"/>
    <cellStyle name="Percent 2 3 2 6" xfId="6657"/>
    <cellStyle name="Percent 2 3 3" xfId="6658"/>
    <cellStyle name="Percent 2 3 4" xfId="6659"/>
    <cellStyle name="Percent 2 3 5" xfId="6660"/>
    <cellStyle name="Percent 2 3 6" xfId="6661"/>
    <cellStyle name="Percent 2 3 7" xfId="6662"/>
    <cellStyle name="Percent 2 4" xfId="6663"/>
    <cellStyle name="Percent 2 4 2" xfId="6664"/>
    <cellStyle name="Percent 2 4 3" xfId="6665"/>
    <cellStyle name="Percent 2 4 4" xfId="6666"/>
    <cellStyle name="Percent 2 4 5" xfId="6667"/>
    <cellStyle name="Percent 2 4 6" xfId="6668"/>
    <cellStyle name="Percent 2 5" xfId="6669"/>
    <cellStyle name="Percent 2 5 2" xfId="6670"/>
    <cellStyle name="Percent 2 5 3" xfId="6671"/>
    <cellStyle name="Percent 2 5 4" xfId="6672"/>
    <cellStyle name="Percent 2 5 5" xfId="6673"/>
    <cellStyle name="Percent 2 5 6" xfId="6674"/>
    <cellStyle name="Percent 2 6" xfId="6675"/>
    <cellStyle name="Percent 2 6 2" xfId="6676"/>
    <cellStyle name="Percent 2 6 3" xfId="6677"/>
    <cellStyle name="Percent 2 6 4" xfId="6678"/>
    <cellStyle name="Percent 2 6 5" xfId="6679"/>
    <cellStyle name="Percent 2 6 6" xfId="6680"/>
    <cellStyle name="Percent 2 7" xfId="6681"/>
    <cellStyle name="Percent 2 7 10" xfId="6682"/>
    <cellStyle name="Percent 2 7 11" xfId="6683"/>
    <cellStyle name="Percent 2 7 12" xfId="6684"/>
    <cellStyle name="Percent 2 7 2" xfId="6685"/>
    <cellStyle name="Percent 2 7 2 2" xfId="6686"/>
    <cellStyle name="Percent 2 7 2 3" xfId="6687"/>
    <cellStyle name="Percent 2 7 2 4" xfId="6688"/>
    <cellStyle name="Percent 2 7 2 5" xfId="6689"/>
    <cellStyle name="Percent 2 7 2 6" xfId="6690"/>
    <cellStyle name="Percent 2 7 3" xfId="6691"/>
    <cellStyle name="Percent 2 7 3 2" xfId="6692"/>
    <cellStyle name="Percent 2 7 3 3" xfId="6693"/>
    <cellStyle name="Percent 2 7 3 4" xfId="6694"/>
    <cellStyle name="Percent 2 7 3 5" xfId="6695"/>
    <cellStyle name="Percent 2 7 3 6" xfId="6696"/>
    <cellStyle name="Percent 2 7 4" xfId="6697"/>
    <cellStyle name="Percent 2 7 4 2" xfId="6698"/>
    <cellStyle name="Percent 2 7 4 3" xfId="6699"/>
    <cellStyle name="Percent 2 7 4 4" xfId="6700"/>
    <cellStyle name="Percent 2 7 4 5" xfId="6701"/>
    <cellStyle name="Percent 2 7 4 6" xfId="6702"/>
    <cellStyle name="Percent 2 7 5" xfId="6703"/>
    <cellStyle name="Percent 2 7 6" xfId="6704"/>
    <cellStyle name="Percent 2 7 7" xfId="6705"/>
    <cellStyle name="Percent 2 7 8" xfId="6706"/>
    <cellStyle name="Percent 2 7 9" xfId="6707"/>
    <cellStyle name="Percent 2 8" xfId="6708"/>
    <cellStyle name="Percent 2 8 10" xfId="6709"/>
    <cellStyle name="Percent 2 8 11" xfId="6710"/>
    <cellStyle name="Percent 2 8 12" xfId="6711"/>
    <cellStyle name="Percent 2 8 2" xfId="6712"/>
    <cellStyle name="Percent 2 8 2 2" xfId="6713"/>
    <cellStyle name="Percent 2 8 2 3" xfId="6714"/>
    <cellStyle name="Percent 2 8 2 4" xfId="6715"/>
    <cellStyle name="Percent 2 8 2 5" xfId="6716"/>
    <cellStyle name="Percent 2 8 2 6" xfId="6717"/>
    <cellStyle name="Percent 2 8 3" xfId="6718"/>
    <cellStyle name="Percent 2 8 3 2" xfId="6719"/>
    <cellStyle name="Percent 2 8 3 3" xfId="6720"/>
    <cellStyle name="Percent 2 8 3 4" xfId="6721"/>
    <cellStyle name="Percent 2 8 3 5" xfId="6722"/>
    <cellStyle name="Percent 2 8 3 6" xfId="6723"/>
    <cellStyle name="Percent 2 8 4" xfId="6724"/>
    <cellStyle name="Percent 2 8 4 2" xfId="6725"/>
    <cellStyle name="Percent 2 8 4 3" xfId="6726"/>
    <cellStyle name="Percent 2 8 4 4" xfId="6727"/>
    <cellStyle name="Percent 2 8 4 5" xfId="6728"/>
    <cellStyle name="Percent 2 8 4 6" xfId="6729"/>
    <cellStyle name="Percent 2 8 5" xfId="6730"/>
    <cellStyle name="Percent 2 8 6" xfId="6731"/>
    <cellStyle name="Percent 2 8 7" xfId="6732"/>
    <cellStyle name="Percent 2 8 8" xfId="6733"/>
    <cellStyle name="Percent 2 8 9" xfId="6734"/>
    <cellStyle name="Percent 2 9" xfId="6735"/>
    <cellStyle name="Percent 2 9 10" xfId="6736"/>
    <cellStyle name="Percent 2 9 11" xfId="6737"/>
    <cellStyle name="Percent 2 9 12" xfId="6738"/>
    <cellStyle name="Percent 2 9 2" xfId="6739"/>
    <cellStyle name="Percent 2 9 2 2" xfId="6740"/>
    <cellStyle name="Percent 2 9 2 3" xfId="6741"/>
    <cellStyle name="Percent 2 9 2 4" xfId="6742"/>
    <cellStyle name="Percent 2 9 2 5" xfId="6743"/>
    <cellStyle name="Percent 2 9 2 6" xfId="6744"/>
    <cellStyle name="Percent 2 9 3" xfId="6745"/>
    <cellStyle name="Percent 2 9 3 2" xfId="6746"/>
    <cellStyle name="Percent 2 9 3 3" xfId="6747"/>
    <cellStyle name="Percent 2 9 3 4" xfId="6748"/>
    <cellStyle name="Percent 2 9 3 5" xfId="6749"/>
    <cellStyle name="Percent 2 9 3 6" xfId="6750"/>
    <cellStyle name="Percent 2 9 4" xfId="6751"/>
    <cellStyle name="Percent 2 9 4 2" xfId="6752"/>
    <cellStyle name="Percent 2 9 4 3" xfId="6753"/>
    <cellStyle name="Percent 2 9 4 4" xfId="6754"/>
    <cellStyle name="Percent 2 9 4 5" xfId="6755"/>
    <cellStyle name="Percent 2 9 4 6" xfId="6756"/>
    <cellStyle name="Percent 2 9 5" xfId="6757"/>
    <cellStyle name="Percent 2 9 6" xfId="6758"/>
    <cellStyle name="Percent 2 9 7" xfId="6759"/>
    <cellStyle name="Percent 2 9 8" xfId="6760"/>
    <cellStyle name="Percent 2 9 9" xfId="6761"/>
    <cellStyle name="Percent 3" xfId="6762"/>
    <cellStyle name="Percent 3 10" xfId="6763"/>
    <cellStyle name="Percent 3 10 10" xfId="6764"/>
    <cellStyle name="Percent 3 10 11" xfId="6765"/>
    <cellStyle name="Percent 3 10 12" xfId="6766"/>
    <cellStyle name="Percent 3 10 2" xfId="6767"/>
    <cellStyle name="Percent 3 10 2 2" xfId="6768"/>
    <cellStyle name="Percent 3 10 2 3" xfId="6769"/>
    <cellStyle name="Percent 3 10 2 4" xfId="6770"/>
    <cellStyle name="Percent 3 10 2 5" xfId="6771"/>
    <cellStyle name="Percent 3 10 2 6" xfId="6772"/>
    <cellStyle name="Percent 3 10 3" xfId="6773"/>
    <cellStyle name="Percent 3 10 3 2" xfId="6774"/>
    <cellStyle name="Percent 3 10 3 3" xfId="6775"/>
    <cellStyle name="Percent 3 10 3 4" xfId="6776"/>
    <cellStyle name="Percent 3 10 3 5" xfId="6777"/>
    <cellStyle name="Percent 3 10 3 6" xfId="6778"/>
    <cellStyle name="Percent 3 10 4" xfId="6779"/>
    <cellStyle name="Percent 3 10 4 2" xfId="6780"/>
    <cellStyle name="Percent 3 10 4 3" xfId="6781"/>
    <cellStyle name="Percent 3 10 4 4" xfId="6782"/>
    <cellStyle name="Percent 3 10 4 5" xfId="6783"/>
    <cellStyle name="Percent 3 10 4 6" xfId="6784"/>
    <cellStyle name="Percent 3 10 5" xfId="6785"/>
    <cellStyle name="Percent 3 10 6" xfId="6786"/>
    <cellStyle name="Percent 3 10 7" xfId="6787"/>
    <cellStyle name="Percent 3 10 8" xfId="6788"/>
    <cellStyle name="Percent 3 10 9" xfId="6789"/>
    <cellStyle name="Percent 3 11" xfId="6790"/>
    <cellStyle name="Percent 3 11 10" xfId="6791"/>
    <cellStyle name="Percent 3 11 11" xfId="6792"/>
    <cellStyle name="Percent 3 11 12" xfId="6793"/>
    <cellStyle name="Percent 3 11 2" xfId="6794"/>
    <cellStyle name="Percent 3 11 2 2" xfId="6795"/>
    <cellStyle name="Percent 3 11 2 3" xfId="6796"/>
    <cellStyle name="Percent 3 11 2 4" xfId="6797"/>
    <cellStyle name="Percent 3 11 2 5" xfId="6798"/>
    <cellStyle name="Percent 3 11 2 6" xfId="6799"/>
    <cellStyle name="Percent 3 11 3" xfId="6800"/>
    <cellStyle name="Percent 3 11 3 2" xfId="6801"/>
    <cellStyle name="Percent 3 11 3 3" xfId="6802"/>
    <cellStyle name="Percent 3 11 3 4" xfId="6803"/>
    <cellStyle name="Percent 3 11 3 5" xfId="6804"/>
    <cellStyle name="Percent 3 11 3 6" xfId="6805"/>
    <cellStyle name="Percent 3 11 4" xfId="6806"/>
    <cellStyle name="Percent 3 11 4 2" xfId="6807"/>
    <cellStyle name="Percent 3 11 4 3" xfId="6808"/>
    <cellStyle name="Percent 3 11 4 4" xfId="6809"/>
    <cellStyle name="Percent 3 11 4 5" xfId="6810"/>
    <cellStyle name="Percent 3 11 4 6" xfId="6811"/>
    <cellStyle name="Percent 3 11 5" xfId="6812"/>
    <cellStyle name="Percent 3 11 6" xfId="6813"/>
    <cellStyle name="Percent 3 11 7" xfId="6814"/>
    <cellStyle name="Percent 3 11 8" xfId="6815"/>
    <cellStyle name="Percent 3 11 9" xfId="6816"/>
    <cellStyle name="Percent 3 12" xfId="6817"/>
    <cellStyle name="Percent 3 12 2" xfId="6818"/>
    <cellStyle name="Percent 3 12 3" xfId="6819"/>
    <cellStyle name="Percent 3 12 4" xfId="6820"/>
    <cellStyle name="Percent 3 12 5" xfId="6821"/>
    <cellStyle name="Percent 3 12 6" xfId="6822"/>
    <cellStyle name="Percent 3 13" xfId="6823"/>
    <cellStyle name="Percent 3 13 2" xfId="6824"/>
    <cellStyle name="Percent 3 13 2 10" xfId="6825"/>
    <cellStyle name="Percent 3 13 2 11" xfId="6826"/>
    <cellStyle name="Percent 3 13 2 12" xfId="6827"/>
    <cellStyle name="Percent 3 13 2 2" xfId="6828"/>
    <cellStyle name="Percent 3 13 2 2 2" xfId="6829"/>
    <cellStyle name="Percent 3 13 2 2 3" xfId="6830"/>
    <cellStyle name="Percent 3 13 2 2 4" xfId="6831"/>
    <cellStyle name="Percent 3 13 2 2 5" xfId="6832"/>
    <cellStyle name="Percent 3 13 2 2 6" xfId="6833"/>
    <cellStyle name="Percent 3 13 2 3" xfId="6834"/>
    <cellStyle name="Percent 3 13 2 3 2" xfId="6835"/>
    <cellStyle name="Percent 3 13 2 3 3" xfId="6836"/>
    <cellStyle name="Percent 3 13 2 3 4" xfId="6837"/>
    <cellStyle name="Percent 3 13 2 3 5" xfId="6838"/>
    <cellStyle name="Percent 3 13 2 3 6" xfId="6839"/>
    <cellStyle name="Percent 3 13 2 4" xfId="6840"/>
    <cellStyle name="Percent 3 13 2 4 2" xfId="6841"/>
    <cellStyle name="Percent 3 13 2 4 3" xfId="6842"/>
    <cellStyle name="Percent 3 13 2 4 4" xfId="6843"/>
    <cellStyle name="Percent 3 13 2 4 5" xfId="6844"/>
    <cellStyle name="Percent 3 13 2 4 6" xfId="6845"/>
    <cellStyle name="Percent 3 13 2 5" xfId="6846"/>
    <cellStyle name="Percent 3 13 2 6" xfId="6847"/>
    <cellStyle name="Percent 3 13 2 7" xfId="6848"/>
    <cellStyle name="Percent 3 13 2 8" xfId="6849"/>
    <cellStyle name="Percent 3 13 2 9" xfId="6850"/>
    <cellStyle name="Percent 3 13 3" xfId="6851"/>
    <cellStyle name="Percent 3 13 4" xfId="6852"/>
    <cellStyle name="Percent 3 13 5" xfId="6853"/>
    <cellStyle name="Percent 3 13 6" xfId="6854"/>
    <cellStyle name="Percent 3 13 7" xfId="6855"/>
    <cellStyle name="Percent 3 14" xfId="6856"/>
    <cellStyle name="Percent 3 14 2" xfId="6857"/>
    <cellStyle name="Percent 3 14 3" xfId="6858"/>
    <cellStyle name="Percent 3 14 4" xfId="6859"/>
    <cellStyle name="Percent 3 14 5" xfId="6860"/>
    <cellStyle name="Percent 3 14 6" xfId="6861"/>
    <cellStyle name="Percent 3 15" xfId="6862"/>
    <cellStyle name="Percent 3 15 2" xfId="6863"/>
    <cellStyle name="Percent 3 15 3" xfId="6864"/>
    <cellStyle name="Percent 3 15 4" xfId="6865"/>
    <cellStyle name="Percent 3 15 5" xfId="6866"/>
    <cellStyle name="Percent 3 15 6" xfId="6867"/>
    <cellStyle name="Percent 3 16" xfId="6868"/>
    <cellStyle name="Percent 3 16 2" xfId="6869"/>
    <cellStyle name="Percent 3 16 3" xfId="6870"/>
    <cellStyle name="Percent 3 16 4" xfId="6871"/>
    <cellStyle name="Percent 3 16 5" xfId="6872"/>
    <cellStyle name="Percent 3 16 6" xfId="6873"/>
    <cellStyle name="Percent 3 17" xfId="6874"/>
    <cellStyle name="Percent 3 18" xfId="6875"/>
    <cellStyle name="Percent 3 19" xfId="6876"/>
    <cellStyle name="Percent 3 2" xfId="6877"/>
    <cellStyle name="Percent 3 2 10" xfId="6878"/>
    <cellStyle name="Percent 3 2 11" xfId="6879"/>
    <cellStyle name="Percent 3 2 12" xfId="6880"/>
    <cellStyle name="Percent 3 2 2" xfId="6881"/>
    <cellStyle name="Percent 3 2 2 2" xfId="6882"/>
    <cellStyle name="Percent 3 2 2 3" xfId="6883"/>
    <cellStyle name="Percent 3 2 2 4" xfId="6884"/>
    <cellStyle name="Percent 3 2 2 5" xfId="6885"/>
    <cellStyle name="Percent 3 2 2 6" xfId="6886"/>
    <cellStyle name="Percent 3 2 3" xfId="6887"/>
    <cellStyle name="Percent 3 2 3 2" xfId="6888"/>
    <cellStyle name="Percent 3 2 3 3" xfId="6889"/>
    <cellStyle name="Percent 3 2 3 4" xfId="6890"/>
    <cellStyle name="Percent 3 2 3 5" xfId="6891"/>
    <cellStyle name="Percent 3 2 3 6" xfId="6892"/>
    <cellStyle name="Percent 3 2 4" xfId="6893"/>
    <cellStyle name="Percent 3 2 4 2" xfId="6894"/>
    <cellStyle name="Percent 3 2 4 3" xfId="6895"/>
    <cellStyle name="Percent 3 2 4 4" xfId="6896"/>
    <cellStyle name="Percent 3 2 4 5" xfId="6897"/>
    <cellStyle name="Percent 3 2 4 6" xfId="6898"/>
    <cellStyle name="Percent 3 2 5" xfId="6899"/>
    <cellStyle name="Percent 3 2 6" xfId="6900"/>
    <cellStyle name="Percent 3 2 7" xfId="6901"/>
    <cellStyle name="Percent 3 2 8" xfId="6902"/>
    <cellStyle name="Percent 3 2 9" xfId="6903"/>
    <cellStyle name="Percent 3 20" xfId="6904"/>
    <cellStyle name="Percent 3 21" xfId="6905"/>
    <cellStyle name="Percent 3 22" xfId="6906"/>
    <cellStyle name="Percent 3 23" xfId="6907"/>
    <cellStyle name="Percent 3 24" xfId="6908"/>
    <cellStyle name="Percent 3 3" xfId="6909"/>
    <cellStyle name="Percent 3 3 10" xfId="6910"/>
    <cellStyle name="Percent 3 3 11" xfId="6911"/>
    <cellStyle name="Percent 3 3 12" xfId="6912"/>
    <cellStyle name="Percent 3 3 13" xfId="6913"/>
    <cellStyle name="Percent 3 3 14" xfId="6914"/>
    <cellStyle name="Percent 3 3 2" xfId="6915"/>
    <cellStyle name="Percent 3 3 2 10" xfId="6916"/>
    <cellStyle name="Percent 3 3 2 11" xfId="6917"/>
    <cellStyle name="Percent 3 3 2 12" xfId="6918"/>
    <cellStyle name="Percent 3 3 2 2" xfId="6919"/>
    <cellStyle name="Percent 3 3 2 2 2" xfId="6920"/>
    <cellStyle name="Percent 3 3 2 2 3" xfId="6921"/>
    <cellStyle name="Percent 3 3 2 2 4" xfId="6922"/>
    <cellStyle name="Percent 3 3 2 2 5" xfId="6923"/>
    <cellStyle name="Percent 3 3 2 2 6" xfId="6924"/>
    <cellStyle name="Percent 3 3 2 3" xfId="6925"/>
    <cellStyle name="Percent 3 3 2 3 2" xfId="6926"/>
    <cellStyle name="Percent 3 3 2 3 3" xfId="6927"/>
    <cellStyle name="Percent 3 3 2 3 4" xfId="6928"/>
    <cellStyle name="Percent 3 3 2 3 5" xfId="6929"/>
    <cellStyle name="Percent 3 3 2 3 6" xfId="6930"/>
    <cellStyle name="Percent 3 3 2 4" xfId="6931"/>
    <cellStyle name="Percent 3 3 2 4 2" xfId="6932"/>
    <cellStyle name="Percent 3 3 2 4 3" xfId="6933"/>
    <cellStyle name="Percent 3 3 2 4 4" xfId="6934"/>
    <cellStyle name="Percent 3 3 2 4 5" xfId="6935"/>
    <cellStyle name="Percent 3 3 2 4 6" xfId="6936"/>
    <cellStyle name="Percent 3 3 2 5" xfId="6937"/>
    <cellStyle name="Percent 3 3 2 6" xfId="6938"/>
    <cellStyle name="Percent 3 3 2 7" xfId="6939"/>
    <cellStyle name="Percent 3 3 2 8" xfId="6940"/>
    <cellStyle name="Percent 3 3 2 9" xfId="6941"/>
    <cellStyle name="Percent 3 3 3" xfId="6942"/>
    <cellStyle name="Percent 3 3 3 10" xfId="6943"/>
    <cellStyle name="Percent 3 3 3 11" xfId="6944"/>
    <cellStyle name="Percent 3 3 3 12" xfId="6945"/>
    <cellStyle name="Percent 3 3 3 2" xfId="6946"/>
    <cellStyle name="Percent 3 3 3 2 2" xfId="6947"/>
    <cellStyle name="Percent 3 3 3 2 3" xfId="6948"/>
    <cellStyle name="Percent 3 3 3 2 4" xfId="6949"/>
    <cellStyle name="Percent 3 3 3 2 5" xfId="6950"/>
    <cellStyle name="Percent 3 3 3 2 6" xfId="6951"/>
    <cellStyle name="Percent 3 3 3 3" xfId="6952"/>
    <cellStyle name="Percent 3 3 3 3 2" xfId="6953"/>
    <cellStyle name="Percent 3 3 3 3 3" xfId="6954"/>
    <cellStyle name="Percent 3 3 3 3 4" xfId="6955"/>
    <cellStyle name="Percent 3 3 3 3 5" xfId="6956"/>
    <cellStyle name="Percent 3 3 3 3 6" xfId="6957"/>
    <cellStyle name="Percent 3 3 3 4" xfId="6958"/>
    <cellStyle name="Percent 3 3 3 4 2" xfId="6959"/>
    <cellStyle name="Percent 3 3 3 4 3" xfId="6960"/>
    <cellStyle name="Percent 3 3 3 4 4" xfId="6961"/>
    <cellStyle name="Percent 3 3 3 4 5" xfId="6962"/>
    <cellStyle name="Percent 3 3 3 4 6" xfId="6963"/>
    <cellStyle name="Percent 3 3 3 5" xfId="6964"/>
    <cellStyle name="Percent 3 3 3 6" xfId="6965"/>
    <cellStyle name="Percent 3 3 3 7" xfId="6966"/>
    <cellStyle name="Percent 3 3 3 8" xfId="6967"/>
    <cellStyle name="Percent 3 3 3 9" xfId="6968"/>
    <cellStyle name="Percent 3 3 4" xfId="6969"/>
    <cellStyle name="Percent 3 3 4 2" xfId="6970"/>
    <cellStyle name="Percent 3 3 4 3" xfId="6971"/>
    <cellStyle name="Percent 3 3 4 4" xfId="6972"/>
    <cellStyle name="Percent 3 3 4 5" xfId="6973"/>
    <cellStyle name="Percent 3 3 4 6" xfId="6974"/>
    <cellStyle name="Percent 3 3 5" xfId="6975"/>
    <cellStyle name="Percent 3 3 5 2" xfId="6976"/>
    <cellStyle name="Percent 3 3 5 3" xfId="6977"/>
    <cellStyle name="Percent 3 3 5 4" xfId="6978"/>
    <cellStyle name="Percent 3 3 5 5" xfId="6979"/>
    <cellStyle name="Percent 3 3 5 6" xfId="6980"/>
    <cellStyle name="Percent 3 3 6" xfId="6981"/>
    <cellStyle name="Percent 3 3 6 2" xfId="6982"/>
    <cellStyle name="Percent 3 3 6 3" xfId="6983"/>
    <cellStyle name="Percent 3 3 6 4" xfId="6984"/>
    <cellStyle name="Percent 3 3 6 5" xfId="6985"/>
    <cellStyle name="Percent 3 3 6 6" xfId="6986"/>
    <cellStyle name="Percent 3 3 7" xfId="6987"/>
    <cellStyle name="Percent 3 3 8" xfId="6988"/>
    <cellStyle name="Percent 3 3 9" xfId="6989"/>
    <cellStyle name="Percent 3 4" xfId="6990"/>
    <cellStyle name="Percent 3 4 10" xfId="6991"/>
    <cellStyle name="Percent 3 4 11" xfId="6992"/>
    <cellStyle name="Percent 3 4 12" xfId="6993"/>
    <cellStyle name="Percent 3 4 2" xfId="6994"/>
    <cellStyle name="Percent 3 4 2 2" xfId="6995"/>
    <cellStyle name="Percent 3 4 2 3" xfId="6996"/>
    <cellStyle name="Percent 3 4 2 4" xfId="6997"/>
    <cellStyle name="Percent 3 4 2 5" xfId="6998"/>
    <cellStyle name="Percent 3 4 2 6" xfId="6999"/>
    <cellStyle name="Percent 3 4 3" xfId="7000"/>
    <cellStyle name="Percent 3 4 3 2" xfId="7001"/>
    <cellStyle name="Percent 3 4 3 3" xfId="7002"/>
    <cellStyle name="Percent 3 4 3 4" xfId="7003"/>
    <cellStyle name="Percent 3 4 3 5" xfId="7004"/>
    <cellStyle name="Percent 3 4 3 6" xfId="7005"/>
    <cellStyle name="Percent 3 4 4" xfId="7006"/>
    <cellStyle name="Percent 3 4 4 2" xfId="7007"/>
    <cellStyle name="Percent 3 4 4 3" xfId="7008"/>
    <cellStyle name="Percent 3 4 4 4" xfId="7009"/>
    <cellStyle name="Percent 3 4 4 5" xfId="7010"/>
    <cellStyle name="Percent 3 4 4 6" xfId="7011"/>
    <cellStyle name="Percent 3 4 5" xfId="7012"/>
    <cellStyle name="Percent 3 4 6" xfId="7013"/>
    <cellStyle name="Percent 3 4 7" xfId="7014"/>
    <cellStyle name="Percent 3 4 8" xfId="7015"/>
    <cellStyle name="Percent 3 4 9" xfId="7016"/>
    <cellStyle name="Percent 3 5" xfId="7017"/>
    <cellStyle name="Percent 3 5 10" xfId="7018"/>
    <cellStyle name="Percent 3 5 11" xfId="7019"/>
    <cellStyle name="Percent 3 5 12" xfId="7020"/>
    <cellStyle name="Percent 3 5 2" xfId="7021"/>
    <cellStyle name="Percent 3 5 2 2" xfId="7022"/>
    <cellStyle name="Percent 3 5 2 3" xfId="7023"/>
    <cellStyle name="Percent 3 5 2 4" xfId="7024"/>
    <cellStyle name="Percent 3 5 2 5" xfId="7025"/>
    <cellStyle name="Percent 3 5 2 6" xfId="7026"/>
    <cellStyle name="Percent 3 5 3" xfId="7027"/>
    <cellStyle name="Percent 3 5 3 2" xfId="7028"/>
    <cellStyle name="Percent 3 5 3 3" xfId="7029"/>
    <cellStyle name="Percent 3 5 3 4" xfId="7030"/>
    <cellStyle name="Percent 3 5 3 5" xfId="7031"/>
    <cellStyle name="Percent 3 5 3 6" xfId="7032"/>
    <cellStyle name="Percent 3 5 4" xfId="7033"/>
    <cellStyle name="Percent 3 5 4 2" xfId="7034"/>
    <cellStyle name="Percent 3 5 4 3" xfId="7035"/>
    <cellStyle name="Percent 3 5 4 4" xfId="7036"/>
    <cellStyle name="Percent 3 5 4 5" xfId="7037"/>
    <cellStyle name="Percent 3 5 4 6" xfId="7038"/>
    <cellStyle name="Percent 3 5 5" xfId="7039"/>
    <cellStyle name="Percent 3 5 6" xfId="7040"/>
    <cellStyle name="Percent 3 5 7" xfId="7041"/>
    <cellStyle name="Percent 3 5 8" xfId="7042"/>
    <cellStyle name="Percent 3 5 9" xfId="7043"/>
    <cellStyle name="Percent 3 6" xfId="7044"/>
    <cellStyle name="Percent 3 6 10" xfId="7045"/>
    <cellStyle name="Percent 3 6 11" xfId="7046"/>
    <cellStyle name="Percent 3 6 12" xfId="7047"/>
    <cellStyle name="Percent 3 6 2" xfId="7048"/>
    <cellStyle name="Percent 3 6 2 2" xfId="7049"/>
    <cellStyle name="Percent 3 6 2 3" xfId="7050"/>
    <cellStyle name="Percent 3 6 2 4" xfId="7051"/>
    <cellStyle name="Percent 3 6 2 5" xfId="7052"/>
    <cellStyle name="Percent 3 6 2 6" xfId="7053"/>
    <cellStyle name="Percent 3 6 3" xfId="7054"/>
    <cellStyle name="Percent 3 6 3 2" xfId="7055"/>
    <cellStyle name="Percent 3 6 3 3" xfId="7056"/>
    <cellStyle name="Percent 3 6 3 4" xfId="7057"/>
    <cellStyle name="Percent 3 6 3 5" xfId="7058"/>
    <cellStyle name="Percent 3 6 3 6" xfId="7059"/>
    <cellStyle name="Percent 3 6 4" xfId="7060"/>
    <cellStyle name="Percent 3 6 4 2" xfId="7061"/>
    <cellStyle name="Percent 3 6 4 3" xfId="7062"/>
    <cellStyle name="Percent 3 6 4 4" xfId="7063"/>
    <cellStyle name="Percent 3 6 4 5" xfId="7064"/>
    <cellStyle name="Percent 3 6 4 6" xfId="7065"/>
    <cellStyle name="Percent 3 6 5" xfId="7066"/>
    <cellStyle name="Percent 3 6 6" xfId="7067"/>
    <cellStyle name="Percent 3 6 7" xfId="7068"/>
    <cellStyle name="Percent 3 6 8" xfId="7069"/>
    <cellStyle name="Percent 3 6 9" xfId="7070"/>
    <cellStyle name="Percent 3 7" xfId="7071"/>
    <cellStyle name="Percent 3 7 10" xfId="7072"/>
    <cellStyle name="Percent 3 7 11" xfId="7073"/>
    <cellStyle name="Percent 3 7 12" xfId="7074"/>
    <cellStyle name="Percent 3 7 2" xfId="7075"/>
    <cellStyle name="Percent 3 7 2 2" xfId="7076"/>
    <cellStyle name="Percent 3 7 2 3" xfId="7077"/>
    <cellStyle name="Percent 3 7 2 4" xfId="7078"/>
    <cellStyle name="Percent 3 7 2 5" xfId="7079"/>
    <cellStyle name="Percent 3 7 2 6" xfId="7080"/>
    <cellStyle name="Percent 3 7 3" xfId="7081"/>
    <cellStyle name="Percent 3 7 3 2" xfId="7082"/>
    <cellStyle name="Percent 3 7 3 3" xfId="7083"/>
    <cellStyle name="Percent 3 7 3 4" xfId="7084"/>
    <cellStyle name="Percent 3 7 3 5" xfId="7085"/>
    <cellStyle name="Percent 3 7 3 6" xfId="7086"/>
    <cellStyle name="Percent 3 7 4" xfId="7087"/>
    <cellStyle name="Percent 3 7 4 2" xfId="7088"/>
    <cellStyle name="Percent 3 7 4 3" xfId="7089"/>
    <cellStyle name="Percent 3 7 4 4" xfId="7090"/>
    <cellStyle name="Percent 3 7 4 5" xfId="7091"/>
    <cellStyle name="Percent 3 7 4 6" xfId="7092"/>
    <cellStyle name="Percent 3 7 5" xfId="7093"/>
    <cellStyle name="Percent 3 7 6" xfId="7094"/>
    <cellStyle name="Percent 3 7 7" xfId="7095"/>
    <cellStyle name="Percent 3 7 8" xfId="7096"/>
    <cellStyle name="Percent 3 7 9" xfId="7097"/>
    <cellStyle name="Percent 3 8" xfId="7098"/>
    <cellStyle name="Percent 3 8 10" xfId="7099"/>
    <cellStyle name="Percent 3 8 11" xfId="7100"/>
    <cellStyle name="Percent 3 8 12" xfId="7101"/>
    <cellStyle name="Percent 3 8 2" xfId="7102"/>
    <cellStyle name="Percent 3 8 2 2" xfId="7103"/>
    <cellStyle name="Percent 3 8 2 3" xfId="7104"/>
    <cellStyle name="Percent 3 8 2 4" xfId="7105"/>
    <cellStyle name="Percent 3 8 2 5" xfId="7106"/>
    <cellStyle name="Percent 3 8 2 6" xfId="7107"/>
    <cellStyle name="Percent 3 8 3" xfId="7108"/>
    <cellStyle name="Percent 3 8 3 2" xfId="7109"/>
    <cellStyle name="Percent 3 8 3 3" xfId="7110"/>
    <cellStyle name="Percent 3 8 3 4" xfId="7111"/>
    <cellStyle name="Percent 3 8 3 5" xfId="7112"/>
    <cellStyle name="Percent 3 8 3 6" xfId="7113"/>
    <cellStyle name="Percent 3 8 4" xfId="7114"/>
    <cellStyle name="Percent 3 8 4 2" xfId="7115"/>
    <cellStyle name="Percent 3 8 4 3" xfId="7116"/>
    <cellStyle name="Percent 3 8 4 4" xfId="7117"/>
    <cellStyle name="Percent 3 8 4 5" xfId="7118"/>
    <cellStyle name="Percent 3 8 4 6" xfId="7119"/>
    <cellStyle name="Percent 3 8 5" xfId="7120"/>
    <cellStyle name="Percent 3 8 6" xfId="7121"/>
    <cellStyle name="Percent 3 8 7" xfId="7122"/>
    <cellStyle name="Percent 3 8 8" xfId="7123"/>
    <cellStyle name="Percent 3 8 9" xfId="7124"/>
    <cellStyle name="Percent 3 9" xfId="7125"/>
    <cellStyle name="Percent 3 9 10" xfId="7126"/>
    <cellStyle name="Percent 3 9 11" xfId="7127"/>
    <cellStyle name="Percent 3 9 12" xfId="7128"/>
    <cellStyle name="Percent 3 9 2" xfId="7129"/>
    <cellStyle name="Percent 3 9 2 2" xfId="7130"/>
    <cellStyle name="Percent 3 9 2 3" xfId="7131"/>
    <cellStyle name="Percent 3 9 2 4" xfId="7132"/>
    <cellStyle name="Percent 3 9 2 5" xfId="7133"/>
    <cellStyle name="Percent 3 9 2 6" xfId="7134"/>
    <cellStyle name="Percent 3 9 3" xfId="7135"/>
    <cellStyle name="Percent 3 9 3 2" xfId="7136"/>
    <cellStyle name="Percent 3 9 3 3" xfId="7137"/>
    <cellStyle name="Percent 3 9 3 4" xfId="7138"/>
    <cellStyle name="Percent 3 9 3 5" xfId="7139"/>
    <cellStyle name="Percent 3 9 3 6" xfId="7140"/>
    <cellStyle name="Percent 3 9 4" xfId="7141"/>
    <cellStyle name="Percent 3 9 4 2" xfId="7142"/>
    <cellStyle name="Percent 3 9 4 3" xfId="7143"/>
    <cellStyle name="Percent 3 9 4 4" xfId="7144"/>
    <cellStyle name="Percent 3 9 4 5" xfId="7145"/>
    <cellStyle name="Percent 3 9 4 6" xfId="7146"/>
    <cellStyle name="Percent 3 9 5" xfId="7147"/>
    <cellStyle name="Percent 3 9 6" xfId="7148"/>
    <cellStyle name="Percent 3 9 7" xfId="7149"/>
    <cellStyle name="Percent 3 9 8" xfId="7150"/>
    <cellStyle name="Percent 3 9 9" xfId="7151"/>
    <cellStyle name="Percent 4" xfId="7152"/>
    <cellStyle name="Percent 4 2" xfId="7153"/>
    <cellStyle name="Percent 4 2 2" xfId="7154"/>
    <cellStyle name="Percent 4 2 3" xfId="7155"/>
    <cellStyle name="Percent 4 2 4" xfId="7156"/>
    <cellStyle name="Percent 4 2 5" xfId="7157"/>
    <cellStyle name="Percent 4 2 6" xfId="7158"/>
    <cellStyle name="Percent 4 3" xfId="7159"/>
    <cellStyle name="Percent 4 3 2" xfId="7160"/>
    <cellStyle name="Percent 4 3 3" xfId="7161"/>
    <cellStyle name="Percent 4 3 4" xfId="7162"/>
    <cellStyle name="Percent 4 3 5" xfId="7163"/>
    <cellStyle name="Percent 4 3 6" xfId="7164"/>
    <cellStyle name="Percent 4 4" xfId="7165"/>
    <cellStyle name="Percent 4 5" xfId="7166"/>
    <cellStyle name="Percent 4 6" xfId="7167"/>
    <cellStyle name="Percent 4 7" xfId="7168"/>
    <cellStyle name="Percent 4 8" xfId="7169"/>
    <cellStyle name="Percent 5" xfId="7170"/>
    <cellStyle name="Percent 5 2" xfId="7171"/>
    <cellStyle name="Percent 5 2 2" xfId="7172"/>
    <cellStyle name="Percent 5 2 3" xfId="7173"/>
    <cellStyle name="Percent 5 2 4" xfId="7174"/>
    <cellStyle name="Percent 5 2 5" xfId="7175"/>
    <cellStyle name="Percent 5 2 6" xfId="7176"/>
    <cellStyle name="Percent 5 3" xfId="7177"/>
    <cellStyle name="Percent 5 3 2" xfId="7178"/>
    <cellStyle name="Percent 5 3 3" xfId="7179"/>
    <cellStyle name="Percent 5 3 4" xfId="7180"/>
    <cellStyle name="Percent 5 3 5" xfId="7181"/>
    <cellStyle name="Percent 5 3 6" xfId="7182"/>
    <cellStyle name="Percent 5 4" xfId="7183"/>
    <cellStyle name="Percent 5 5" xfId="7184"/>
    <cellStyle name="Percent 5 6" xfId="7185"/>
    <cellStyle name="Percent 5 7" xfId="7186"/>
    <cellStyle name="Percent 5 8" xfId="7187"/>
    <cellStyle name="Percent 6" xfId="7188"/>
    <cellStyle name="Percent 6 10" xfId="7189"/>
    <cellStyle name="Percent 6 11" xfId="7190"/>
    <cellStyle name="Percent 6 12" xfId="7191"/>
    <cellStyle name="Percent 6 2" xfId="7192"/>
    <cellStyle name="Percent 6 2 2" xfId="7193"/>
    <cellStyle name="Percent 6 2 3" xfId="7194"/>
    <cellStyle name="Percent 6 2 4" xfId="7195"/>
    <cellStyle name="Percent 6 2 5" xfId="7196"/>
    <cellStyle name="Percent 6 2 6" xfId="7197"/>
    <cellStyle name="Percent 6 3" xfId="7198"/>
    <cellStyle name="Percent 6 3 2" xfId="7199"/>
    <cellStyle name="Percent 6 3 3" xfId="7200"/>
    <cellStyle name="Percent 6 3 4" xfId="7201"/>
    <cellStyle name="Percent 6 3 5" xfId="7202"/>
    <cellStyle name="Percent 6 3 6" xfId="7203"/>
    <cellStyle name="Percent 6 4" xfId="7204"/>
    <cellStyle name="Percent 6 4 2" xfId="7205"/>
    <cellStyle name="Percent 6 4 3" xfId="7206"/>
    <cellStyle name="Percent 6 4 4" xfId="7207"/>
    <cellStyle name="Percent 6 4 5" xfId="7208"/>
    <cellStyle name="Percent 6 4 6" xfId="7209"/>
    <cellStyle name="Percent 6 5" xfId="7210"/>
    <cellStyle name="Percent 6 6" xfId="7211"/>
    <cellStyle name="Percent 6 7" xfId="7212"/>
    <cellStyle name="Percent 6 8" xfId="7213"/>
    <cellStyle name="Percent 6 9" xfId="7214"/>
    <cellStyle name="Percent 7" xfId="7215"/>
    <cellStyle name="Percent 7 2" xfId="7216"/>
    <cellStyle name="Percent 7 2 2" xfId="7217"/>
    <cellStyle name="Percent 7 2 2 2" xfId="7218"/>
    <cellStyle name="Percent 7 2 2 2 2" xfId="7219"/>
    <cellStyle name="Percent 7 2 2 2 3" xfId="7220"/>
    <cellStyle name="Percent 7 2 2 2 4" xfId="7221"/>
    <cellStyle name="Percent 7 2 2 2 5" xfId="7222"/>
    <cellStyle name="Percent 7 2 2 2 6" xfId="7223"/>
    <cellStyle name="Percent 7 2 2 3" xfId="7224"/>
    <cellStyle name="Percent 7 2 2 4" xfId="7225"/>
    <cellStyle name="Percent 7 2 2 5" xfId="7226"/>
    <cellStyle name="Percent 7 2 2 6" xfId="7227"/>
    <cellStyle name="Percent 7 2 2 7" xfId="7228"/>
    <cellStyle name="Percent 7 2 3" xfId="7229"/>
    <cellStyle name="Percent 7 2 4" xfId="7230"/>
    <cellStyle name="Percent 7 2 5" xfId="7231"/>
    <cellStyle name="Percent 7 2 6" xfId="7232"/>
    <cellStyle name="Percent 7 2 7" xfId="7233"/>
    <cellStyle name="Percent 7 3" xfId="7234"/>
    <cellStyle name="Percent 7 4" xfId="7235"/>
    <cellStyle name="Percent 7 5" xfId="7236"/>
    <cellStyle name="Percent 7 6" xfId="7237"/>
    <cellStyle name="Percent 7 7" xfId="7238"/>
    <cellStyle name="Percent 8" xfId="7239"/>
    <cellStyle name="Percent 8 2" xfId="7240"/>
    <cellStyle name="Percent 8 2 2" xfId="7241"/>
    <cellStyle name="Percent 8 2 3" xfId="7242"/>
    <cellStyle name="Percent 8 2 4" xfId="7243"/>
    <cellStyle name="Percent 8 2 5" xfId="7244"/>
    <cellStyle name="Percent 8 2 6" xfId="7245"/>
    <cellStyle name="Percent 8 3" xfId="7246"/>
    <cellStyle name="Percent 8 4" xfId="7247"/>
    <cellStyle name="Percent 8 5" xfId="7248"/>
    <cellStyle name="Percent 8 6" xfId="7249"/>
    <cellStyle name="Percent 8 7" xfId="7250"/>
    <cellStyle name="Percent 9" xfId="7251"/>
    <cellStyle name="Percent 9 10" xfId="7252"/>
    <cellStyle name="Percent 9 11" xfId="7253"/>
    <cellStyle name="Percent 9 12" xfId="7254"/>
    <cellStyle name="Percent 9 2" xfId="7255"/>
    <cellStyle name="Percent 9 2 2" xfId="7256"/>
    <cellStyle name="Percent 9 2 3" xfId="7257"/>
    <cellStyle name="Percent 9 2 4" xfId="7258"/>
    <cellStyle name="Percent 9 2 5" xfId="7259"/>
    <cellStyle name="Percent 9 2 6" xfId="7260"/>
    <cellStyle name="Percent 9 3" xfId="7261"/>
    <cellStyle name="Percent 9 3 2" xfId="7262"/>
    <cellStyle name="Percent 9 3 3" xfId="7263"/>
    <cellStyle name="Percent 9 3 4" xfId="7264"/>
    <cellStyle name="Percent 9 3 5" xfId="7265"/>
    <cellStyle name="Percent 9 3 6" xfId="7266"/>
    <cellStyle name="Percent 9 4" xfId="7267"/>
    <cellStyle name="Percent 9 4 2" xfId="7268"/>
    <cellStyle name="Percent 9 4 3" xfId="7269"/>
    <cellStyle name="Percent 9 4 4" xfId="7270"/>
    <cellStyle name="Percent 9 4 5" xfId="7271"/>
    <cellStyle name="Percent 9 4 6" xfId="7272"/>
    <cellStyle name="Percent 9 5" xfId="7273"/>
    <cellStyle name="Percent 9 6" xfId="7274"/>
    <cellStyle name="Percent 9 7" xfId="7275"/>
    <cellStyle name="Percent 9 8" xfId="7276"/>
    <cellStyle name="Percent 9 9" xfId="7277"/>
    <cellStyle name="PrePop Currency (0)" xfId="7278"/>
    <cellStyle name="PrePop Currency (0) 2" xfId="7279"/>
    <cellStyle name="PrePop Currency (0) 2 2" xfId="7280"/>
    <cellStyle name="PrePop Currency (0) 2 3" xfId="7281"/>
    <cellStyle name="PrePop Currency (0) 2 4" xfId="7282"/>
    <cellStyle name="PrePop Currency (0) 2 5" xfId="7283"/>
    <cellStyle name="PrePop Currency (0) 2 6" xfId="7284"/>
    <cellStyle name="PrePop Currency (0) 3" xfId="7285"/>
    <cellStyle name="PrePop Currency (0) 4" xfId="7286"/>
    <cellStyle name="PrePop Currency (0) 5" xfId="7287"/>
    <cellStyle name="PrePop Currency (0) 6" xfId="7288"/>
    <cellStyle name="PrePop Currency (0) 7" xfId="7289"/>
    <cellStyle name="PrePop Currency (2)" xfId="7290"/>
    <cellStyle name="PrePop Currency (2) 2" xfId="7291"/>
    <cellStyle name="PrePop Currency (2) 2 2" xfId="7292"/>
    <cellStyle name="PrePop Currency (2) 2 3" xfId="7293"/>
    <cellStyle name="PrePop Currency (2) 2 4" xfId="7294"/>
    <cellStyle name="PrePop Currency (2) 2 5" xfId="7295"/>
    <cellStyle name="PrePop Currency (2) 2 6" xfId="7296"/>
    <cellStyle name="PrePop Currency (2) 3" xfId="7297"/>
    <cellStyle name="PrePop Currency (2) 4" xfId="7298"/>
    <cellStyle name="PrePop Currency (2) 5" xfId="7299"/>
    <cellStyle name="PrePop Currency (2) 6" xfId="7300"/>
    <cellStyle name="PrePop Currency (2) 7" xfId="7301"/>
    <cellStyle name="PrePop Units (0)" xfId="7302"/>
    <cellStyle name="PrePop Units (0) 2" xfId="7303"/>
    <cellStyle name="PrePop Units (0) 2 2" xfId="7304"/>
    <cellStyle name="PrePop Units (0) 2 3" xfId="7305"/>
    <cellStyle name="PrePop Units (0) 2 4" xfId="7306"/>
    <cellStyle name="PrePop Units (0) 2 5" xfId="7307"/>
    <cellStyle name="PrePop Units (0) 2 6" xfId="7308"/>
    <cellStyle name="PrePop Units (0) 3" xfId="7309"/>
    <cellStyle name="PrePop Units (0) 4" xfId="7310"/>
    <cellStyle name="PrePop Units (0) 5" xfId="7311"/>
    <cellStyle name="PrePop Units (0) 6" xfId="7312"/>
    <cellStyle name="PrePop Units (0) 7" xfId="7313"/>
    <cellStyle name="PrePop Units (1)" xfId="7314"/>
    <cellStyle name="PrePop Units (1) 2" xfId="7315"/>
    <cellStyle name="PrePop Units (1) 2 2" xfId="7316"/>
    <cellStyle name="PrePop Units (1) 2 3" xfId="7317"/>
    <cellStyle name="PrePop Units (1) 2 4" xfId="7318"/>
    <cellStyle name="PrePop Units (1) 2 5" xfId="7319"/>
    <cellStyle name="PrePop Units (1) 2 6" xfId="7320"/>
    <cellStyle name="PrePop Units (1) 3" xfId="7321"/>
    <cellStyle name="PrePop Units (1) 4" xfId="7322"/>
    <cellStyle name="PrePop Units (1) 5" xfId="7323"/>
    <cellStyle name="PrePop Units (1) 6" xfId="7324"/>
    <cellStyle name="PrePop Units (1) 7" xfId="7325"/>
    <cellStyle name="PrePop Units (2)" xfId="7326"/>
    <cellStyle name="PrePop Units (2) 2" xfId="7327"/>
    <cellStyle name="PrePop Units (2) 2 2" xfId="7328"/>
    <cellStyle name="PrePop Units (2) 2 3" xfId="7329"/>
    <cellStyle name="PrePop Units (2) 2 4" xfId="7330"/>
    <cellStyle name="PrePop Units (2) 2 5" xfId="7331"/>
    <cellStyle name="PrePop Units (2) 2 6" xfId="7332"/>
    <cellStyle name="PrePop Units (2) 3" xfId="7333"/>
    <cellStyle name="PrePop Units (2) 4" xfId="7334"/>
    <cellStyle name="PrePop Units (2) 5" xfId="7335"/>
    <cellStyle name="PrePop Units (2) 6" xfId="7336"/>
    <cellStyle name="PrePop Units (2) 7" xfId="7337"/>
    <cellStyle name="sbt2" xfId="7338"/>
    <cellStyle name="sbt2 2" xfId="7339"/>
    <cellStyle name="sbt2 3" xfId="7340"/>
    <cellStyle name="sbt2 4" xfId="7341"/>
    <cellStyle name="sbt2 5" xfId="7342"/>
    <cellStyle name="sbt2 6" xfId="7343"/>
    <cellStyle name="Standard_Anpassen der Amortisation" xfId="7344"/>
    <cellStyle name="Style 1" xfId="7345"/>
    <cellStyle name="Style 1 10" xfId="7346"/>
    <cellStyle name="Style 1 11" xfId="7347"/>
    <cellStyle name="Style 1 2" xfId="7348"/>
    <cellStyle name="Style 1 2 2" xfId="7349"/>
    <cellStyle name="Style 1 2 2 2" xfId="7350"/>
    <cellStyle name="Style 1 2 2 3" xfId="7351"/>
    <cellStyle name="Style 1 2 2 4" xfId="7352"/>
    <cellStyle name="Style 1 2 2 5" xfId="7353"/>
    <cellStyle name="Style 1 2 2 6" xfId="7354"/>
    <cellStyle name="Style 1 2 3" xfId="7355"/>
    <cellStyle name="Style 1 2 4" xfId="7356"/>
    <cellStyle name="Style 1 2 5" xfId="7357"/>
    <cellStyle name="Style 1 2 6" xfId="7358"/>
    <cellStyle name="Style 1 2 7" xfId="7359"/>
    <cellStyle name="Style 1 3" xfId="7360"/>
    <cellStyle name="Style 1 3 2" xfId="7361"/>
    <cellStyle name="Style 1 3 3" xfId="7362"/>
    <cellStyle name="Style 1 3 4" xfId="7363"/>
    <cellStyle name="Style 1 3 5" xfId="7364"/>
    <cellStyle name="Style 1 3 6" xfId="7365"/>
    <cellStyle name="Style 1 4" xfId="7366"/>
    <cellStyle name="Style 1 4 2" xfId="7367"/>
    <cellStyle name="Style 1 4 3" xfId="7368"/>
    <cellStyle name="Style 1 4 4" xfId="7369"/>
    <cellStyle name="Style 1 4 5" xfId="7370"/>
    <cellStyle name="Style 1 4 6" xfId="7371"/>
    <cellStyle name="Style 1 5" xfId="7372"/>
    <cellStyle name="Style 1 5 2" xfId="7373"/>
    <cellStyle name="Style 1 5 3" xfId="7374"/>
    <cellStyle name="Style 1 5 4" xfId="7375"/>
    <cellStyle name="Style 1 5 5" xfId="7376"/>
    <cellStyle name="Style 1 5 6" xfId="7377"/>
    <cellStyle name="Style 1 6" xfId="7378"/>
    <cellStyle name="Style 1 6 2" xfId="7379"/>
    <cellStyle name="Style 1 6 3" xfId="7380"/>
    <cellStyle name="Style 1 6 4" xfId="7381"/>
    <cellStyle name="Style 1 6 5" xfId="7382"/>
    <cellStyle name="Style 1 6 6" xfId="7383"/>
    <cellStyle name="Style 1 7" xfId="7384"/>
    <cellStyle name="Style 1 8" xfId="7385"/>
    <cellStyle name="Style 1 9" xfId="7386"/>
    <cellStyle name="Style 2" xfId="7387"/>
    <cellStyle name="Style 2 2" xfId="7388"/>
    <cellStyle name="Style 2 3" xfId="7389"/>
    <cellStyle name="Style 2 4" xfId="7390"/>
    <cellStyle name="Style 2 5" xfId="7391"/>
    <cellStyle name="Style 2 6" xfId="7392"/>
    <cellStyle name="subt1" xfId="7393"/>
    <cellStyle name="subt1 2" xfId="7394"/>
    <cellStyle name="subt1 3" xfId="7395"/>
    <cellStyle name="subt1 4" xfId="7396"/>
    <cellStyle name="subt1 5" xfId="7397"/>
    <cellStyle name="subt1 6" xfId="7398"/>
    <cellStyle name="Text Indent A" xfId="7399"/>
    <cellStyle name="Text Indent A 2" xfId="7400"/>
    <cellStyle name="Text Indent A 3" xfId="7401"/>
    <cellStyle name="Text Indent A 4" xfId="7402"/>
    <cellStyle name="Text Indent A 5" xfId="7403"/>
    <cellStyle name="Text Indent A 6" xfId="7404"/>
    <cellStyle name="Text Indent B" xfId="7405"/>
    <cellStyle name="Text Indent B 2" xfId="7406"/>
    <cellStyle name="Text Indent B 2 2" xfId="7407"/>
    <cellStyle name="Text Indent B 2 3" xfId="7408"/>
    <cellStyle name="Text Indent B 2 4" xfId="7409"/>
    <cellStyle name="Text Indent B 2 5" xfId="7410"/>
    <cellStyle name="Text Indent B 2 6" xfId="7411"/>
    <cellStyle name="Text Indent B 3" xfId="7412"/>
    <cellStyle name="Text Indent B 4" xfId="7413"/>
    <cellStyle name="Text Indent B 5" xfId="7414"/>
    <cellStyle name="Text Indent B 6" xfId="7415"/>
    <cellStyle name="Text Indent B 7" xfId="7416"/>
    <cellStyle name="Text Indent C" xfId="7417"/>
    <cellStyle name="Text Indent C 2" xfId="7418"/>
    <cellStyle name="Text Indent C 2 2" xfId="7419"/>
    <cellStyle name="Text Indent C 2 3" xfId="7420"/>
    <cellStyle name="Text Indent C 2 4" xfId="7421"/>
    <cellStyle name="Text Indent C 2 5" xfId="7422"/>
    <cellStyle name="Text Indent C 2 6" xfId="7423"/>
    <cellStyle name="Text Indent C 3" xfId="7424"/>
    <cellStyle name="Text Indent C 4" xfId="7425"/>
    <cellStyle name="Text Indent C 5" xfId="7426"/>
    <cellStyle name="Text Indent C 6" xfId="7427"/>
    <cellStyle name="Text Indent C 7" xfId="7428"/>
    <cellStyle name="Title 10" xfId="7429"/>
    <cellStyle name="Title 10 2" xfId="7430"/>
    <cellStyle name="Title 10 3" xfId="7431"/>
    <cellStyle name="Title 10 4" xfId="7432"/>
    <cellStyle name="Title 10 5" xfId="7433"/>
    <cellStyle name="Title 10 6" xfId="7434"/>
    <cellStyle name="Title 11" xfId="7435"/>
    <cellStyle name="Title 11 2" xfId="7436"/>
    <cellStyle name="Title 11 3" xfId="7437"/>
    <cellStyle name="Title 11 4" xfId="7438"/>
    <cellStyle name="Title 11 5" xfId="7439"/>
    <cellStyle name="Title 11 6" xfId="7440"/>
    <cellStyle name="Title 12" xfId="7441"/>
    <cellStyle name="Title 12 2" xfId="7442"/>
    <cellStyle name="Title 12 3" xfId="7443"/>
    <cellStyle name="Title 12 4" xfId="7444"/>
    <cellStyle name="Title 12 5" xfId="7445"/>
    <cellStyle name="Title 12 6" xfId="7446"/>
    <cellStyle name="Title 13" xfId="7447"/>
    <cellStyle name="Title 13 2" xfId="7448"/>
    <cellStyle name="Title 13 3" xfId="7449"/>
    <cellStyle name="Title 13 4" xfId="7450"/>
    <cellStyle name="Title 13 5" xfId="7451"/>
    <cellStyle name="Title 13 6" xfId="7452"/>
    <cellStyle name="Title 14" xfId="7453"/>
    <cellStyle name="Title 14 2" xfId="7454"/>
    <cellStyle name="Title 14 3" xfId="7455"/>
    <cellStyle name="Title 14 4" xfId="7456"/>
    <cellStyle name="Title 14 5" xfId="7457"/>
    <cellStyle name="Title 14 6" xfId="7458"/>
    <cellStyle name="Title 15" xfId="7459"/>
    <cellStyle name="Title 15 2" xfId="7460"/>
    <cellStyle name="Title 15 3" xfId="7461"/>
    <cellStyle name="Title 15 4" xfId="7462"/>
    <cellStyle name="Title 15 5" xfId="7463"/>
    <cellStyle name="Title 15 6" xfId="7464"/>
    <cellStyle name="Title 16" xfId="7465"/>
    <cellStyle name="Title 16 2" xfId="7466"/>
    <cellStyle name="Title 16 3" xfId="7467"/>
    <cellStyle name="Title 16 4" xfId="7468"/>
    <cellStyle name="Title 16 5" xfId="7469"/>
    <cellStyle name="Title 16 6" xfId="7470"/>
    <cellStyle name="Title 17" xfId="7471"/>
    <cellStyle name="Title 17 2" xfId="7472"/>
    <cellStyle name="Title 17 3" xfId="7473"/>
    <cellStyle name="Title 17 4" xfId="7474"/>
    <cellStyle name="Title 17 5" xfId="7475"/>
    <cellStyle name="Title 17 6" xfId="7476"/>
    <cellStyle name="Title 18" xfId="7477"/>
    <cellStyle name="Title 18 2" xfId="7478"/>
    <cellStyle name="Title 18 3" xfId="7479"/>
    <cellStyle name="Title 18 4" xfId="7480"/>
    <cellStyle name="Title 18 5" xfId="7481"/>
    <cellStyle name="Title 18 6" xfId="7482"/>
    <cellStyle name="Title 19" xfId="7483"/>
    <cellStyle name="Title 19 2" xfId="7484"/>
    <cellStyle name="Title 19 3" xfId="7485"/>
    <cellStyle name="Title 19 4" xfId="7486"/>
    <cellStyle name="Title 19 5" xfId="7487"/>
    <cellStyle name="Title 19 6" xfId="7488"/>
    <cellStyle name="Title 2" xfId="7489"/>
    <cellStyle name="Title 2 10" xfId="7490"/>
    <cellStyle name="Title 2 10 2" xfId="7491"/>
    <cellStyle name="Title 2 10 3" xfId="7492"/>
    <cellStyle name="Title 2 10 4" xfId="7493"/>
    <cellStyle name="Title 2 10 5" xfId="7494"/>
    <cellStyle name="Title 2 10 6" xfId="7495"/>
    <cellStyle name="Title 2 11" xfId="7496"/>
    <cellStyle name="Title 2 11 2" xfId="7497"/>
    <cellStyle name="Title 2 11 3" xfId="7498"/>
    <cellStyle name="Title 2 11 4" xfId="7499"/>
    <cellStyle name="Title 2 11 5" xfId="7500"/>
    <cellStyle name="Title 2 11 6" xfId="7501"/>
    <cellStyle name="Title 2 12" xfId="7502"/>
    <cellStyle name="Title 2 13" xfId="7503"/>
    <cellStyle name="Title 2 14" xfId="7504"/>
    <cellStyle name="Title 2 15" xfId="7505"/>
    <cellStyle name="Title 2 16" xfId="7506"/>
    <cellStyle name="Title 2 2" xfId="7507"/>
    <cellStyle name="Title 2 2 2" xfId="7508"/>
    <cellStyle name="Title 2 2 3" xfId="7509"/>
    <cellStyle name="Title 2 2 4" xfId="7510"/>
    <cellStyle name="Title 2 2 5" xfId="7511"/>
    <cellStyle name="Title 2 2 6" xfId="7512"/>
    <cellStyle name="Title 2 3" xfId="7513"/>
    <cellStyle name="Title 2 3 2" xfId="7514"/>
    <cellStyle name="Title 2 3 3" xfId="7515"/>
    <cellStyle name="Title 2 3 4" xfId="7516"/>
    <cellStyle name="Title 2 3 5" xfId="7517"/>
    <cellStyle name="Title 2 3 6" xfId="7518"/>
    <cellStyle name="Title 2 4" xfId="7519"/>
    <cellStyle name="Title 2 4 2" xfId="7520"/>
    <cellStyle name="Title 2 4 3" xfId="7521"/>
    <cellStyle name="Title 2 4 4" xfId="7522"/>
    <cellStyle name="Title 2 4 5" xfId="7523"/>
    <cellStyle name="Title 2 4 6" xfId="7524"/>
    <cellStyle name="Title 2 5" xfId="7525"/>
    <cellStyle name="Title 2 5 2" xfId="7526"/>
    <cellStyle name="Title 2 5 3" xfId="7527"/>
    <cellStyle name="Title 2 5 4" xfId="7528"/>
    <cellStyle name="Title 2 5 5" xfId="7529"/>
    <cellStyle name="Title 2 5 6" xfId="7530"/>
    <cellStyle name="Title 2 6" xfId="7531"/>
    <cellStyle name="Title 2 6 2" xfId="7532"/>
    <cellStyle name="Title 2 6 3" xfId="7533"/>
    <cellStyle name="Title 2 6 4" xfId="7534"/>
    <cellStyle name="Title 2 6 5" xfId="7535"/>
    <cellStyle name="Title 2 6 6" xfId="7536"/>
    <cellStyle name="Title 2 7" xfId="7537"/>
    <cellStyle name="Title 2 7 2" xfId="7538"/>
    <cellStyle name="Title 2 7 3" xfId="7539"/>
    <cellStyle name="Title 2 7 4" xfId="7540"/>
    <cellStyle name="Title 2 7 5" xfId="7541"/>
    <cellStyle name="Title 2 7 6" xfId="7542"/>
    <cellStyle name="Title 2 8" xfId="7543"/>
    <cellStyle name="Title 2 8 2" xfId="7544"/>
    <cellStyle name="Title 2 8 3" xfId="7545"/>
    <cellStyle name="Title 2 8 4" xfId="7546"/>
    <cellStyle name="Title 2 8 5" xfId="7547"/>
    <cellStyle name="Title 2 8 6" xfId="7548"/>
    <cellStyle name="Title 2 9" xfId="7549"/>
    <cellStyle name="Title 2 9 2" xfId="7550"/>
    <cellStyle name="Title 2 9 3" xfId="7551"/>
    <cellStyle name="Title 2 9 4" xfId="7552"/>
    <cellStyle name="Title 2 9 5" xfId="7553"/>
    <cellStyle name="Title 2 9 6" xfId="7554"/>
    <cellStyle name="Title 2_MPP new" xfId="7555"/>
    <cellStyle name="Title 20" xfId="7556"/>
    <cellStyle name="Title 20 2" xfId="7557"/>
    <cellStyle name="Title 20 3" xfId="7558"/>
    <cellStyle name="Title 20 4" xfId="7559"/>
    <cellStyle name="Title 20 5" xfId="7560"/>
    <cellStyle name="Title 20 6" xfId="7561"/>
    <cellStyle name="Title 21" xfId="7562"/>
    <cellStyle name="Title 21 2" xfId="7563"/>
    <cellStyle name="Title 21 3" xfId="7564"/>
    <cellStyle name="Title 21 4" xfId="7565"/>
    <cellStyle name="Title 21 5" xfId="7566"/>
    <cellStyle name="Title 21 6" xfId="7567"/>
    <cellStyle name="Title 3" xfId="7568"/>
    <cellStyle name="Title 3 2" xfId="7569"/>
    <cellStyle name="Title 3 3" xfId="7570"/>
    <cellStyle name="Title 3 4" xfId="7571"/>
    <cellStyle name="Title 3 5" xfId="7572"/>
    <cellStyle name="Title 3 6" xfId="7573"/>
    <cellStyle name="Title 4" xfId="7574"/>
    <cellStyle name="Title 4 2" xfId="7575"/>
    <cellStyle name="Title 4 3" xfId="7576"/>
    <cellStyle name="Title 4 4" xfId="7577"/>
    <cellStyle name="Title 4 5" xfId="7578"/>
    <cellStyle name="Title 4 6" xfId="7579"/>
    <cellStyle name="Title 5" xfId="7580"/>
    <cellStyle name="Title 5 2" xfId="7581"/>
    <cellStyle name="Title 5 3" xfId="7582"/>
    <cellStyle name="Title 5 4" xfId="7583"/>
    <cellStyle name="Title 5 5" xfId="7584"/>
    <cellStyle name="Title 5 6" xfId="7585"/>
    <cellStyle name="Title 6" xfId="7586"/>
    <cellStyle name="Title 6 2" xfId="7587"/>
    <cellStyle name="Title 6 3" xfId="7588"/>
    <cellStyle name="Title 6 4" xfId="7589"/>
    <cellStyle name="Title 6 5" xfId="7590"/>
    <cellStyle name="Title 6 6" xfId="7591"/>
    <cellStyle name="Title 7" xfId="7592"/>
    <cellStyle name="Title 7 2" xfId="7593"/>
    <cellStyle name="Title 7 3" xfId="7594"/>
    <cellStyle name="Title 7 4" xfId="7595"/>
    <cellStyle name="Title 7 5" xfId="7596"/>
    <cellStyle name="Title 7 6" xfId="7597"/>
    <cellStyle name="Title 8" xfId="7598"/>
    <cellStyle name="Title 8 2" xfId="7599"/>
    <cellStyle name="Title 8 3" xfId="7600"/>
    <cellStyle name="Title 8 4" xfId="7601"/>
    <cellStyle name="Title 8 5" xfId="7602"/>
    <cellStyle name="Title 8 6" xfId="7603"/>
    <cellStyle name="Title 9" xfId="7604"/>
    <cellStyle name="Title 9 2" xfId="7605"/>
    <cellStyle name="Title 9 3" xfId="7606"/>
    <cellStyle name="Title 9 4" xfId="7607"/>
    <cellStyle name="Title 9 5" xfId="7608"/>
    <cellStyle name="Title 9 6" xfId="7609"/>
    <cellStyle name="Total 10" xfId="7610"/>
    <cellStyle name="Total 10 2" xfId="7611"/>
    <cellStyle name="Total 10 3" xfId="7612"/>
    <cellStyle name="Total 10 4" xfId="7613"/>
    <cellStyle name="Total 10 5" xfId="7614"/>
    <cellStyle name="Total 10 6" xfId="7615"/>
    <cellStyle name="Total 11" xfId="7616"/>
    <cellStyle name="Total 11 2" xfId="7617"/>
    <cellStyle name="Total 11 3" xfId="7618"/>
    <cellStyle name="Total 11 4" xfId="7619"/>
    <cellStyle name="Total 11 5" xfId="7620"/>
    <cellStyle name="Total 11 6" xfId="7621"/>
    <cellStyle name="Total 12" xfId="7622"/>
    <cellStyle name="Total 12 2" xfId="7623"/>
    <cellStyle name="Total 12 3" xfId="7624"/>
    <cellStyle name="Total 12 4" xfId="7625"/>
    <cellStyle name="Total 12 5" xfId="7626"/>
    <cellStyle name="Total 12 6" xfId="7627"/>
    <cellStyle name="Total 13" xfId="7628"/>
    <cellStyle name="Total 13 2" xfId="7629"/>
    <cellStyle name="Total 13 3" xfId="7630"/>
    <cellStyle name="Total 13 4" xfId="7631"/>
    <cellStyle name="Total 13 5" xfId="7632"/>
    <cellStyle name="Total 13 6" xfId="7633"/>
    <cellStyle name="Total 14" xfId="7634"/>
    <cellStyle name="Total 14 2" xfId="7635"/>
    <cellStyle name="Total 14 3" xfId="7636"/>
    <cellStyle name="Total 14 4" xfId="7637"/>
    <cellStyle name="Total 14 5" xfId="7638"/>
    <cellStyle name="Total 14 6" xfId="7639"/>
    <cellStyle name="Total 15" xfId="7640"/>
    <cellStyle name="Total 15 2" xfId="7641"/>
    <cellStyle name="Total 15 3" xfId="7642"/>
    <cellStyle name="Total 15 4" xfId="7643"/>
    <cellStyle name="Total 15 5" xfId="7644"/>
    <cellStyle name="Total 15 6" xfId="7645"/>
    <cellStyle name="Total 16" xfId="7646"/>
    <cellStyle name="Total 16 2" xfId="7647"/>
    <cellStyle name="Total 16 3" xfId="7648"/>
    <cellStyle name="Total 16 4" xfId="7649"/>
    <cellStyle name="Total 16 5" xfId="7650"/>
    <cellStyle name="Total 16 6" xfId="7651"/>
    <cellStyle name="Total 17" xfId="7652"/>
    <cellStyle name="Total 17 2" xfId="7653"/>
    <cellStyle name="Total 17 3" xfId="7654"/>
    <cellStyle name="Total 17 4" xfId="7655"/>
    <cellStyle name="Total 17 5" xfId="7656"/>
    <cellStyle name="Total 17 6" xfId="7657"/>
    <cellStyle name="Total 18" xfId="7658"/>
    <cellStyle name="Total 18 2" xfId="7659"/>
    <cellStyle name="Total 18 3" xfId="7660"/>
    <cellStyle name="Total 18 4" xfId="7661"/>
    <cellStyle name="Total 18 5" xfId="7662"/>
    <cellStyle name="Total 18 6" xfId="7663"/>
    <cellStyle name="Total 19" xfId="7664"/>
    <cellStyle name="Total 19 2" xfId="7665"/>
    <cellStyle name="Total 19 3" xfId="7666"/>
    <cellStyle name="Total 19 4" xfId="7667"/>
    <cellStyle name="Total 19 5" xfId="7668"/>
    <cellStyle name="Total 19 6" xfId="7669"/>
    <cellStyle name="Total 2" xfId="7670"/>
    <cellStyle name="Total 2 10" xfId="7671"/>
    <cellStyle name="Total 2 10 2" xfId="7672"/>
    <cellStyle name="Total 2 10 3" xfId="7673"/>
    <cellStyle name="Total 2 10 4" xfId="7674"/>
    <cellStyle name="Total 2 10 5" xfId="7675"/>
    <cellStyle name="Total 2 10 6" xfId="7676"/>
    <cellStyle name="Total 2 11" xfId="7677"/>
    <cellStyle name="Total 2 11 2" xfId="7678"/>
    <cellStyle name="Total 2 11 3" xfId="7679"/>
    <cellStyle name="Total 2 11 4" xfId="7680"/>
    <cellStyle name="Total 2 11 5" xfId="7681"/>
    <cellStyle name="Total 2 11 6" xfId="7682"/>
    <cellStyle name="Total 2 12" xfId="7683"/>
    <cellStyle name="Total 2 13" xfId="7684"/>
    <cellStyle name="Total 2 14" xfId="7685"/>
    <cellStyle name="Total 2 15" xfId="7686"/>
    <cellStyle name="Total 2 16" xfId="7687"/>
    <cellStyle name="Total 2 2" xfId="7688"/>
    <cellStyle name="Total 2 2 2" xfId="7689"/>
    <cellStyle name="Total 2 2 2 2" xfId="7690"/>
    <cellStyle name="Total 2 2 2 3" xfId="7691"/>
    <cellStyle name="Total 2 2 2 4" xfId="7692"/>
    <cellStyle name="Total 2 2 2 5" xfId="7693"/>
    <cellStyle name="Total 2 2 2 6" xfId="7694"/>
    <cellStyle name="Total 2 2 3" xfId="7695"/>
    <cellStyle name="Total 2 2 4" xfId="7696"/>
    <cellStyle name="Total 2 2 5" xfId="7697"/>
    <cellStyle name="Total 2 2 6" xfId="7698"/>
    <cellStyle name="Total 2 2 7" xfId="7699"/>
    <cellStyle name="Total 2 3" xfId="7700"/>
    <cellStyle name="Total 2 3 2" xfId="7701"/>
    <cellStyle name="Total 2 3 3" xfId="7702"/>
    <cellStyle name="Total 2 3 4" xfId="7703"/>
    <cellStyle name="Total 2 3 5" xfId="7704"/>
    <cellStyle name="Total 2 3 6" xfId="7705"/>
    <cellStyle name="Total 2 4" xfId="7706"/>
    <cellStyle name="Total 2 4 2" xfId="7707"/>
    <cellStyle name="Total 2 4 3" xfId="7708"/>
    <cellStyle name="Total 2 4 4" xfId="7709"/>
    <cellStyle name="Total 2 4 5" xfId="7710"/>
    <cellStyle name="Total 2 4 6" xfId="7711"/>
    <cellStyle name="Total 2 5" xfId="7712"/>
    <cellStyle name="Total 2 5 2" xfId="7713"/>
    <cellStyle name="Total 2 5 3" xfId="7714"/>
    <cellStyle name="Total 2 5 4" xfId="7715"/>
    <cellStyle name="Total 2 5 5" xfId="7716"/>
    <cellStyle name="Total 2 5 6" xfId="7717"/>
    <cellStyle name="Total 2 6" xfId="7718"/>
    <cellStyle name="Total 2 6 2" xfId="7719"/>
    <cellStyle name="Total 2 6 3" xfId="7720"/>
    <cellStyle name="Total 2 6 4" xfId="7721"/>
    <cellStyle name="Total 2 6 5" xfId="7722"/>
    <cellStyle name="Total 2 6 6" xfId="7723"/>
    <cellStyle name="Total 2 7" xfId="7724"/>
    <cellStyle name="Total 2 7 2" xfId="7725"/>
    <cellStyle name="Total 2 7 3" xfId="7726"/>
    <cellStyle name="Total 2 7 4" xfId="7727"/>
    <cellStyle name="Total 2 7 5" xfId="7728"/>
    <cellStyle name="Total 2 7 6" xfId="7729"/>
    <cellStyle name="Total 2 8" xfId="7730"/>
    <cellStyle name="Total 2 8 2" xfId="7731"/>
    <cellStyle name="Total 2 8 3" xfId="7732"/>
    <cellStyle name="Total 2 8 4" xfId="7733"/>
    <cellStyle name="Total 2 8 5" xfId="7734"/>
    <cellStyle name="Total 2 8 6" xfId="7735"/>
    <cellStyle name="Total 2 9" xfId="7736"/>
    <cellStyle name="Total 2 9 2" xfId="7737"/>
    <cellStyle name="Total 2 9 3" xfId="7738"/>
    <cellStyle name="Total 2 9 4" xfId="7739"/>
    <cellStyle name="Total 2 9 5" xfId="7740"/>
    <cellStyle name="Total 2 9 6" xfId="7741"/>
    <cellStyle name="Total 2_MPP new" xfId="7742"/>
    <cellStyle name="Total 20" xfId="7743"/>
    <cellStyle name="Total 20 2" xfId="7744"/>
    <cellStyle name="Total 20 3" xfId="7745"/>
    <cellStyle name="Total 20 4" xfId="7746"/>
    <cellStyle name="Total 20 5" xfId="7747"/>
    <cellStyle name="Total 20 6" xfId="7748"/>
    <cellStyle name="Total 21" xfId="7749"/>
    <cellStyle name="Total 21 2" xfId="7750"/>
    <cellStyle name="Total 21 3" xfId="7751"/>
    <cellStyle name="Total 21 4" xfId="7752"/>
    <cellStyle name="Total 21 5" xfId="7753"/>
    <cellStyle name="Total 21 6" xfId="7754"/>
    <cellStyle name="Total 3" xfId="7755"/>
    <cellStyle name="Total 3 2" xfId="7756"/>
    <cellStyle name="Total 3 2 2" xfId="7757"/>
    <cellStyle name="Total 3 2 3" xfId="7758"/>
    <cellStyle name="Total 3 2 4" xfId="7759"/>
    <cellStyle name="Total 3 2 5" xfId="7760"/>
    <cellStyle name="Total 3 2 6" xfId="7761"/>
    <cellStyle name="Total 3 3" xfId="7762"/>
    <cellStyle name="Total 3 4" xfId="7763"/>
    <cellStyle name="Total 3 5" xfId="7764"/>
    <cellStyle name="Total 3 6" xfId="7765"/>
    <cellStyle name="Total 3 7" xfId="7766"/>
    <cellStyle name="Total 4" xfId="7767"/>
    <cellStyle name="Total 4 2" xfId="7768"/>
    <cellStyle name="Total 4 2 2" xfId="7769"/>
    <cellStyle name="Total 4 2 3" xfId="7770"/>
    <cellStyle name="Total 4 2 4" xfId="7771"/>
    <cellStyle name="Total 4 2 5" xfId="7772"/>
    <cellStyle name="Total 4 2 6" xfId="7773"/>
    <cellStyle name="Total 4 3" xfId="7774"/>
    <cellStyle name="Total 4 4" xfId="7775"/>
    <cellStyle name="Total 4 5" xfId="7776"/>
    <cellStyle name="Total 4 6" xfId="7777"/>
    <cellStyle name="Total 4 7" xfId="7778"/>
    <cellStyle name="Total 5" xfId="7779"/>
    <cellStyle name="Total 5 2" xfId="7780"/>
    <cellStyle name="Total 5 2 2" xfId="7781"/>
    <cellStyle name="Total 5 2 3" xfId="7782"/>
    <cellStyle name="Total 5 2 4" xfId="7783"/>
    <cellStyle name="Total 5 2 5" xfId="7784"/>
    <cellStyle name="Total 5 2 6" xfId="7785"/>
    <cellStyle name="Total 5 3" xfId="7786"/>
    <cellStyle name="Total 5 4" xfId="7787"/>
    <cellStyle name="Total 5 5" xfId="7788"/>
    <cellStyle name="Total 5 6" xfId="7789"/>
    <cellStyle name="Total 5 7" xfId="7790"/>
    <cellStyle name="Total 6" xfId="7791"/>
    <cellStyle name="Total 6 2" xfId="7792"/>
    <cellStyle name="Total 6 2 2" xfId="7793"/>
    <cellStyle name="Total 6 2 3" xfId="7794"/>
    <cellStyle name="Total 6 2 4" xfId="7795"/>
    <cellStyle name="Total 6 2 5" xfId="7796"/>
    <cellStyle name="Total 6 2 6" xfId="7797"/>
    <cellStyle name="Total 6 3" xfId="7798"/>
    <cellStyle name="Total 6 4" xfId="7799"/>
    <cellStyle name="Total 6 5" xfId="7800"/>
    <cellStyle name="Total 6 6" xfId="7801"/>
    <cellStyle name="Total 6 7" xfId="7802"/>
    <cellStyle name="Total 7" xfId="7803"/>
    <cellStyle name="Total 7 2" xfId="7804"/>
    <cellStyle name="Total 7 3" xfId="7805"/>
    <cellStyle name="Total 7 4" xfId="7806"/>
    <cellStyle name="Total 7 5" xfId="7807"/>
    <cellStyle name="Total 7 6" xfId="7808"/>
    <cellStyle name="Total 8" xfId="7809"/>
    <cellStyle name="Total 8 2" xfId="7810"/>
    <cellStyle name="Total 8 3" xfId="7811"/>
    <cellStyle name="Total 8 4" xfId="7812"/>
    <cellStyle name="Total 8 5" xfId="7813"/>
    <cellStyle name="Total 8 6" xfId="7814"/>
    <cellStyle name="Total 9" xfId="7815"/>
    <cellStyle name="Total 9 2" xfId="7816"/>
    <cellStyle name="Total 9 3" xfId="7817"/>
    <cellStyle name="Total 9 4" xfId="7818"/>
    <cellStyle name="Total 9 5" xfId="7819"/>
    <cellStyle name="Total 9 6" xfId="7820"/>
    <cellStyle name="update" xfId="7821"/>
    <cellStyle name="update 2" xfId="7822"/>
    <cellStyle name="update 3" xfId="7823"/>
    <cellStyle name="update 4" xfId="7824"/>
    <cellStyle name="update 5" xfId="7825"/>
    <cellStyle name="update 6" xfId="7826"/>
    <cellStyle name="Währung [0]_Compiling Utility Macros" xfId="7827"/>
    <cellStyle name="Währung_Compiling Utility Macros" xfId="7828"/>
    <cellStyle name="Warning Text 10" xfId="7829"/>
    <cellStyle name="Warning Text 10 2" xfId="7830"/>
    <cellStyle name="Warning Text 10 3" xfId="7831"/>
    <cellStyle name="Warning Text 10 4" xfId="7832"/>
    <cellStyle name="Warning Text 10 5" xfId="7833"/>
    <cellStyle name="Warning Text 10 6" xfId="7834"/>
    <cellStyle name="Warning Text 11" xfId="7835"/>
    <cellStyle name="Warning Text 11 2" xfId="7836"/>
    <cellStyle name="Warning Text 11 3" xfId="7837"/>
    <cellStyle name="Warning Text 11 4" xfId="7838"/>
    <cellStyle name="Warning Text 11 5" xfId="7839"/>
    <cellStyle name="Warning Text 11 6" xfId="7840"/>
    <cellStyle name="Warning Text 12" xfId="7841"/>
    <cellStyle name="Warning Text 12 2" xfId="7842"/>
    <cellStyle name="Warning Text 12 3" xfId="7843"/>
    <cellStyle name="Warning Text 12 4" xfId="7844"/>
    <cellStyle name="Warning Text 12 5" xfId="7845"/>
    <cellStyle name="Warning Text 12 6" xfId="7846"/>
    <cellStyle name="Warning Text 13" xfId="7847"/>
    <cellStyle name="Warning Text 13 2" xfId="7848"/>
    <cellStyle name="Warning Text 13 3" xfId="7849"/>
    <cellStyle name="Warning Text 13 4" xfId="7850"/>
    <cellStyle name="Warning Text 13 5" xfId="7851"/>
    <cellStyle name="Warning Text 13 6" xfId="7852"/>
    <cellStyle name="Warning Text 14" xfId="7853"/>
    <cellStyle name="Warning Text 14 2" xfId="7854"/>
    <cellStyle name="Warning Text 14 3" xfId="7855"/>
    <cellStyle name="Warning Text 14 4" xfId="7856"/>
    <cellStyle name="Warning Text 14 5" xfId="7857"/>
    <cellStyle name="Warning Text 14 6" xfId="7858"/>
    <cellStyle name="Warning Text 15" xfId="7859"/>
    <cellStyle name="Warning Text 15 2" xfId="7860"/>
    <cellStyle name="Warning Text 15 3" xfId="7861"/>
    <cellStyle name="Warning Text 15 4" xfId="7862"/>
    <cellStyle name="Warning Text 15 5" xfId="7863"/>
    <cellStyle name="Warning Text 15 6" xfId="7864"/>
    <cellStyle name="Warning Text 16" xfId="7865"/>
    <cellStyle name="Warning Text 16 2" xfId="7866"/>
    <cellStyle name="Warning Text 16 3" xfId="7867"/>
    <cellStyle name="Warning Text 16 4" xfId="7868"/>
    <cellStyle name="Warning Text 16 5" xfId="7869"/>
    <cellStyle name="Warning Text 16 6" xfId="7870"/>
    <cellStyle name="Warning Text 17" xfId="7871"/>
    <cellStyle name="Warning Text 17 2" xfId="7872"/>
    <cellStyle name="Warning Text 17 3" xfId="7873"/>
    <cellStyle name="Warning Text 17 4" xfId="7874"/>
    <cellStyle name="Warning Text 17 5" xfId="7875"/>
    <cellStyle name="Warning Text 17 6" xfId="7876"/>
    <cellStyle name="Warning Text 18" xfId="7877"/>
    <cellStyle name="Warning Text 18 2" xfId="7878"/>
    <cellStyle name="Warning Text 18 3" xfId="7879"/>
    <cellStyle name="Warning Text 18 4" xfId="7880"/>
    <cellStyle name="Warning Text 18 5" xfId="7881"/>
    <cellStyle name="Warning Text 18 6" xfId="7882"/>
    <cellStyle name="Warning Text 19" xfId="7883"/>
    <cellStyle name="Warning Text 19 2" xfId="7884"/>
    <cellStyle name="Warning Text 19 3" xfId="7885"/>
    <cellStyle name="Warning Text 19 4" xfId="7886"/>
    <cellStyle name="Warning Text 19 5" xfId="7887"/>
    <cellStyle name="Warning Text 19 6" xfId="7888"/>
    <cellStyle name="Warning Text 2" xfId="7889"/>
    <cellStyle name="Warning Text 2 10" xfId="7890"/>
    <cellStyle name="Warning Text 2 2" xfId="7891"/>
    <cellStyle name="Warning Text 2 2 2" xfId="7892"/>
    <cellStyle name="Warning Text 2 2 3" xfId="7893"/>
    <cellStyle name="Warning Text 2 2 4" xfId="7894"/>
    <cellStyle name="Warning Text 2 2 5" xfId="7895"/>
    <cellStyle name="Warning Text 2 2 6" xfId="7896"/>
    <cellStyle name="Warning Text 2 3" xfId="7897"/>
    <cellStyle name="Warning Text 2 3 2" xfId="7898"/>
    <cellStyle name="Warning Text 2 3 3" xfId="7899"/>
    <cellStyle name="Warning Text 2 3 4" xfId="7900"/>
    <cellStyle name="Warning Text 2 3 5" xfId="7901"/>
    <cellStyle name="Warning Text 2 3 6" xfId="7902"/>
    <cellStyle name="Warning Text 2 4" xfId="7903"/>
    <cellStyle name="Warning Text 2 4 2" xfId="7904"/>
    <cellStyle name="Warning Text 2 4 3" xfId="7905"/>
    <cellStyle name="Warning Text 2 4 4" xfId="7906"/>
    <cellStyle name="Warning Text 2 4 5" xfId="7907"/>
    <cellStyle name="Warning Text 2 4 6" xfId="7908"/>
    <cellStyle name="Warning Text 2 5" xfId="7909"/>
    <cellStyle name="Warning Text 2 5 2" xfId="7910"/>
    <cellStyle name="Warning Text 2 5 3" xfId="7911"/>
    <cellStyle name="Warning Text 2 5 4" xfId="7912"/>
    <cellStyle name="Warning Text 2 5 5" xfId="7913"/>
    <cellStyle name="Warning Text 2 5 6" xfId="7914"/>
    <cellStyle name="Warning Text 2 6" xfId="7915"/>
    <cellStyle name="Warning Text 2 7" xfId="7916"/>
    <cellStyle name="Warning Text 2 8" xfId="7917"/>
    <cellStyle name="Warning Text 2 9" xfId="7918"/>
    <cellStyle name="Warning Text 2_MPP new" xfId="7919"/>
    <cellStyle name="Warning Text 20" xfId="7920"/>
    <cellStyle name="Warning Text 20 2" xfId="7921"/>
    <cellStyle name="Warning Text 20 3" xfId="7922"/>
    <cellStyle name="Warning Text 20 4" xfId="7923"/>
    <cellStyle name="Warning Text 20 5" xfId="7924"/>
    <cellStyle name="Warning Text 20 6" xfId="7925"/>
    <cellStyle name="Warning Text 21" xfId="7926"/>
    <cellStyle name="Warning Text 21 2" xfId="7927"/>
    <cellStyle name="Warning Text 21 3" xfId="7928"/>
    <cellStyle name="Warning Text 21 4" xfId="7929"/>
    <cellStyle name="Warning Text 21 5" xfId="7930"/>
    <cellStyle name="Warning Text 21 6" xfId="7931"/>
    <cellStyle name="Warning Text 3" xfId="7932"/>
    <cellStyle name="Warning Text 3 2" xfId="7933"/>
    <cellStyle name="Warning Text 3 3" xfId="7934"/>
    <cellStyle name="Warning Text 3 4" xfId="7935"/>
    <cellStyle name="Warning Text 3 5" xfId="7936"/>
    <cellStyle name="Warning Text 3 6" xfId="7937"/>
    <cellStyle name="Warning Text 4" xfId="7938"/>
    <cellStyle name="Warning Text 4 2" xfId="7939"/>
    <cellStyle name="Warning Text 4 3" xfId="7940"/>
    <cellStyle name="Warning Text 4 4" xfId="7941"/>
    <cellStyle name="Warning Text 4 5" xfId="7942"/>
    <cellStyle name="Warning Text 4 6" xfId="7943"/>
    <cellStyle name="Warning Text 5" xfId="7944"/>
    <cellStyle name="Warning Text 5 2" xfId="7945"/>
    <cellStyle name="Warning Text 5 3" xfId="7946"/>
    <cellStyle name="Warning Text 5 4" xfId="7947"/>
    <cellStyle name="Warning Text 5 5" xfId="7948"/>
    <cellStyle name="Warning Text 5 6" xfId="7949"/>
    <cellStyle name="Warning Text 6" xfId="7950"/>
    <cellStyle name="Warning Text 6 2" xfId="7951"/>
    <cellStyle name="Warning Text 6 3" xfId="7952"/>
    <cellStyle name="Warning Text 6 4" xfId="7953"/>
    <cellStyle name="Warning Text 6 5" xfId="7954"/>
    <cellStyle name="Warning Text 6 6" xfId="7955"/>
    <cellStyle name="Warning Text 7" xfId="7956"/>
    <cellStyle name="Warning Text 7 2" xfId="7957"/>
    <cellStyle name="Warning Text 7 3" xfId="7958"/>
    <cellStyle name="Warning Text 7 4" xfId="7959"/>
    <cellStyle name="Warning Text 7 5" xfId="7960"/>
    <cellStyle name="Warning Text 7 6" xfId="7961"/>
    <cellStyle name="Warning Text 8" xfId="7962"/>
    <cellStyle name="Warning Text 8 2" xfId="7963"/>
    <cellStyle name="Warning Text 8 3" xfId="7964"/>
    <cellStyle name="Warning Text 8 4" xfId="7965"/>
    <cellStyle name="Warning Text 8 5" xfId="7966"/>
    <cellStyle name="Warning Text 8 6" xfId="7967"/>
    <cellStyle name="Warning Text 9" xfId="7968"/>
    <cellStyle name="Warning Text 9 2" xfId="7969"/>
    <cellStyle name="Warning Text 9 3" xfId="7970"/>
    <cellStyle name="Warning Text 9 4" xfId="7971"/>
    <cellStyle name="Warning Text 9 5" xfId="7972"/>
    <cellStyle name="Warning Text 9 6" xfId="7973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c76\rba.pdl\DATA%20KARYAWAN\MASTER%20DATA%20KARYAWAN\MAR\Master%20Data%20Karyawan%20PDL%20Mar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c76\rba.pdl\DATA%20KARYAWAN\MASTER%20DATA%20KARYAWAN\FEB\Master%20Data%20Karyawan%20PDL%20Fe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h987319@gmail.com" TargetMode="External"/><Relationship Id="rId13" Type="http://schemas.openxmlformats.org/officeDocument/2006/relationships/hyperlink" Target="mailto:rizhaladit@gmail.com" TargetMode="External"/><Relationship Id="rId3" Type="http://schemas.openxmlformats.org/officeDocument/2006/relationships/hyperlink" Target="mailto:ocky08traffict@gmail.com" TargetMode="External"/><Relationship Id="rId7" Type="http://schemas.openxmlformats.org/officeDocument/2006/relationships/hyperlink" Target="mailto:iwanm85@gmail.com" TargetMode="External"/><Relationship Id="rId12" Type="http://schemas.openxmlformats.org/officeDocument/2006/relationships/hyperlink" Target="mailto:annisya.ferronica@gmail.com" TargetMode="External"/><Relationship Id="rId2" Type="http://schemas.openxmlformats.org/officeDocument/2006/relationships/hyperlink" Target="mailto:kumarabunk@gmail.com" TargetMode="External"/><Relationship Id="rId1" Type="http://schemas.openxmlformats.org/officeDocument/2006/relationships/hyperlink" Target="mailto:mahardhika.chandra7888@gmail.com" TargetMode="External"/><Relationship Id="rId6" Type="http://schemas.openxmlformats.org/officeDocument/2006/relationships/hyperlink" Target="mailto:dwirahma.dr95.dr@gmail.com" TargetMode="External"/><Relationship Id="rId11" Type="http://schemas.openxmlformats.org/officeDocument/2006/relationships/hyperlink" Target="mailto:anikewulandarii@gmail.com" TargetMode="External"/><Relationship Id="rId5" Type="http://schemas.openxmlformats.org/officeDocument/2006/relationships/hyperlink" Target="mailto:citradwimurdiyanti19@gmail.com" TargetMode="External"/><Relationship Id="rId10" Type="http://schemas.openxmlformats.org/officeDocument/2006/relationships/hyperlink" Target="mailto:rida.millati29@gmail.com" TargetMode="External"/><Relationship Id="rId4" Type="http://schemas.openxmlformats.org/officeDocument/2006/relationships/hyperlink" Target="mailto:violapermatasari09@gmail.com" TargetMode="External"/><Relationship Id="rId9" Type="http://schemas.openxmlformats.org/officeDocument/2006/relationships/hyperlink" Target="mailto:ahmadulum207@gmail.com" TargetMode="Externa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aiss20rachman@gmail.com" TargetMode="External"/><Relationship Id="rId18" Type="http://schemas.openxmlformats.org/officeDocument/2006/relationships/hyperlink" Target="mailto:deniluqmana1@gmail.com" TargetMode="External"/><Relationship Id="rId26" Type="http://schemas.openxmlformats.org/officeDocument/2006/relationships/hyperlink" Target="mailto:raismaandika1@gmail.com" TargetMode="External"/><Relationship Id="rId21" Type="http://schemas.openxmlformats.org/officeDocument/2006/relationships/hyperlink" Target="mailto:usha.fatnia@gmail.com" TargetMode="External"/><Relationship Id="rId34" Type="http://schemas.openxmlformats.org/officeDocument/2006/relationships/hyperlink" Target="mailto:kikinur00@gmail.com" TargetMode="External"/><Relationship Id="rId7" Type="http://schemas.openxmlformats.org/officeDocument/2006/relationships/hyperlink" Target="mailto:iwanm85@gmail.com" TargetMode="External"/><Relationship Id="rId12" Type="http://schemas.openxmlformats.org/officeDocument/2006/relationships/hyperlink" Target="mailto:rizhaladit@gmail.com" TargetMode="External"/><Relationship Id="rId17" Type="http://schemas.openxmlformats.org/officeDocument/2006/relationships/hyperlink" Target="mailto:verota.pussie@gmail.com" TargetMode="External"/><Relationship Id="rId25" Type="http://schemas.openxmlformats.org/officeDocument/2006/relationships/hyperlink" Target="mailto:rimarahmawati806@gmail.com" TargetMode="External"/><Relationship Id="rId33" Type="http://schemas.openxmlformats.org/officeDocument/2006/relationships/hyperlink" Target="mailto:onisnabila@gmail.com" TargetMode="External"/><Relationship Id="rId38" Type="http://schemas.openxmlformats.org/officeDocument/2006/relationships/printerSettings" Target="../printerSettings/printerSettings2.bin"/><Relationship Id="rId2" Type="http://schemas.openxmlformats.org/officeDocument/2006/relationships/hyperlink" Target="mailto:kumarabunk@gmail.com" TargetMode="External"/><Relationship Id="rId16" Type="http://schemas.openxmlformats.org/officeDocument/2006/relationships/hyperlink" Target="mailto:along.alfiah@gmail.com" TargetMode="External"/><Relationship Id="rId20" Type="http://schemas.openxmlformats.org/officeDocument/2006/relationships/hyperlink" Target="mailto:gandulnoel@gmail.com" TargetMode="External"/><Relationship Id="rId29" Type="http://schemas.openxmlformats.org/officeDocument/2006/relationships/hyperlink" Target="mailto:arumstyn9@gmail.com" TargetMode="External"/><Relationship Id="rId1" Type="http://schemas.openxmlformats.org/officeDocument/2006/relationships/hyperlink" Target="mailto:mahardhika.chandra7888@gmail.com" TargetMode="External"/><Relationship Id="rId6" Type="http://schemas.openxmlformats.org/officeDocument/2006/relationships/hyperlink" Target="mailto:dwirahma.dr95.dr@gmail.com" TargetMode="External"/><Relationship Id="rId11" Type="http://schemas.openxmlformats.org/officeDocument/2006/relationships/hyperlink" Target="mailto:annisya.ferronica@gmail.com" TargetMode="External"/><Relationship Id="rId24" Type="http://schemas.openxmlformats.org/officeDocument/2006/relationships/hyperlink" Target="mailto:nurkholifah051191@gmail.com" TargetMode="External"/><Relationship Id="rId32" Type="http://schemas.openxmlformats.org/officeDocument/2006/relationships/hyperlink" Target="mailto:trinovitadanuati@gmail.com" TargetMode="External"/><Relationship Id="rId37" Type="http://schemas.openxmlformats.org/officeDocument/2006/relationships/hyperlink" Target="mailto:YESISISILVIANA4@GMAIL.COM" TargetMode="External"/><Relationship Id="rId5" Type="http://schemas.openxmlformats.org/officeDocument/2006/relationships/hyperlink" Target="mailto:citradwimurdiyanti19@gmail.com" TargetMode="External"/><Relationship Id="rId15" Type="http://schemas.openxmlformats.org/officeDocument/2006/relationships/hyperlink" Target="mailto:secondsecret.2nd@gmail." TargetMode="External"/><Relationship Id="rId23" Type="http://schemas.openxmlformats.org/officeDocument/2006/relationships/hyperlink" Target="mailto:sinta.rahma90@gmail.com" TargetMode="External"/><Relationship Id="rId28" Type="http://schemas.openxmlformats.org/officeDocument/2006/relationships/hyperlink" Target="mailto:samanthaiga8@gmail.com" TargetMode="External"/><Relationship Id="rId36" Type="http://schemas.openxmlformats.org/officeDocument/2006/relationships/hyperlink" Target="mailto:ranggachrismaputra@gmsil.com" TargetMode="External"/><Relationship Id="rId10" Type="http://schemas.openxmlformats.org/officeDocument/2006/relationships/hyperlink" Target="mailto:anikewulandarii@gmail.com" TargetMode="External"/><Relationship Id="rId19" Type="http://schemas.openxmlformats.org/officeDocument/2006/relationships/hyperlink" Target="mailto:bachtiarreza07@gmail.com" TargetMode="External"/><Relationship Id="rId31" Type="http://schemas.openxmlformats.org/officeDocument/2006/relationships/hyperlink" Target="mailto:pipitpita54@gmail.com" TargetMode="External"/><Relationship Id="rId4" Type="http://schemas.openxmlformats.org/officeDocument/2006/relationships/hyperlink" Target="mailto:violapermatasari09@gmail.com" TargetMode="External"/><Relationship Id="rId9" Type="http://schemas.openxmlformats.org/officeDocument/2006/relationships/hyperlink" Target="mailto:rida.millati29@gmail.com" TargetMode="External"/><Relationship Id="rId14" Type="http://schemas.openxmlformats.org/officeDocument/2006/relationships/hyperlink" Target="mailto:fendyydnef419@gmail.com" TargetMode="External"/><Relationship Id="rId22" Type="http://schemas.openxmlformats.org/officeDocument/2006/relationships/hyperlink" Target="mailto:hh987319@gmail.com" TargetMode="External"/><Relationship Id="rId27" Type="http://schemas.openxmlformats.org/officeDocument/2006/relationships/hyperlink" Target="mailto:fitrilailaalhusain@gmail.com" TargetMode="External"/><Relationship Id="rId30" Type="http://schemas.openxmlformats.org/officeDocument/2006/relationships/hyperlink" Target="mailto:dykaputra1993@gmail.com" TargetMode="External"/><Relationship Id="rId35" Type="http://schemas.openxmlformats.org/officeDocument/2006/relationships/hyperlink" Target="mailto:fourhanz.acc@gmail.com" TargetMode="External"/><Relationship Id="rId8" Type="http://schemas.openxmlformats.org/officeDocument/2006/relationships/hyperlink" Target="mailto:ahmadulum207@gmail.com" TargetMode="External"/><Relationship Id="rId3" Type="http://schemas.openxmlformats.org/officeDocument/2006/relationships/hyperlink" Target="mailto:ocky08traffict@gmail.com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NORAISYAHREZA@GMAIL.COM" TargetMode="External"/><Relationship Id="rId21" Type="http://schemas.openxmlformats.org/officeDocument/2006/relationships/hyperlink" Target="mailto:dykaputra1993@gmail.com" TargetMode="External"/><Relationship Id="rId42" Type="http://schemas.openxmlformats.org/officeDocument/2006/relationships/hyperlink" Target="mailto:aiss20rachman@gmail.com" TargetMode="External"/><Relationship Id="rId47" Type="http://schemas.openxmlformats.org/officeDocument/2006/relationships/hyperlink" Target="mailto:nurkholifah051191@gmail.com" TargetMode="External"/><Relationship Id="rId63" Type="http://schemas.openxmlformats.org/officeDocument/2006/relationships/hyperlink" Target="mailto:raisakp05@gmail.com" TargetMode="External"/><Relationship Id="rId68" Type="http://schemas.openxmlformats.org/officeDocument/2006/relationships/hyperlink" Target="mailto:sabilalmiranda1@gmail.com" TargetMode="External"/><Relationship Id="rId2" Type="http://schemas.openxmlformats.org/officeDocument/2006/relationships/hyperlink" Target="mailto:kumarabunk@gmail.com" TargetMode="External"/><Relationship Id="rId16" Type="http://schemas.openxmlformats.org/officeDocument/2006/relationships/hyperlink" Target="mailto:sinta.rahma90@gmail.com" TargetMode="External"/><Relationship Id="rId29" Type="http://schemas.openxmlformats.org/officeDocument/2006/relationships/hyperlink" Target="mailto:mathari.armanta@gmail.com" TargetMode="External"/><Relationship Id="rId11" Type="http://schemas.openxmlformats.org/officeDocument/2006/relationships/hyperlink" Target="mailto:along.alfiah@gmail.com" TargetMode="External"/><Relationship Id="rId24" Type="http://schemas.openxmlformats.org/officeDocument/2006/relationships/hyperlink" Target="mailto:ocky08traffict@gmail.com" TargetMode="External"/><Relationship Id="rId32" Type="http://schemas.openxmlformats.org/officeDocument/2006/relationships/hyperlink" Target="mailto:novianyarpp@gmail.com" TargetMode="External"/><Relationship Id="rId37" Type="http://schemas.openxmlformats.org/officeDocument/2006/relationships/hyperlink" Target="mailto:fourhanz.acc@gmail.com" TargetMode="External"/><Relationship Id="rId40" Type="http://schemas.openxmlformats.org/officeDocument/2006/relationships/hyperlink" Target="mailto:isampurna71@gmail.com" TargetMode="External"/><Relationship Id="rId45" Type="http://schemas.openxmlformats.org/officeDocument/2006/relationships/hyperlink" Target="mailto:fendyydnef419@gmail.com" TargetMode="External"/><Relationship Id="rId53" Type="http://schemas.openxmlformats.org/officeDocument/2006/relationships/hyperlink" Target="mailto:armychichilia13@gmail.com" TargetMode="External"/><Relationship Id="rId58" Type="http://schemas.openxmlformats.org/officeDocument/2006/relationships/hyperlink" Target="mailto:ferro.alayubbi@gmail.com" TargetMode="External"/><Relationship Id="rId66" Type="http://schemas.openxmlformats.org/officeDocument/2006/relationships/hyperlink" Target="mailto:nugrohoandria@gmail.com" TargetMode="External"/><Relationship Id="rId74" Type="http://schemas.openxmlformats.org/officeDocument/2006/relationships/vmlDrawing" Target="../drawings/vmlDrawing1.vml"/><Relationship Id="rId5" Type="http://schemas.openxmlformats.org/officeDocument/2006/relationships/hyperlink" Target="mailto:iwanm85@gmail.com" TargetMode="External"/><Relationship Id="rId61" Type="http://schemas.openxmlformats.org/officeDocument/2006/relationships/hyperlink" Target="mailto:hirasjosep@rocketmail.com" TargetMode="External"/><Relationship Id="rId19" Type="http://schemas.openxmlformats.org/officeDocument/2006/relationships/hyperlink" Target="mailto:samanthaiga8@gmail.com" TargetMode="External"/><Relationship Id="rId14" Type="http://schemas.openxmlformats.org/officeDocument/2006/relationships/hyperlink" Target="mailto:usha.fatnia@gmail.com" TargetMode="External"/><Relationship Id="rId22" Type="http://schemas.openxmlformats.org/officeDocument/2006/relationships/hyperlink" Target="mailto:pipitpita54@gmail.com" TargetMode="External"/><Relationship Id="rId27" Type="http://schemas.openxmlformats.org/officeDocument/2006/relationships/hyperlink" Target="mailto:annisya.ferronica@gmail.com" TargetMode="External"/><Relationship Id="rId30" Type="http://schemas.openxmlformats.org/officeDocument/2006/relationships/hyperlink" Target="mailto:rikosaputra337@gmail.com" TargetMode="External"/><Relationship Id="rId35" Type="http://schemas.openxmlformats.org/officeDocument/2006/relationships/hyperlink" Target="mailto:YESISISILVIANA4@GMAIL.COM" TargetMode="External"/><Relationship Id="rId43" Type="http://schemas.openxmlformats.org/officeDocument/2006/relationships/hyperlink" Target="mailto:eunikedwimik1@gmail.com" TargetMode="External"/><Relationship Id="rId48" Type="http://schemas.openxmlformats.org/officeDocument/2006/relationships/hyperlink" Target="mailto:fitrilailaalhusain@gmail.com" TargetMode="External"/><Relationship Id="rId56" Type="http://schemas.openxmlformats.org/officeDocument/2006/relationships/hyperlink" Target="mailto:devypermata0@gmail.com" TargetMode="External"/><Relationship Id="rId64" Type="http://schemas.openxmlformats.org/officeDocument/2006/relationships/hyperlink" Target="mailto:fongsihong@gmail.com" TargetMode="External"/><Relationship Id="rId69" Type="http://schemas.openxmlformats.org/officeDocument/2006/relationships/hyperlink" Target="mailto:dp.riskaoctavia@gmail.com" TargetMode="External"/><Relationship Id="rId8" Type="http://schemas.openxmlformats.org/officeDocument/2006/relationships/hyperlink" Target="mailto:anikewulandarii@gmail.com" TargetMode="External"/><Relationship Id="rId51" Type="http://schemas.openxmlformats.org/officeDocument/2006/relationships/hyperlink" Target="mailto:lwarsandy@gmail.com" TargetMode="External"/><Relationship Id="rId72" Type="http://schemas.openxmlformats.org/officeDocument/2006/relationships/hyperlink" Target="mailto:grahitanusantara@gmail.com" TargetMode="External"/><Relationship Id="rId3" Type="http://schemas.openxmlformats.org/officeDocument/2006/relationships/hyperlink" Target="mailto:violapermatasari09@gmail.com" TargetMode="External"/><Relationship Id="rId12" Type="http://schemas.openxmlformats.org/officeDocument/2006/relationships/hyperlink" Target="mailto:verota.pussie@gmail.com" TargetMode="External"/><Relationship Id="rId17" Type="http://schemas.openxmlformats.org/officeDocument/2006/relationships/hyperlink" Target="mailto:rimarahmawati806@gmail.com" TargetMode="External"/><Relationship Id="rId25" Type="http://schemas.openxmlformats.org/officeDocument/2006/relationships/hyperlink" Target="mailto:kikinur00@gmail.com" TargetMode="External"/><Relationship Id="rId33" Type="http://schemas.openxmlformats.org/officeDocument/2006/relationships/hyperlink" Target="mailto:alvan.septy.k@gmail.com" TargetMode="External"/><Relationship Id="rId38" Type="http://schemas.openxmlformats.org/officeDocument/2006/relationships/hyperlink" Target="mailto:ranggachrismaputra26@gmail.com" TargetMode="External"/><Relationship Id="rId46" Type="http://schemas.openxmlformats.org/officeDocument/2006/relationships/hyperlink" Target="mailto:bachtiarreza07@gmail.com" TargetMode="External"/><Relationship Id="rId59" Type="http://schemas.openxmlformats.org/officeDocument/2006/relationships/hyperlink" Target="mailto:talitaivadah@gmail.com" TargetMode="External"/><Relationship Id="rId67" Type="http://schemas.openxmlformats.org/officeDocument/2006/relationships/hyperlink" Target="mailto:azamrindu8@gmail.com" TargetMode="External"/><Relationship Id="rId20" Type="http://schemas.openxmlformats.org/officeDocument/2006/relationships/hyperlink" Target="mailto:arumstyn9@gmail.com" TargetMode="External"/><Relationship Id="rId41" Type="http://schemas.openxmlformats.org/officeDocument/2006/relationships/hyperlink" Target="mailto:primadamara@gmail.com" TargetMode="External"/><Relationship Id="rId54" Type="http://schemas.openxmlformats.org/officeDocument/2006/relationships/hyperlink" Target="mailto:pangkey.sheila@gmail.com" TargetMode="External"/><Relationship Id="rId62" Type="http://schemas.openxmlformats.org/officeDocument/2006/relationships/hyperlink" Target="mailto:vickyagassi996@gmail.com" TargetMode="External"/><Relationship Id="rId70" Type="http://schemas.openxmlformats.org/officeDocument/2006/relationships/hyperlink" Target="mailto:rizkiputriutami.rpu@gmail.com" TargetMode="External"/><Relationship Id="rId75" Type="http://schemas.openxmlformats.org/officeDocument/2006/relationships/comments" Target="../comments1.xml"/><Relationship Id="rId1" Type="http://schemas.openxmlformats.org/officeDocument/2006/relationships/hyperlink" Target="mailto:mahardhika.chandra7888@gmail.com" TargetMode="External"/><Relationship Id="rId6" Type="http://schemas.openxmlformats.org/officeDocument/2006/relationships/hyperlink" Target="mailto:ahmadulum207@gmail.com" TargetMode="External"/><Relationship Id="rId15" Type="http://schemas.openxmlformats.org/officeDocument/2006/relationships/hyperlink" Target="mailto:hh987319@gmail.com" TargetMode="External"/><Relationship Id="rId23" Type="http://schemas.openxmlformats.org/officeDocument/2006/relationships/hyperlink" Target="mailto:trinovitadanuati@gmail.com" TargetMode="External"/><Relationship Id="rId28" Type="http://schemas.openxmlformats.org/officeDocument/2006/relationships/hyperlink" Target="mailto:wijayatan04@gmail.com" TargetMode="External"/><Relationship Id="rId36" Type="http://schemas.openxmlformats.org/officeDocument/2006/relationships/hyperlink" Target="mailto:deniluqmana1@gmail.com" TargetMode="External"/><Relationship Id="rId49" Type="http://schemas.openxmlformats.org/officeDocument/2006/relationships/hyperlink" Target="mailto:masragasetiawan@gmail.com" TargetMode="External"/><Relationship Id="rId57" Type="http://schemas.openxmlformats.org/officeDocument/2006/relationships/hyperlink" Target="mailto:ernasari208@gmail.com" TargetMode="External"/><Relationship Id="rId10" Type="http://schemas.openxmlformats.org/officeDocument/2006/relationships/hyperlink" Target="mailto:secondsecret.2nd@gmail." TargetMode="External"/><Relationship Id="rId31" Type="http://schemas.openxmlformats.org/officeDocument/2006/relationships/hyperlink" Target="mailto:rully.lasewa@gmail.com" TargetMode="External"/><Relationship Id="rId44" Type="http://schemas.openxmlformats.org/officeDocument/2006/relationships/hyperlink" Target="mailto:dwirahma.dr95.dr@gmail.com" TargetMode="External"/><Relationship Id="rId52" Type="http://schemas.openxmlformats.org/officeDocument/2006/relationships/hyperlink" Target="mailto:Novytasuparman@gmail.com" TargetMode="External"/><Relationship Id="rId60" Type="http://schemas.openxmlformats.org/officeDocument/2006/relationships/hyperlink" Target="mailto:agam.sunanto@gmail.com" TargetMode="External"/><Relationship Id="rId65" Type="http://schemas.openxmlformats.org/officeDocument/2006/relationships/hyperlink" Target="mailto:arisma.lulidiana@gamil.com" TargetMode="External"/><Relationship Id="rId73" Type="http://schemas.openxmlformats.org/officeDocument/2006/relationships/printerSettings" Target="../printerSettings/printerSettings3.bin"/><Relationship Id="rId4" Type="http://schemas.openxmlformats.org/officeDocument/2006/relationships/hyperlink" Target="mailto:citradwimurdiyanti19@gmail.com" TargetMode="External"/><Relationship Id="rId9" Type="http://schemas.openxmlformats.org/officeDocument/2006/relationships/hyperlink" Target="mailto:rizhaladit@gmail.com" TargetMode="External"/><Relationship Id="rId13" Type="http://schemas.openxmlformats.org/officeDocument/2006/relationships/hyperlink" Target="mailto:gandulnoel@gmail.com" TargetMode="External"/><Relationship Id="rId18" Type="http://schemas.openxmlformats.org/officeDocument/2006/relationships/hyperlink" Target="mailto:raismaandika1@gmail.com" TargetMode="External"/><Relationship Id="rId39" Type="http://schemas.openxmlformats.org/officeDocument/2006/relationships/hyperlink" Target="mailto:mbayusb94@gmail.com" TargetMode="External"/><Relationship Id="rId34" Type="http://schemas.openxmlformats.org/officeDocument/2006/relationships/hyperlink" Target="mailto:ditalesta@gmail.com" TargetMode="External"/><Relationship Id="rId50" Type="http://schemas.openxmlformats.org/officeDocument/2006/relationships/hyperlink" Target="mailto:achahisyam@gmail.com" TargetMode="External"/><Relationship Id="rId55" Type="http://schemas.openxmlformats.org/officeDocument/2006/relationships/hyperlink" Target="mailto:sarinugra@gmail.com" TargetMode="External"/><Relationship Id="rId7" Type="http://schemas.openxmlformats.org/officeDocument/2006/relationships/hyperlink" Target="mailto:rida.millati29@gmail.com" TargetMode="External"/><Relationship Id="rId71" Type="http://schemas.openxmlformats.org/officeDocument/2006/relationships/hyperlink" Target="mailto:vvionna12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7"/>
  <sheetViews>
    <sheetView showGridLines="0" topLeftCell="A3" zoomScale="85" zoomScaleNormal="85" zoomScaleSheetLayoutView="70" workbookViewId="0">
      <pane xSplit="3" ySplit="5" topLeftCell="D8" activePane="bottomRight" state="frozen"/>
      <selection activeCell="A3" sqref="A3"/>
      <selection pane="topRight" activeCell="F3" sqref="F3"/>
      <selection pane="bottomLeft" activeCell="A8" sqref="A8"/>
      <selection pane="bottomRight" activeCell="C48" sqref="C48"/>
    </sheetView>
  </sheetViews>
  <sheetFormatPr defaultColWidth="9.140625" defaultRowHeight="15.75"/>
  <cols>
    <col min="1" max="1" width="5.7109375" style="2" customWidth="1"/>
    <col min="2" max="2" width="16" style="3" customWidth="1"/>
    <col min="3" max="3" width="26.7109375" style="4" customWidth="1"/>
    <col min="4" max="4" width="22.28515625" style="12" customWidth="1"/>
    <col min="5" max="5" width="15.42578125" style="2" customWidth="1"/>
    <col min="6" max="6" width="20" style="2" customWidth="1"/>
    <col min="7" max="7" width="7.42578125" style="2" bestFit="1" customWidth="1"/>
    <col min="8" max="8" width="6.85546875" style="7" bestFit="1" customWidth="1"/>
    <col min="9" max="9" width="14.28515625" style="7" hidden="1" customWidth="1"/>
    <col min="10" max="10" width="7.42578125" style="7" hidden="1" customWidth="1"/>
    <col min="11" max="11" width="11.28515625" style="7" customWidth="1"/>
    <col min="12" max="12" width="13.42578125" style="8" customWidth="1"/>
    <col min="13" max="13" width="14.42578125" style="3" customWidth="1"/>
    <col min="14" max="14" width="11.42578125" style="2" customWidth="1"/>
    <col min="15" max="15" width="7.42578125" style="2" bestFit="1" customWidth="1"/>
    <col min="16" max="16" width="6.85546875" style="9" bestFit="1" customWidth="1"/>
    <col min="17" max="17" width="12.28515625" style="2" bestFit="1" customWidth="1"/>
    <col min="18" max="18" width="30.7109375" style="3" bestFit="1" customWidth="1"/>
    <col min="19" max="19" width="12.7109375" style="2" customWidth="1"/>
    <col min="20" max="20" width="14.7109375" style="10" customWidth="1"/>
    <col min="21" max="21" width="31.28515625" style="13" bestFit="1" customWidth="1"/>
    <col min="22" max="22" width="10.28515625" style="12" bestFit="1" customWidth="1"/>
    <col min="23" max="23" width="33.85546875" style="13" bestFit="1" customWidth="1"/>
    <col min="24" max="24" width="13.7109375" style="2" customWidth="1"/>
    <col min="25" max="25" width="6.7109375" style="12" bestFit="1" customWidth="1"/>
    <col min="26" max="26" width="19.140625" style="14" bestFit="1" customWidth="1"/>
    <col min="27" max="27" width="9.85546875" style="12" bestFit="1" customWidth="1"/>
    <col min="28" max="28" width="6.7109375" style="12" bestFit="1" customWidth="1"/>
    <col min="29" max="29" width="9.7109375" style="6" hidden="1" customWidth="1"/>
    <col min="30" max="30" width="13.7109375" style="12" hidden="1" customWidth="1"/>
    <col min="31" max="31" width="16.7109375" style="9" hidden="1" customWidth="1"/>
    <col min="32" max="32" width="22" style="6" bestFit="1" customWidth="1"/>
    <col min="33" max="33" width="63.42578125" style="14" bestFit="1" customWidth="1"/>
    <col min="34" max="34" width="63.42578125" style="2" bestFit="1" customWidth="1"/>
    <col min="35" max="35" width="32" style="15" hidden="1" customWidth="1"/>
    <col min="36" max="36" width="26.140625" style="2" hidden="1" customWidth="1"/>
    <col min="37" max="37" width="23.7109375" style="2" bestFit="1" customWidth="1"/>
    <col min="38" max="38" width="27.85546875" style="2" bestFit="1" customWidth="1"/>
    <col min="39" max="39" width="29.42578125" style="3" customWidth="1"/>
    <col min="40" max="40" width="22.7109375" style="3" customWidth="1"/>
    <col min="41" max="41" width="12.85546875" style="3" customWidth="1"/>
    <col min="42" max="42" width="29.7109375" style="3" bestFit="1" customWidth="1"/>
    <col min="43" max="43" width="38.85546875" style="18" bestFit="1" customWidth="1"/>
    <col min="44" max="16384" width="9.140625" style="17"/>
  </cols>
  <sheetData>
    <row r="1" spans="1:43" ht="23.25">
      <c r="A1" s="1" t="s">
        <v>0</v>
      </c>
      <c r="D1" s="5"/>
      <c r="U1" s="11"/>
      <c r="AJ1" s="16"/>
      <c r="AK1" s="16"/>
    </row>
    <row r="2" spans="1:43" ht="23.25">
      <c r="A2" s="1"/>
      <c r="D2" s="5"/>
      <c r="U2" s="11"/>
      <c r="AJ2" s="16"/>
      <c r="AK2" s="16"/>
    </row>
    <row r="3" spans="1:43" s="31" customFormat="1" ht="21">
      <c r="A3" s="714">
        <f ca="1">+NOW()</f>
        <v>44202.498721064818</v>
      </c>
      <c r="B3" s="714"/>
      <c r="C3" s="714"/>
      <c r="D3" s="20"/>
      <c r="E3" s="21"/>
      <c r="F3" s="21"/>
      <c r="G3" s="21"/>
      <c r="H3" s="23"/>
      <c r="I3" s="23"/>
      <c r="J3" s="23"/>
      <c r="K3" s="23"/>
      <c r="L3" s="24"/>
      <c r="M3" s="78"/>
      <c r="N3" s="21"/>
      <c r="O3" s="21"/>
      <c r="P3" s="25"/>
      <c r="Q3" s="21"/>
      <c r="R3" s="78"/>
      <c r="S3" s="21"/>
      <c r="T3" s="26"/>
      <c r="U3" s="27"/>
      <c r="V3" s="20"/>
      <c r="W3" s="27"/>
      <c r="X3" s="21"/>
      <c r="Y3" s="20"/>
      <c r="Z3" s="28"/>
      <c r="AA3" s="20"/>
      <c r="AB3" s="20"/>
      <c r="AC3" s="22"/>
      <c r="AD3" s="20"/>
      <c r="AE3" s="25"/>
      <c r="AF3" s="22"/>
      <c r="AG3" s="28"/>
      <c r="AH3" s="21"/>
      <c r="AI3" s="30"/>
      <c r="AJ3" s="21"/>
      <c r="AK3" s="21"/>
      <c r="AL3" s="21"/>
      <c r="AM3" s="78"/>
      <c r="AN3" s="78"/>
      <c r="AO3" s="78"/>
      <c r="AP3" s="78"/>
      <c r="AQ3" s="32"/>
    </row>
    <row r="4" spans="1:43" s="31" customFormat="1">
      <c r="A4" s="28"/>
      <c r="B4" s="76"/>
      <c r="C4" s="19"/>
      <c r="D4" s="20"/>
      <c r="E4" s="21"/>
      <c r="F4" s="21"/>
      <c r="G4" s="21"/>
      <c r="H4" s="23"/>
      <c r="I4" s="23"/>
      <c r="J4" s="23"/>
      <c r="K4" s="23"/>
      <c r="L4" s="24"/>
      <c r="M4" s="78"/>
      <c r="N4" s="21"/>
      <c r="O4" s="21"/>
      <c r="P4" s="25"/>
      <c r="Q4" s="21"/>
      <c r="R4" s="78"/>
      <c r="S4" s="21"/>
      <c r="T4" s="29"/>
      <c r="U4" s="27"/>
      <c r="V4" s="20"/>
      <c r="W4" s="27"/>
      <c r="X4" s="21"/>
      <c r="Y4" s="20"/>
      <c r="Z4" s="28"/>
      <c r="AA4" s="20"/>
      <c r="AB4" s="20"/>
      <c r="AC4" s="22"/>
      <c r="AD4" s="20"/>
      <c r="AE4" s="25"/>
      <c r="AF4" s="22"/>
      <c r="AG4" s="28"/>
      <c r="AH4" s="21"/>
      <c r="AI4" s="30"/>
      <c r="AJ4" s="21"/>
      <c r="AK4" s="21"/>
      <c r="AL4" s="21"/>
      <c r="AM4" s="78"/>
      <c r="AN4" s="78"/>
      <c r="AO4" s="78"/>
      <c r="AP4" s="78"/>
      <c r="AQ4" s="32"/>
    </row>
    <row r="5" spans="1:43" s="33" customFormat="1" ht="39" customHeight="1">
      <c r="A5" s="715" t="s">
        <v>1</v>
      </c>
      <c r="B5" s="724" t="s">
        <v>2</v>
      </c>
      <c r="C5" s="697" t="s">
        <v>110</v>
      </c>
      <c r="D5" s="724" t="s">
        <v>3</v>
      </c>
      <c r="E5" s="705" t="s">
        <v>260</v>
      </c>
      <c r="F5" s="725" t="s">
        <v>261</v>
      </c>
      <c r="G5" s="717" t="s">
        <v>4</v>
      </c>
      <c r="H5" s="717"/>
      <c r="I5" s="694"/>
      <c r="J5" s="696"/>
      <c r="K5" s="705" t="s">
        <v>222</v>
      </c>
      <c r="L5" s="715" t="s">
        <v>109</v>
      </c>
      <c r="M5" s="717" t="s">
        <v>393</v>
      </c>
      <c r="N5" s="722" t="s">
        <v>5</v>
      </c>
      <c r="O5" s="715" t="s">
        <v>6</v>
      </c>
      <c r="P5" s="718"/>
      <c r="Q5" s="694" t="s">
        <v>111</v>
      </c>
      <c r="R5" s="695"/>
      <c r="S5" s="705" t="s">
        <v>225</v>
      </c>
      <c r="T5" s="705" t="s">
        <v>38</v>
      </c>
      <c r="U5" s="708" t="s">
        <v>7</v>
      </c>
      <c r="V5" s="710"/>
      <c r="W5" s="708" t="s">
        <v>8</v>
      </c>
      <c r="X5" s="709"/>
      <c r="Y5" s="709"/>
      <c r="Z5" s="708" t="s">
        <v>9</v>
      </c>
      <c r="AA5" s="709"/>
      <c r="AB5" s="710"/>
      <c r="AC5" s="708" t="s">
        <v>10</v>
      </c>
      <c r="AD5" s="709"/>
      <c r="AE5" s="710"/>
      <c r="AF5" s="694" t="s">
        <v>11</v>
      </c>
      <c r="AG5" s="696"/>
      <c r="AH5" s="692" t="s">
        <v>12</v>
      </c>
      <c r="AI5" s="705" t="s">
        <v>30</v>
      </c>
      <c r="AJ5" s="705" t="s">
        <v>31</v>
      </c>
      <c r="AK5" s="705" t="s">
        <v>77</v>
      </c>
      <c r="AL5" s="700" t="s">
        <v>32</v>
      </c>
      <c r="AM5" s="694" t="s">
        <v>13</v>
      </c>
      <c r="AN5" s="695"/>
      <c r="AO5" s="695"/>
      <c r="AP5" s="696"/>
      <c r="AQ5" s="691" t="s">
        <v>14</v>
      </c>
    </row>
    <row r="6" spans="1:43" s="33" customFormat="1" ht="15.75" customHeight="1">
      <c r="A6" s="716"/>
      <c r="B6" s="692"/>
      <c r="C6" s="699"/>
      <c r="D6" s="692"/>
      <c r="E6" s="706"/>
      <c r="F6" s="726"/>
      <c r="G6" s="721">
        <f ca="1">+NOW()</f>
        <v>44202.498721064818</v>
      </c>
      <c r="H6" s="721"/>
      <c r="I6" s="692" t="s">
        <v>15</v>
      </c>
      <c r="J6" s="692" t="s">
        <v>16</v>
      </c>
      <c r="K6" s="706"/>
      <c r="L6" s="716"/>
      <c r="M6" s="717"/>
      <c r="N6" s="723"/>
      <c r="O6" s="719"/>
      <c r="P6" s="720"/>
      <c r="Q6" s="692" t="s">
        <v>17</v>
      </c>
      <c r="R6" s="692" t="s">
        <v>18</v>
      </c>
      <c r="S6" s="706"/>
      <c r="T6" s="706"/>
      <c r="U6" s="692" t="s">
        <v>19</v>
      </c>
      <c r="V6" s="711" t="s">
        <v>20</v>
      </c>
      <c r="W6" s="692" t="s">
        <v>19</v>
      </c>
      <c r="X6" s="711" t="s">
        <v>20</v>
      </c>
      <c r="Y6" s="711" t="s">
        <v>6</v>
      </c>
      <c r="Z6" s="692" t="s">
        <v>19</v>
      </c>
      <c r="AA6" s="692" t="s">
        <v>20</v>
      </c>
      <c r="AB6" s="711" t="s">
        <v>6</v>
      </c>
      <c r="AC6" s="692" t="s">
        <v>19</v>
      </c>
      <c r="AD6" s="711" t="s">
        <v>20</v>
      </c>
      <c r="AE6" s="692" t="s">
        <v>17</v>
      </c>
      <c r="AF6" s="700" t="s">
        <v>21</v>
      </c>
      <c r="AG6" s="702" t="s">
        <v>22</v>
      </c>
      <c r="AH6" s="693"/>
      <c r="AI6" s="706"/>
      <c r="AJ6" s="706"/>
      <c r="AK6" s="706"/>
      <c r="AL6" s="701"/>
      <c r="AM6" s="697" t="s">
        <v>23</v>
      </c>
      <c r="AN6" s="697" t="s">
        <v>24</v>
      </c>
      <c r="AO6" s="692" t="s">
        <v>25</v>
      </c>
      <c r="AP6" s="692" t="s">
        <v>26</v>
      </c>
      <c r="AQ6" s="691"/>
    </row>
    <row r="7" spans="1:43" s="33" customFormat="1" ht="19.5" customHeight="1">
      <c r="A7" s="719"/>
      <c r="B7" s="692"/>
      <c r="C7" s="699"/>
      <c r="D7" s="692"/>
      <c r="E7" s="706"/>
      <c r="F7" s="726"/>
      <c r="G7" s="79" t="s">
        <v>27</v>
      </c>
      <c r="H7" s="79" t="s">
        <v>28</v>
      </c>
      <c r="I7" s="693"/>
      <c r="J7" s="693"/>
      <c r="K7" s="706"/>
      <c r="L7" s="716"/>
      <c r="M7" s="705"/>
      <c r="N7" s="80">
        <f ca="1">+NOW()</f>
        <v>44202.498721064818</v>
      </c>
      <c r="O7" s="80" t="s">
        <v>27</v>
      </c>
      <c r="P7" s="81" t="s">
        <v>28</v>
      </c>
      <c r="Q7" s="693"/>
      <c r="R7" s="693"/>
      <c r="S7" s="707"/>
      <c r="T7" s="706"/>
      <c r="U7" s="704"/>
      <c r="V7" s="712"/>
      <c r="W7" s="704"/>
      <c r="X7" s="712"/>
      <c r="Y7" s="713"/>
      <c r="Z7" s="704"/>
      <c r="AA7" s="693"/>
      <c r="AB7" s="713"/>
      <c r="AC7" s="693"/>
      <c r="AD7" s="712"/>
      <c r="AE7" s="693"/>
      <c r="AF7" s="701"/>
      <c r="AG7" s="703"/>
      <c r="AH7" s="693"/>
      <c r="AI7" s="707"/>
      <c r="AJ7" s="707"/>
      <c r="AK7" s="707"/>
      <c r="AL7" s="701"/>
      <c r="AM7" s="698"/>
      <c r="AN7" s="699"/>
      <c r="AO7" s="693"/>
      <c r="AP7" s="693"/>
      <c r="AQ7" s="691"/>
    </row>
    <row r="8" spans="1:43" s="18" customFormat="1" ht="18.75" customHeight="1">
      <c r="A8" s="689" t="s">
        <v>29</v>
      </c>
      <c r="B8" s="690"/>
      <c r="C8" s="34"/>
      <c r="D8" s="34"/>
      <c r="E8" s="34"/>
      <c r="F8" s="34"/>
      <c r="G8" s="34"/>
      <c r="H8" s="34"/>
      <c r="I8" s="34"/>
      <c r="J8" s="34"/>
      <c r="K8" s="34"/>
      <c r="L8" s="34"/>
      <c r="M8" s="35"/>
      <c r="N8" s="34"/>
      <c r="O8" s="34"/>
      <c r="P8" s="34"/>
      <c r="Q8" s="34"/>
      <c r="R8" s="35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5"/>
      <c r="AK8" s="35"/>
      <c r="AL8" s="35"/>
      <c r="AM8" s="35"/>
      <c r="AN8" s="35"/>
      <c r="AO8" s="35"/>
      <c r="AP8" s="35"/>
      <c r="AQ8" s="35"/>
    </row>
    <row r="9" spans="1:43" s="18" customFormat="1" ht="18.75" customHeight="1">
      <c r="A9" s="36"/>
      <c r="B9" s="36"/>
      <c r="C9" s="53" t="s">
        <v>116</v>
      </c>
      <c r="D9" s="37" t="s">
        <v>55</v>
      </c>
      <c r="E9" s="39"/>
      <c r="F9" s="40"/>
      <c r="G9" s="41"/>
      <c r="H9" s="41"/>
      <c r="I9" s="43"/>
      <c r="J9" s="43"/>
      <c r="K9" s="38" t="s">
        <v>76</v>
      </c>
      <c r="L9" s="38" t="s">
        <v>36</v>
      </c>
      <c r="M9" s="38" t="s">
        <v>129</v>
      </c>
      <c r="N9" s="40">
        <v>33521</v>
      </c>
      <c r="O9" s="77">
        <f ca="1">DATEDIF(N9,$A$3,"Y")</f>
        <v>29</v>
      </c>
      <c r="P9" s="77">
        <f ca="1">DATEDIF(N9,$A$3,"YM")</f>
        <v>2</v>
      </c>
      <c r="Q9" s="36"/>
      <c r="R9" s="36"/>
      <c r="S9" s="38"/>
      <c r="T9" s="38" t="s">
        <v>45</v>
      </c>
      <c r="U9" s="53" t="s">
        <v>33</v>
      </c>
      <c r="V9" s="40">
        <v>32632</v>
      </c>
      <c r="W9" s="44" t="s">
        <v>131</v>
      </c>
      <c r="X9" s="42">
        <v>41559</v>
      </c>
      <c r="Y9" s="77">
        <f t="shared" ref="Y9" ca="1" si="0">DATEDIF(X9,$A$3,"Y")</f>
        <v>7</v>
      </c>
      <c r="Z9" s="46"/>
      <c r="AA9" s="46"/>
      <c r="AB9" s="77"/>
      <c r="AC9" s="46"/>
      <c r="AD9" s="46"/>
      <c r="AE9" s="46"/>
      <c r="AF9" s="47"/>
      <c r="AG9" s="44"/>
      <c r="AH9" s="44" t="s">
        <v>392</v>
      </c>
      <c r="AI9" s="44"/>
      <c r="AJ9" s="36"/>
      <c r="AK9" s="36"/>
      <c r="AL9" s="47"/>
      <c r="AM9" s="47"/>
      <c r="AN9" s="83"/>
      <c r="AO9" s="36"/>
      <c r="AP9" s="36"/>
      <c r="AQ9" s="49"/>
    </row>
    <row r="10" spans="1:43" s="18" customFormat="1" ht="18.75" customHeight="1">
      <c r="A10" s="36"/>
      <c r="B10" s="45"/>
      <c r="C10" s="53" t="s">
        <v>33</v>
      </c>
      <c r="D10" s="37" t="s">
        <v>34</v>
      </c>
      <c r="E10" s="39"/>
      <c r="F10" s="40"/>
      <c r="G10" s="41"/>
      <c r="H10" s="41"/>
      <c r="I10" s="42"/>
      <c r="J10" s="42"/>
      <c r="K10" s="38" t="s">
        <v>35</v>
      </c>
      <c r="L10" s="38" t="s">
        <v>36</v>
      </c>
      <c r="M10" s="38" t="s">
        <v>37</v>
      </c>
      <c r="N10" s="40">
        <v>32632</v>
      </c>
      <c r="O10" s="77">
        <f ca="1">DATEDIF(N10,$A$3,"Y")</f>
        <v>31</v>
      </c>
      <c r="P10" s="77">
        <f t="shared" ref="P10" ca="1" si="1">DATEDIF(N10,$A$3,"YM")</f>
        <v>8</v>
      </c>
      <c r="Q10" s="36"/>
      <c r="R10" s="36"/>
      <c r="S10" s="38"/>
      <c r="T10" s="38" t="s">
        <v>45</v>
      </c>
      <c r="U10" s="53" t="s">
        <v>116</v>
      </c>
      <c r="V10" s="40">
        <v>33521</v>
      </c>
      <c r="W10" s="44" t="s">
        <v>131</v>
      </c>
      <c r="X10" s="42">
        <v>41559</v>
      </c>
      <c r="Y10" s="77">
        <f ca="1">DATEDIF(X10,$A$3,"Y")</f>
        <v>7</v>
      </c>
      <c r="Z10" s="46"/>
      <c r="AA10" s="48"/>
      <c r="AB10" s="77"/>
      <c r="AC10" s="46"/>
      <c r="AD10" s="42"/>
      <c r="AE10" s="36"/>
      <c r="AF10" s="47" t="s">
        <v>117</v>
      </c>
      <c r="AG10" s="44" t="s">
        <v>118</v>
      </c>
      <c r="AH10" s="44" t="s">
        <v>392</v>
      </c>
      <c r="AI10" s="44"/>
      <c r="AJ10" s="36"/>
      <c r="AK10" s="36" t="s">
        <v>119</v>
      </c>
      <c r="AL10" s="47" t="s">
        <v>120</v>
      </c>
      <c r="AM10" s="47"/>
      <c r="AN10" s="83"/>
      <c r="AO10" s="36"/>
      <c r="AP10" s="36"/>
      <c r="AQ10" s="49"/>
    </row>
    <row r="11" spans="1:43" s="18" customFormat="1" ht="18.75" customHeight="1">
      <c r="A11" s="689" t="s">
        <v>54</v>
      </c>
      <c r="B11" s="690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5"/>
      <c r="N11" s="34"/>
      <c r="O11" s="34"/>
      <c r="P11" s="34"/>
      <c r="Q11" s="34"/>
      <c r="R11" s="35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5"/>
      <c r="AK11" s="35"/>
      <c r="AL11" s="35"/>
      <c r="AM11" s="35"/>
      <c r="AN11" s="35"/>
      <c r="AO11" s="35"/>
      <c r="AP11" s="35"/>
      <c r="AQ11" s="50"/>
    </row>
    <row r="12" spans="1:43" s="65" customFormat="1" ht="18.75" customHeight="1">
      <c r="A12" s="51">
        <v>1</v>
      </c>
      <c r="B12" s="51" t="s">
        <v>310</v>
      </c>
      <c r="C12" s="53" t="s">
        <v>74</v>
      </c>
      <c r="D12" s="54" t="s">
        <v>440</v>
      </c>
      <c r="E12" s="55" t="s">
        <v>344</v>
      </c>
      <c r="F12" s="56">
        <v>43202</v>
      </c>
      <c r="G12" s="57">
        <f ca="1">DATEDIF(F12,$A$3,"Y")</f>
        <v>2</v>
      </c>
      <c r="H12" s="57">
        <f ca="1">DATEDIF(F12,$A$3,"YM")</f>
        <v>8</v>
      </c>
      <c r="I12" s="58"/>
      <c r="J12" s="58"/>
      <c r="K12" s="55" t="s">
        <v>76</v>
      </c>
      <c r="L12" s="55" t="s">
        <v>36</v>
      </c>
      <c r="M12" s="55" t="s">
        <v>41</v>
      </c>
      <c r="N12" s="56">
        <v>33622</v>
      </c>
      <c r="O12" s="77">
        <f t="shared" ref="O12:O16" ca="1" si="2">DATEDIF(N12,$A$3,"Y")</f>
        <v>28</v>
      </c>
      <c r="P12" s="77">
        <f ca="1">DATEDIF(N12,$A$3,"YM")</f>
        <v>11</v>
      </c>
      <c r="Q12" s="51" t="s">
        <v>68</v>
      </c>
      <c r="R12" s="51" t="s">
        <v>121</v>
      </c>
      <c r="S12" s="55" t="s">
        <v>105</v>
      </c>
      <c r="T12" s="55" t="s">
        <v>45</v>
      </c>
      <c r="U12" s="60" t="s">
        <v>126</v>
      </c>
      <c r="V12" s="58">
        <v>32043</v>
      </c>
      <c r="W12" s="60" t="s">
        <v>127</v>
      </c>
      <c r="X12" s="58">
        <v>40734</v>
      </c>
      <c r="Y12" s="77">
        <f t="shared" ref="Y12" ca="1" si="3">DATEDIF(X12,$A$3,"Y")</f>
        <v>9</v>
      </c>
      <c r="Z12" s="60"/>
      <c r="AA12" s="61"/>
      <c r="AB12" s="77"/>
      <c r="AC12" s="62"/>
      <c r="AD12" s="58"/>
      <c r="AE12" s="51"/>
      <c r="AF12" s="63" t="s">
        <v>128</v>
      </c>
      <c r="AG12" s="60" t="s">
        <v>75</v>
      </c>
      <c r="AH12" s="60" t="s">
        <v>122</v>
      </c>
      <c r="AI12" s="60"/>
      <c r="AJ12" s="51"/>
      <c r="AK12" s="51" t="s">
        <v>48</v>
      </c>
      <c r="AL12" s="63" t="s">
        <v>123</v>
      </c>
      <c r="AM12" s="63" t="s">
        <v>74</v>
      </c>
      <c r="AN12" s="63" t="s">
        <v>124</v>
      </c>
      <c r="AO12" s="51" t="s">
        <v>64</v>
      </c>
      <c r="AP12" s="55" t="s">
        <v>95</v>
      </c>
      <c r="AQ12" s="86" t="s">
        <v>125</v>
      </c>
    </row>
    <row r="13" spans="1:43" s="65" customFormat="1" ht="18" customHeight="1">
      <c r="A13" s="51">
        <f>A12+1</f>
        <v>2</v>
      </c>
      <c r="B13" s="51" t="s">
        <v>311</v>
      </c>
      <c r="C13" s="53" t="s">
        <v>39</v>
      </c>
      <c r="D13" s="54" t="s">
        <v>439</v>
      </c>
      <c r="E13" s="55" t="s">
        <v>344</v>
      </c>
      <c r="F13" s="56">
        <v>43202</v>
      </c>
      <c r="G13" s="57">
        <f t="shared" ref="G13:G48" ca="1" si="4">DATEDIF(F13,$A$3,"Y")</f>
        <v>2</v>
      </c>
      <c r="H13" s="57">
        <f t="shared" ref="H13:H23" ca="1" si="5">DATEDIF(F13,$A$3,"YM")</f>
        <v>8</v>
      </c>
      <c r="I13" s="58"/>
      <c r="J13" s="58"/>
      <c r="K13" s="55" t="s">
        <v>35</v>
      </c>
      <c r="L13" s="55" t="s">
        <v>36</v>
      </c>
      <c r="M13" s="55" t="s">
        <v>41</v>
      </c>
      <c r="N13" s="56">
        <v>32362</v>
      </c>
      <c r="O13" s="77">
        <f t="shared" ca="1" si="2"/>
        <v>32</v>
      </c>
      <c r="P13" s="77">
        <f ca="1">DATEDIF(N13,$A$3,"YM")</f>
        <v>4</v>
      </c>
      <c r="Q13" s="51" t="s">
        <v>394</v>
      </c>
      <c r="R13" s="51" t="s">
        <v>395</v>
      </c>
      <c r="S13" s="55" t="s">
        <v>44</v>
      </c>
      <c r="T13" s="55" t="s">
        <v>45</v>
      </c>
      <c r="U13" s="67" t="s">
        <v>46</v>
      </c>
      <c r="V13" s="66">
        <v>32188</v>
      </c>
      <c r="W13" s="67" t="s">
        <v>47</v>
      </c>
      <c r="X13" s="66">
        <v>42531</v>
      </c>
      <c r="Y13" s="77">
        <f ca="1">DATEDIF(X13,$A$3,"Y")</f>
        <v>4</v>
      </c>
      <c r="Z13" s="67"/>
      <c r="AA13" s="66"/>
      <c r="AB13" s="77"/>
      <c r="AC13" s="66"/>
      <c r="AD13" s="66"/>
      <c r="AE13" s="66"/>
      <c r="AF13" s="63" t="s">
        <v>49</v>
      </c>
      <c r="AG13" s="60" t="s">
        <v>50</v>
      </c>
      <c r="AH13" s="60" t="s">
        <v>51</v>
      </c>
      <c r="AI13" s="60"/>
      <c r="AJ13" s="51"/>
      <c r="AK13" s="51" t="s">
        <v>86</v>
      </c>
      <c r="AL13" s="63" t="s">
        <v>52</v>
      </c>
      <c r="AM13" s="63" t="s">
        <v>39</v>
      </c>
      <c r="AN13" s="104" t="s">
        <v>359</v>
      </c>
      <c r="AO13" s="51" t="s">
        <v>64</v>
      </c>
      <c r="AP13" s="55" t="s">
        <v>95</v>
      </c>
      <c r="AQ13" s="86" t="s">
        <v>53</v>
      </c>
    </row>
    <row r="14" spans="1:43" s="65" customFormat="1" ht="18.75" customHeight="1">
      <c r="A14" s="51">
        <f>A13+1</f>
        <v>3</v>
      </c>
      <c r="B14" s="51" t="s">
        <v>312</v>
      </c>
      <c r="C14" s="53" t="s">
        <v>97</v>
      </c>
      <c r="D14" s="54" t="s">
        <v>441</v>
      </c>
      <c r="E14" s="55" t="s">
        <v>344</v>
      </c>
      <c r="F14" s="56">
        <v>43202</v>
      </c>
      <c r="G14" s="57">
        <f t="shared" ca="1" si="4"/>
        <v>2</v>
      </c>
      <c r="H14" s="57">
        <f t="shared" ca="1" si="5"/>
        <v>8</v>
      </c>
      <c r="I14" s="58"/>
      <c r="J14" s="58"/>
      <c r="K14" s="55" t="s">
        <v>35</v>
      </c>
      <c r="L14" s="55" t="s">
        <v>36</v>
      </c>
      <c r="M14" s="55" t="s">
        <v>41</v>
      </c>
      <c r="N14" s="56">
        <v>33885</v>
      </c>
      <c r="O14" s="77">
        <f t="shared" ca="1" si="2"/>
        <v>28</v>
      </c>
      <c r="P14" s="77">
        <f t="shared" ref="P14:P16" ca="1" si="6">DATEDIF(N14,$A$3,"YM")</f>
        <v>2</v>
      </c>
      <c r="Q14" s="51" t="s">
        <v>57</v>
      </c>
      <c r="R14" s="51" t="s">
        <v>58</v>
      </c>
      <c r="S14" s="55" t="s">
        <v>44</v>
      </c>
      <c r="T14" s="55" t="s">
        <v>59</v>
      </c>
      <c r="U14" s="69"/>
      <c r="V14" s="66"/>
      <c r="W14" s="69"/>
      <c r="X14" s="66"/>
      <c r="Y14" s="57"/>
      <c r="Z14" s="66"/>
      <c r="AA14" s="66"/>
      <c r="AB14" s="57"/>
      <c r="AC14" s="66"/>
      <c r="AD14" s="66"/>
      <c r="AE14" s="66"/>
      <c r="AF14" s="70" t="s">
        <v>79</v>
      </c>
      <c r="AG14" s="60" t="s">
        <v>60</v>
      </c>
      <c r="AH14" s="60" t="s">
        <v>60</v>
      </c>
      <c r="AI14" s="60"/>
      <c r="AJ14" s="51"/>
      <c r="AK14" s="51" t="s">
        <v>78</v>
      </c>
      <c r="AL14" s="70" t="s">
        <v>61</v>
      </c>
      <c r="AM14" s="63" t="s">
        <v>62</v>
      </c>
      <c r="AN14" s="70" t="s">
        <v>63</v>
      </c>
      <c r="AO14" s="51" t="s">
        <v>64</v>
      </c>
      <c r="AP14" s="55" t="s">
        <v>95</v>
      </c>
      <c r="AQ14" s="87" t="s">
        <v>65</v>
      </c>
    </row>
    <row r="15" spans="1:43" s="65" customFormat="1" ht="18.75" customHeight="1">
      <c r="A15" s="51">
        <f t="shared" ref="A15:A18" si="7">A14+1</f>
        <v>4</v>
      </c>
      <c r="B15" s="51" t="s">
        <v>411</v>
      </c>
      <c r="C15" s="113" t="s">
        <v>398</v>
      </c>
      <c r="D15" s="54" t="s">
        <v>441</v>
      </c>
      <c r="E15" s="55" t="s">
        <v>344</v>
      </c>
      <c r="F15" s="56">
        <v>43340</v>
      </c>
      <c r="G15" s="57">
        <f t="shared" ref="G15" ca="1" si="8">DATEDIF(F15,$A$3,"Y")</f>
        <v>2</v>
      </c>
      <c r="H15" s="57">
        <f t="shared" ref="H15" ca="1" si="9">DATEDIF(F15,$A$3,"YM")</f>
        <v>4</v>
      </c>
      <c r="I15" s="58"/>
      <c r="J15" s="58"/>
      <c r="K15" s="55" t="s">
        <v>76</v>
      </c>
      <c r="L15" s="55" t="s">
        <v>36</v>
      </c>
      <c r="M15" s="55" t="s">
        <v>41</v>
      </c>
      <c r="N15" s="56">
        <v>34553</v>
      </c>
      <c r="O15" s="77">
        <f t="shared" ca="1" si="2"/>
        <v>26</v>
      </c>
      <c r="P15" s="77">
        <f t="shared" ref="P15" ca="1" si="10">DATEDIF(N15,$A$3,"YM")</f>
        <v>4</v>
      </c>
      <c r="Q15" s="51" t="s">
        <v>57</v>
      </c>
      <c r="R15" s="51" t="s">
        <v>397</v>
      </c>
      <c r="S15" s="55" t="s">
        <v>48</v>
      </c>
      <c r="T15" s="55" t="s">
        <v>192</v>
      </c>
      <c r="U15" s="69"/>
      <c r="V15" s="66"/>
      <c r="W15" s="69" t="s">
        <v>405</v>
      </c>
      <c r="X15" s="66">
        <v>42598</v>
      </c>
      <c r="Y15" s="77">
        <f ca="1">DATEDIF(X15,$A$3,"Y")</f>
        <v>4</v>
      </c>
      <c r="Z15" s="66"/>
      <c r="AA15" s="66"/>
      <c r="AB15" s="57"/>
      <c r="AC15" s="66"/>
      <c r="AD15" s="66"/>
      <c r="AE15" s="66"/>
      <c r="AF15" s="114" t="s">
        <v>406</v>
      </c>
      <c r="AG15" s="60" t="s">
        <v>407</v>
      </c>
      <c r="AH15" s="60" t="s">
        <v>407</v>
      </c>
      <c r="AI15" s="60"/>
      <c r="AJ15" s="51"/>
      <c r="AK15" s="51"/>
      <c r="AL15" s="71" t="s">
        <v>408</v>
      </c>
      <c r="AM15" s="74" t="s">
        <v>398</v>
      </c>
      <c r="AN15" s="103" t="s">
        <v>409</v>
      </c>
      <c r="AO15" s="51" t="s">
        <v>64</v>
      </c>
      <c r="AP15" s="55" t="s">
        <v>95</v>
      </c>
      <c r="AQ15" s="87" t="s">
        <v>410</v>
      </c>
    </row>
    <row r="16" spans="1:43" s="65" customFormat="1" ht="18.75" customHeight="1">
      <c r="A16" s="51">
        <f t="shared" si="7"/>
        <v>5</v>
      </c>
      <c r="B16" s="51" t="s">
        <v>428</v>
      </c>
      <c r="C16" s="53" t="s">
        <v>396</v>
      </c>
      <c r="D16" s="54" t="s">
        <v>441</v>
      </c>
      <c r="E16" s="55" t="s">
        <v>344</v>
      </c>
      <c r="F16" s="56">
        <v>43407</v>
      </c>
      <c r="G16" s="57">
        <f t="shared" ref="G16" ca="1" si="11">DATEDIF(F16,$A$3,"Y")</f>
        <v>2</v>
      </c>
      <c r="H16" s="57">
        <f t="shared" ref="H16" ca="1" si="12">DATEDIF(F16,$A$3,"YM")</f>
        <v>2</v>
      </c>
      <c r="I16" s="58"/>
      <c r="J16" s="58"/>
      <c r="K16" s="55" t="s">
        <v>76</v>
      </c>
      <c r="L16" s="55" t="s">
        <v>36</v>
      </c>
      <c r="M16" s="55" t="s">
        <v>399</v>
      </c>
      <c r="N16" s="56">
        <v>34813</v>
      </c>
      <c r="O16" s="77">
        <f t="shared" ca="1" si="2"/>
        <v>25</v>
      </c>
      <c r="P16" s="77">
        <f t="shared" ca="1" si="6"/>
        <v>8</v>
      </c>
      <c r="Q16" s="51" t="s">
        <v>57</v>
      </c>
      <c r="R16" s="51" t="s">
        <v>397</v>
      </c>
      <c r="S16" s="55" t="s">
        <v>48</v>
      </c>
      <c r="T16" s="55" t="s">
        <v>350</v>
      </c>
      <c r="U16" s="69"/>
      <c r="V16" s="66"/>
      <c r="W16" s="69"/>
      <c r="X16" s="66"/>
      <c r="Y16" s="57"/>
      <c r="Z16" s="66"/>
      <c r="AA16" s="66"/>
      <c r="AB16" s="57"/>
      <c r="AC16" s="66"/>
      <c r="AD16" s="66"/>
      <c r="AE16" s="66"/>
      <c r="AF16" s="70" t="s">
        <v>420</v>
      </c>
      <c r="AG16" s="60" t="s">
        <v>421</v>
      </c>
      <c r="AH16" s="60" t="s">
        <v>422</v>
      </c>
      <c r="AI16" s="60"/>
      <c r="AJ16" s="51"/>
      <c r="AK16" s="51"/>
      <c r="AL16" s="70" t="s">
        <v>423</v>
      </c>
      <c r="AM16" s="74" t="s">
        <v>424</v>
      </c>
      <c r="AN16" s="103" t="s">
        <v>425</v>
      </c>
      <c r="AO16" s="51" t="s">
        <v>64</v>
      </c>
      <c r="AP16" s="55" t="s">
        <v>95</v>
      </c>
      <c r="AQ16" s="87" t="s">
        <v>426</v>
      </c>
    </row>
    <row r="17" spans="1:43" s="65" customFormat="1" ht="18.75" customHeight="1">
      <c r="A17" s="51">
        <f t="shared" si="7"/>
        <v>6</v>
      </c>
      <c r="B17" s="52" t="s">
        <v>314</v>
      </c>
      <c r="C17" s="72" t="s">
        <v>88</v>
      </c>
      <c r="D17" s="54" t="s">
        <v>67</v>
      </c>
      <c r="E17" s="55" t="s">
        <v>344</v>
      </c>
      <c r="F17" s="56">
        <v>43202</v>
      </c>
      <c r="G17" s="57">
        <f t="shared" ca="1" si="4"/>
        <v>2</v>
      </c>
      <c r="H17" s="57">
        <f t="shared" ca="1" si="5"/>
        <v>8</v>
      </c>
      <c r="I17" s="58"/>
      <c r="J17" s="58"/>
      <c r="K17" s="55" t="s">
        <v>35</v>
      </c>
      <c r="L17" s="55" t="s">
        <v>36</v>
      </c>
      <c r="M17" s="55" t="s">
        <v>41</v>
      </c>
      <c r="N17" s="56">
        <v>33519</v>
      </c>
      <c r="O17" s="77">
        <f t="shared" ref="O17:O45" ca="1" si="13">DATEDIF(N17,$A$3,"Y")</f>
        <v>29</v>
      </c>
      <c r="P17" s="77">
        <f t="shared" ref="P17:P23" ca="1" si="14">DATEDIF(N17,$A$3,"YM")</f>
        <v>2</v>
      </c>
      <c r="Q17" s="52" t="s">
        <v>57</v>
      </c>
      <c r="R17" s="52" t="s">
        <v>90</v>
      </c>
      <c r="S17" s="55" t="s">
        <v>48</v>
      </c>
      <c r="T17" s="55" t="s">
        <v>59</v>
      </c>
      <c r="U17" s="60"/>
      <c r="V17" s="58"/>
      <c r="W17" s="67"/>
      <c r="X17" s="58"/>
      <c r="Y17" s="57"/>
      <c r="Z17" s="62"/>
      <c r="AA17" s="61"/>
      <c r="AB17" s="57"/>
      <c r="AC17" s="62"/>
      <c r="AD17" s="58"/>
      <c r="AE17" s="51"/>
      <c r="AF17" s="70" t="s">
        <v>91</v>
      </c>
      <c r="AG17" s="60" t="s">
        <v>92</v>
      </c>
      <c r="AH17" s="60" t="s">
        <v>92</v>
      </c>
      <c r="AI17" s="60"/>
      <c r="AJ17" s="51"/>
      <c r="AK17" s="51" t="s">
        <v>48</v>
      </c>
      <c r="AL17" s="63" t="s">
        <v>93</v>
      </c>
      <c r="AM17" s="84" t="s">
        <v>88</v>
      </c>
      <c r="AN17" s="84" t="s">
        <v>94</v>
      </c>
      <c r="AO17" s="55" t="s">
        <v>64</v>
      </c>
      <c r="AP17" s="55" t="s">
        <v>95</v>
      </c>
      <c r="AQ17" s="87" t="s">
        <v>96</v>
      </c>
    </row>
    <row r="18" spans="1:43" s="65" customFormat="1" ht="18.75" customHeight="1">
      <c r="A18" s="51">
        <f t="shared" si="7"/>
        <v>7</v>
      </c>
      <c r="B18" s="52" t="s">
        <v>315</v>
      </c>
      <c r="C18" s="72" t="s">
        <v>98</v>
      </c>
      <c r="D18" s="54" t="s">
        <v>363</v>
      </c>
      <c r="E18" s="55" t="s">
        <v>344</v>
      </c>
      <c r="F18" s="56">
        <v>43202</v>
      </c>
      <c r="G18" s="57">
        <f t="shared" ca="1" si="4"/>
        <v>2</v>
      </c>
      <c r="H18" s="57">
        <f t="shared" ca="1" si="5"/>
        <v>8</v>
      </c>
      <c r="I18" s="58"/>
      <c r="J18" s="58"/>
      <c r="K18" s="55" t="s">
        <v>76</v>
      </c>
      <c r="L18" s="55" t="s">
        <v>36</v>
      </c>
      <c r="M18" s="55" t="s">
        <v>41</v>
      </c>
      <c r="N18" s="56">
        <v>34969</v>
      </c>
      <c r="O18" s="77">
        <f t="shared" ca="1" si="13"/>
        <v>25</v>
      </c>
      <c r="P18" s="77">
        <f t="shared" ca="1" si="14"/>
        <v>3</v>
      </c>
      <c r="Q18" s="52" t="s">
        <v>68</v>
      </c>
      <c r="R18" s="52" t="s">
        <v>69</v>
      </c>
      <c r="S18" s="55" t="s">
        <v>44</v>
      </c>
      <c r="T18" s="55" t="s">
        <v>59</v>
      </c>
      <c r="U18" s="60"/>
      <c r="V18" s="58"/>
      <c r="W18" s="67"/>
      <c r="X18" s="58"/>
      <c r="Y18" s="57"/>
      <c r="Z18" s="62"/>
      <c r="AA18" s="61"/>
      <c r="AB18" s="57"/>
      <c r="AC18" s="62"/>
      <c r="AD18" s="58"/>
      <c r="AE18" s="51"/>
      <c r="AF18" s="70" t="s">
        <v>234</v>
      </c>
      <c r="AG18" s="60" t="s">
        <v>100</v>
      </c>
      <c r="AH18" s="60" t="s">
        <v>100</v>
      </c>
      <c r="AI18" s="60"/>
      <c r="AJ18" s="51"/>
      <c r="AK18" s="51" t="s">
        <v>48</v>
      </c>
      <c r="AL18" s="63" t="s">
        <v>101</v>
      </c>
      <c r="AM18" s="84" t="s">
        <v>98</v>
      </c>
      <c r="AN18" s="84" t="s">
        <v>142</v>
      </c>
      <c r="AO18" s="55" t="s">
        <v>64</v>
      </c>
      <c r="AP18" s="55" t="s">
        <v>95</v>
      </c>
      <c r="AQ18" s="87" t="s">
        <v>102</v>
      </c>
    </row>
    <row r="19" spans="1:43" s="65" customFormat="1" ht="18.75" customHeight="1">
      <c r="A19" s="51">
        <f t="shared" ref="A19:A23" si="15">A18+1</f>
        <v>8</v>
      </c>
      <c r="B19" s="51">
        <v>9918050033</v>
      </c>
      <c r="C19" s="53" t="s">
        <v>362</v>
      </c>
      <c r="D19" s="54" t="s">
        <v>363</v>
      </c>
      <c r="E19" s="55" t="s">
        <v>344</v>
      </c>
      <c r="F19" s="56">
        <v>43222</v>
      </c>
      <c r="G19" s="57">
        <f t="shared" ref="G19" ca="1" si="16">DATEDIF(F19,$A$3,"Y")</f>
        <v>2</v>
      </c>
      <c r="H19" s="57">
        <f t="shared" ref="H19" ca="1" si="17">DATEDIF(F19,$A$3,"YM")</f>
        <v>8</v>
      </c>
      <c r="I19" s="58"/>
      <c r="J19" s="58"/>
      <c r="K19" s="55" t="s">
        <v>76</v>
      </c>
      <c r="L19" s="55" t="s">
        <v>36</v>
      </c>
      <c r="M19" s="55" t="s">
        <v>41</v>
      </c>
      <c r="N19" s="56">
        <v>33553</v>
      </c>
      <c r="O19" s="77">
        <f t="shared" ref="O19" ca="1" si="18">DATEDIF(N19,$A$3,"Y")</f>
        <v>29</v>
      </c>
      <c r="P19" s="117">
        <f t="shared" ca="1" si="14"/>
        <v>1</v>
      </c>
      <c r="Q19" s="51" t="s">
        <v>130</v>
      </c>
      <c r="R19" s="51" t="s">
        <v>371</v>
      </c>
      <c r="S19" s="55" t="s">
        <v>105</v>
      </c>
      <c r="T19" s="55" t="s">
        <v>45</v>
      </c>
      <c r="U19" s="60" t="s">
        <v>372</v>
      </c>
      <c r="V19" s="58">
        <v>33482</v>
      </c>
      <c r="W19" s="60" t="s">
        <v>373</v>
      </c>
      <c r="X19" s="58">
        <v>42846</v>
      </c>
      <c r="Y19" s="77">
        <f ca="1">DATEDIF(X19,$A$3,"Y")</f>
        <v>3</v>
      </c>
      <c r="Z19" s="62"/>
      <c r="AA19" s="71"/>
      <c r="AB19" s="57"/>
      <c r="AC19" s="71"/>
      <c r="AD19" s="71"/>
      <c r="AE19" s="71"/>
      <c r="AF19" s="63" t="s">
        <v>374</v>
      </c>
      <c r="AG19" s="60" t="s">
        <v>375</v>
      </c>
      <c r="AH19" s="60" t="s">
        <v>375</v>
      </c>
      <c r="AI19" s="60"/>
      <c r="AJ19" s="51"/>
      <c r="AK19" s="51" t="s">
        <v>48</v>
      </c>
      <c r="AL19" s="70" t="s">
        <v>376</v>
      </c>
      <c r="AM19" s="63"/>
      <c r="AN19" s="57"/>
      <c r="AO19" s="51" t="s">
        <v>64</v>
      </c>
      <c r="AP19" s="55" t="s">
        <v>95</v>
      </c>
      <c r="AQ19" s="88" t="s">
        <v>48</v>
      </c>
    </row>
    <row r="20" spans="1:43" s="65" customFormat="1" ht="18.75" customHeight="1">
      <c r="A20" s="51">
        <f t="shared" si="15"/>
        <v>9</v>
      </c>
      <c r="B20" s="51" t="s">
        <v>419</v>
      </c>
      <c r="C20" s="113" t="s">
        <v>412</v>
      </c>
      <c r="D20" s="54" t="s">
        <v>99</v>
      </c>
      <c r="E20" s="55" t="s">
        <v>344</v>
      </c>
      <c r="F20" s="56">
        <v>43362</v>
      </c>
      <c r="G20" s="57">
        <f t="shared" ca="1" si="4"/>
        <v>2</v>
      </c>
      <c r="H20" s="57">
        <f t="shared" ca="1" si="5"/>
        <v>3</v>
      </c>
      <c r="I20" s="58"/>
      <c r="J20" s="58"/>
      <c r="K20" s="55" t="s">
        <v>76</v>
      </c>
      <c r="L20" s="55" t="s">
        <v>36</v>
      </c>
      <c r="M20" s="55" t="s">
        <v>41</v>
      </c>
      <c r="N20" s="56">
        <v>34925</v>
      </c>
      <c r="O20" s="77">
        <f t="shared" ca="1" si="13"/>
        <v>25</v>
      </c>
      <c r="P20" s="77">
        <f t="shared" ca="1" si="14"/>
        <v>4</v>
      </c>
      <c r="Q20" s="51" t="s">
        <v>130</v>
      </c>
      <c r="R20" s="51" t="s">
        <v>413</v>
      </c>
      <c r="S20" s="55"/>
      <c r="T20" s="55" t="s">
        <v>59</v>
      </c>
      <c r="U20" s="60"/>
      <c r="V20" s="58"/>
      <c r="W20" s="60"/>
      <c r="X20" s="58"/>
      <c r="Y20" s="57"/>
      <c r="Z20" s="62"/>
      <c r="AA20" s="71"/>
      <c r="AB20" s="57"/>
      <c r="AC20" s="71"/>
      <c r="AD20" s="71"/>
      <c r="AE20" s="71"/>
      <c r="AF20" s="63" t="s">
        <v>414</v>
      </c>
      <c r="AG20" s="60" t="s">
        <v>415</v>
      </c>
      <c r="AH20" s="60" t="s">
        <v>415</v>
      </c>
      <c r="AI20" s="60"/>
      <c r="AJ20" s="51"/>
      <c r="AK20" s="51" t="s">
        <v>48</v>
      </c>
      <c r="AL20" s="70" t="s">
        <v>416</v>
      </c>
      <c r="AM20" s="63"/>
      <c r="AN20" s="57"/>
      <c r="AO20" s="51" t="s">
        <v>64</v>
      </c>
      <c r="AP20" s="55"/>
      <c r="AQ20" s="87" t="s">
        <v>417</v>
      </c>
    </row>
    <row r="21" spans="1:43" s="65" customFormat="1" ht="18.75" customHeight="1">
      <c r="A21" s="51">
        <f t="shared" si="15"/>
        <v>10</v>
      </c>
      <c r="B21" s="91">
        <v>9918040031</v>
      </c>
      <c r="C21" s="53" t="s">
        <v>345</v>
      </c>
      <c r="D21" s="54" t="s">
        <v>442</v>
      </c>
      <c r="E21" s="55" t="s">
        <v>344</v>
      </c>
      <c r="F21" s="56">
        <v>43216</v>
      </c>
      <c r="G21" s="57">
        <f t="shared" ca="1" si="4"/>
        <v>2</v>
      </c>
      <c r="H21" s="57">
        <f t="shared" ca="1" si="5"/>
        <v>8</v>
      </c>
      <c r="I21" s="58"/>
      <c r="J21" s="58"/>
      <c r="K21" s="55" t="s">
        <v>35</v>
      </c>
      <c r="L21" s="55" t="s">
        <v>36</v>
      </c>
      <c r="M21" s="55" t="s">
        <v>41</v>
      </c>
      <c r="N21" s="56">
        <v>34617</v>
      </c>
      <c r="O21" s="77">
        <f t="shared" ca="1" si="13"/>
        <v>26</v>
      </c>
      <c r="P21" s="77">
        <f t="shared" ca="1" si="14"/>
        <v>2</v>
      </c>
      <c r="Q21" s="51" t="s">
        <v>42</v>
      </c>
      <c r="R21" s="51" t="s">
        <v>43</v>
      </c>
      <c r="S21" s="55" t="s">
        <v>44</v>
      </c>
      <c r="T21" s="55" t="s">
        <v>59</v>
      </c>
      <c r="U21" s="67"/>
      <c r="V21" s="66"/>
      <c r="W21" s="67"/>
      <c r="X21" s="66"/>
      <c r="Y21" s="57"/>
      <c r="Z21" s="67"/>
      <c r="AA21" s="66"/>
      <c r="AB21" s="57"/>
      <c r="AC21" s="66"/>
      <c r="AD21" s="66"/>
      <c r="AE21" s="66"/>
      <c r="AF21" s="103" t="s">
        <v>346</v>
      </c>
      <c r="AG21" s="59" t="s">
        <v>347</v>
      </c>
      <c r="AH21" s="59" t="s">
        <v>347</v>
      </c>
      <c r="AI21" s="59"/>
      <c r="AJ21" s="55"/>
      <c r="AK21" s="55" t="s">
        <v>48</v>
      </c>
      <c r="AL21" s="75" t="s">
        <v>348</v>
      </c>
      <c r="AM21" s="85"/>
      <c r="AN21" s="75"/>
      <c r="AO21" s="51" t="s">
        <v>64</v>
      </c>
      <c r="AP21" s="55" t="s">
        <v>95</v>
      </c>
      <c r="AQ21" s="68"/>
    </row>
    <row r="22" spans="1:43" s="65" customFormat="1" ht="18.75" customHeight="1">
      <c r="A22" s="51">
        <f t="shared" si="15"/>
        <v>11</v>
      </c>
      <c r="B22" s="55" t="s">
        <v>318</v>
      </c>
      <c r="C22" s="106" t="s">
        <v>208</v>
      </c>
      <c r="D22" s="107" t="s">
        <v>209</v>
      </c>
      <c r="E22" s="55" t="s">
        <v>344</v>
      </c>
      <c r="F22" s="56">
        <v>43202</v>
      </c>
      <c r="G22" s="108">
        <f t="shared" ca="1" si="4"/>
        <v>2</v>
      </c>
      <c r="H22" s="108">
        <f t="shared" ca="1" si="5"/>
        <v>8</v>
      </c>
      <c r="I22" s="56"/>
      <c r="J22" s="56"/>
      <c r="K22" s="55" t="s">
        <v>35</v>
      </c>
      <c r="L22" s="55" t="s">
        <v>36</v>
      </c>
      <c r="M22" s="55" t="s">
        <v>41</v>
      </c>
      <c r="N22" s="56">
        <v>28657</v>
      </c>
      <c r="O22" s="109">
        <f t="shared" ca="1" si="13"/>
        <v>42</v>
      </c>
      <c r="P22" s="109">
        <f t="shared" ca="1" si="14"/>
        <v>6</v>
      </c>
      <c r="Q22" s="55" t="s">
        <v>184</v>
      </c>
      <c r="R22" s="55" t="s">
        <v>48</v>
      </c>
      <c r="S22" s="55" t="s">
        <v>48</v>
      </c>
      <c r="T22" s="55" t="s">
        <v>210</v>
      </c>
      <c r="U22" s="59" t="s">
        <v>233</v>
      </c>
      <c r="V22" s="56"/>
      <c r="W22" s="59" t="s">
        <v>211</v>
      </c>
      <c r="X22" s="56"/>
      <c r="Y22" s="59"/>
      <c r="Z22" s="59" t="s">
        <v>212</v>
      </c>
      <c r="AA22" s="110"/>
      <c r="AB22" s="59"/>
      <c r="AC22" s="111"/>
      <c r="AD22" s="56"/>
      <c r="AE22" s="55"/>
      <c r="AF22" s="74" t="s">
        <v>213</v>
      </c>
      <c r="AG22" s="59" t="s">
        <v>84</v>
      </c>
      <c r="AH22" s="59" t="s">
        <v>84</v>
      </c>
      <c r="AI22" s="59"/>
      <c r="AJ22" s="55"/>
      <c r="AK22" s="55" t="s">
        <v>48</v>
      </c>
      <c r="AL22" s="74" t="s">
        <v>214</v>
      </c>
      <c r="AM22" s="74" t="s">
        <v>208</v>
      </c>
      <c r="AN22" s="74" t="s">
        <v>358</v>
      </c>
      <c r="AO22" s="55" t="s">
        <v>64</v>
      </c>
      <c r="AP22" s="55" t="s">
        <v>95</v>
      </c>
      <c r="AQ22" s="112" t="s">
        <v>215</v>
      </c>
    </row>
    <row r="23" spans="1:43" s="65" customFormat="1" ht="18.75" customHeight="1">
      <c r="A23" s="51">
        <f t="shared" si="15"/>
        <v>12</v>
      </c>
      <c r="B23" s="55" t="s">
        <v>384</v>
      </c>
      <c r="C23" s="106" t="s">
        <v>382</v>
      </c>
      <c r="D23" s="107" t="s">
        <v>81</v>
      </c>
      <c r="E23" s="55" t="s">
        <v>344</v>
      </c>
      <c r="F23" s="56">
        <v>43299</v>
      </c>
      <c r="G23" s="108">
        <f t="shared" ca="1" si="4"/>
        <v>2</v>
      </c>
      <c r="H23" s="108">
        <f t="shared" ca="1" si="5"/>
        <v>5</v>
      </c>
      <c r="I23" s="56"/>
      <c r="J23" s="56"/>
      <c r="K23" s="55" t="s">
        <v>76</v>
      </c>
      <c r="L23" s="55" t="s">
        <v>36</v>
      </c>
      <c r="M23" s="55" t="s">
        <v>41</v>
      </c>
      <c r="N23" s="56">
        <v>25432</v>
      </c>
      <c r="O23" s="109">
        <f t="shared" ca="1" si="13"/>
        <v>51</v>
      </c>
      <c r="P23" s="109">
        <f t="shared" ca="1" si="14"/>
        <v>4</v>
      </c>
      <c r="Q23" s="55" t="s">
        <v>184</v>
      </c>
      <c r="R23" s="55" t="s">
        <v>48</v>
      </c>
      <c r="S23" s="55" t="s">
        <v>48</v>
      </c>
      <c r="T23" s="55"/>
      <c r="U23" s="59"/>
      <c r="V23" s="56"/>
      <c r="W23" s="59"/>
      <c r="X23" s="56"/>
      <c r="Y23" s="59"/>
      <c r="Z23" s="59"/>
      <c r="AA23" s="110"/>
      <c r="AB23" s="59"/>
      <c r="AC23" s="111"/>
      <c r="AD23" s="56"/>
      <c r="AE23" s="55"/>
      <c r="AF23" s="74" t="s">
        <v>385</v>
      </c>
      <c r="AG23" s="59" t="s">
        <v>386</v>
      </c>
      <c r="AH23" s="59"/>
      <c r="AI23" s="59"/>
      <c r="AJ23" s="55"/>
      <c r="AK23" s="55" t="s">
        <v>48</v>
      </c>
      <c r="AL23" s="103" t="s">
        <v>387</v>
      </c>
      <c r="AM23" s="74"/>
      <c r="AN23" s="74"/>
      <c r="AO23" s="55"/>
      <c r="AP23" s="55"/>
      <c r="AQ23" s="112"/>
    </row>
    <row r="24" spans="1:43" s="18" customFormat="1" ht="18.75" customHeight="1">
      <c r="A24" s="689" t="s">
        <v>133</v>
      </c>
      <c r="B24" s="690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5"/>
      <c r="N24" s="34"/>
      <c r="O24" s="34"/>
      <c r="P24" s="34"/>
      <c r="Q24" s="34"/>
      <c r="R24" s="35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5"/>
      <c r="AK24" s="35"/>
      <c r="AL24" s="35"/>
      <c r="AM24" s="35"/>
      <c r="AN24" s="35"/>
      <c r="AO24" s="35"/>
      <c r="AP24" s="35"/>
      <c r="AQ24" s="50"/>
    </row>
    <row r="25" spans="1:43" s="65" customFormat="1" ht="18.75" customHeight="1">
      <c r="A25" s="51">
        <f>A23+1</f>
        <v>13</v>
      </c>
      <c r="B25" s="51" t="s">
        <v>319</v>
      </c>
      <c r="C25" s="53" t="s">
        <v>134</v>
      </c>
      <c r="D25" s="54" t="s">
        <v>144</v>
      </c>
      <c r="E25" s="55" t="s">
        <v>344</v>
      </c>
      <c r="F25" s="56">
        <v>43202</v>
      </c>
      <c r="G25" s="57">
        <f t="shared" ca="1" si="4"/>
        <v>2</v>
      </c>
      <c r="H25" s="57">
        <f t="shared" ref="H25:H36" ca="1" si="19">DATEDIF(F25,$A$3,"YM")</f>
        <v>8</v>
      </c>
      <c r="I25" s="58"/>
      <c r="J25" s="58"/>
      <c r="K25" s="55" t="s">
        <v>76</v>
      </c>
      <c r="L25" s="55" t="s">
        <v>36</v>
      </c>
      <c r="M25" s="55" t="s">
        <v>41</v>
      </c>
      <c r="N25" s="56">
        <v>35286</v>
      </c>
      <c r="O25" s="77">
        <f t="shared" ref="O25:O43" ca="1" si="20">DATEDIF(N25,$A$3,"Y")</f>
        <v>24</v>
      </c>
      <c r="P25" s="77">
        <f t="shared" ref="P25:P43" ca="1" si="21">DATEDIF(N25,$A$3,"YM")</f>
        <v>4</v>
      </c>
      <c r="Q25" s="51" t="s">
        <v>136</v>
      </c>
      <c r="R25" s="51" t="s">
        <v>48</v>
      </c>
      <c r="S25" s="55" t="s">
        <v>48</v>
      </c>
      <c r="T25" s="55" t="s">
        <v>45</v>
      </c>
      <c r="U25" s="60" t="s">
        <v>137</v>
      </c>
      <c r="V25" s="58">
        <v>34153</v>
      </c>
      <c r="W25" s="60" t="s">
        <v>138</v>
      </c>
      <c r="X25" s="58">
        <v>41374</v>
      </c>
      <c r="Y25" s="77">
        <f t="shared" ref="Y25" ca="1" si="22">DATEDIF(X25,$A$3,"Y")</f>
        <v>7</v>
      </c>
      <c r="Z25" s="62"/>
      <c r="AA25" s="71"/>
      <c r="AB25" s="77"/>
      <c r="AC25" s="71"/>
      <c r="AD25" s="71"/>
      <c r="AE25" s="71"/>
      <c r="AF25" s="63" t="s">
        <v>139</v>
      </c>
      <c r="AG25" s="60" t="s">
        <v>140</v>
      </c>
      <c r="AH25" s="60" t="s">
        <v>140</v>
      </c>
      <c r="AI25" s="60"/>
      <c r="AJ25" s="51"/>
      <c r="AK25" s="51" t="s">
        <v>48</v>
      </c>
      <c r="AL25" s="63" t="s">
        <v>141</v>
      </c>
      <c r="AM25" s="63" t="s">
        <v>134</v>
      </c>
      <c r="AN25" s="57">
        <v>1440016469303</v>
      </c>
      <c r="AO25" s="51" t="s">
        <v>64</v>
      </c>
      <c r="AP25" s="55" t="s">
        <v>95</v>
      </c>
      <c r="AQ25" s="64" t="s">
        <v>48</v>
      </c>
    </row>
    <row r="26" spans="1:43" s="65" customFormat="1" ht="18.75" customHeight="1">
      <c r="A26" s="51">
        <f>A25+1</f>
        <v>14</v>
      </c>
      <c r="B26" s="51" t="s">
        <v>320</v>
      </c>
      <c r="C26" s="53" t="s">
        <v>143</v>
      </c>
      <c r="D26" s="54" t="s">
        <v>144</v>
      </c>
      <c r="E26" s="55" t="s">
        <v>344</v>
      </c>
      <c r="F26" s="56">
        <v>43202</v>
      </c>
      <c r="G26" s="57">
        <f t="shared" ca="1" si="4"/>
        <v>2</v>
      </c>
      <c r="H26" s="57">
        <f t="shared" ca="1" si="19"/>
        <v>8</v>
      </c>
      <c r="I26" s="58"/>
      <c r="J26" s="58"/>
      <c r="K26" s="55" t="s">
        <v>76</v>
      </c>
      <c r="L26" s="55" t="s">
        <v>36</v>
      </c>
      <c r="M26" s="55" t="s">
        <v>145</v>
      </c>
      <c r="N26" s="56">
        <v>35278</v>
      </c>
      <c r="O26" s="77">
        <f t="shared" ca="1" si="20"/>
        <v>24</v>
      </c>
      <c r="P26" s="77">
        <f t="shared" ca="1" si="21"/>
        <v>5</v>
      </c>
      <c r="Q26" s="51" t="s">
        <v>68</v>
      </c>
      <c r="R26" s="51" t="s">
        <v>146</v>
      </c>
      <c r="S26" s="55" t="s">
        <v>44</v>
      </c>
      <c r="T26" s="55" t="s">
        <v>59</v>
      </c>
      <c r="U26" s="60"/>
      <c r="V26" s="58"/>
      <c r="W26" s="60"/>
      <c r="X26" s="58"/>
      <c r="Y26" s="77"/>
      <c r="Z26" s="62"/>
      <c r="AA26" s="71"/>
      <c r="AB26" s="77"/>
      <c r="AC26" s="71"/>
      <c r="AD26" s="71"/>
      <c r="AE26" s="71"/>
      <c r="AF26" s="63" t="s">
        <v>147</v>
      </c>
      <c r="AG26" s="60" t="s">
        <v>148</v>
      </c>
      <c r="AH26" s="60" t="s">
        <v>149</v>
      </c>
      <c r="AI26" s="60"/>
      <c r="AJ26" s="51"/>
      <c r="AK26" s="51" t="s">
        <v>48</v>
      </c>
      <c r="AL26" s="63" t="s">
        <v>150</v>
      </c>
      <c r="AM26" s="63" t="s">
        <v>143</v>
      </c>
      <c r="AN26" s="57">
        <v>1440016796960</v>
      </c>
      <c r="AO26" s="51" t="s">
        <v>64</v>
      </c>
      <c r="AP26" s="55" t="s">
        <v>95</v>
      </c>
      <c r="AQ26" s="64" t="s">
        <v>48</v>
      </c>
    </row>
    <row r="27" spans="1:43" s="65" customFormat="1" ht="18.75" customHeight="1">
      <c r="A27" s="51">
        <f t="shared" ref="A27:A41" si="23">A26+1</f>
        <v>15</v>
      </c>
      <c r="B27" s="51" t="s">
        <v>321</v>
      </c>
      <c r="C27" s="53" t="s">
        <v>151</v>
      </c>
      <c r="D27" s="54" t="s">
        <v>135</v>
      </c>
      <c r="E27" s="55" t="s">
        <v>344</v>
      </c>
      <c r="F27" s="56">
        <v>43202</v>
      </c>
      <c r="G27" s="57">
        <f t="shared" ca="1" si="4"/>
        <v>2</v>
      </c>
      <c r="H27" s="57">
        <f t="shared" ca="1" si="19"/>
        <v>8</v>
      </c>
      <c r="I27" s="58"/>
      <c r="J27" s="58"/>
      <c r="K27" s="55" t="s">
        <v>76</v>
      </c>
      <c r="L27" s="55" t="s">
        <v>36</v>
      </c>
      <c r="M27" s="55" t="s">
        <v>41</v>
      </c>
      <c r="N27" s="56">
        <v>34738</v>
      </c>
      <c r="O27" s="77">
        <f t="shared" ca="1" si="20"/>
        <v>25</v>
      </c>
      <c r="P27" s="77">
        <f t="shared" ca="1" si="21"/>
        <v>10</v>
      </c>
      <c r="Q27" s="51" t="s">
        <v>152</v>
      </c>
      <c r="R27" s="51" t="s">
        <v>153</v>
      </c>
      <c r="S27" s="55" t="s">
        <v>48</v>
      </c>
      <c r="T27" s="55" t="s">
        <v>59</v>
      </c>
      <c r="U27" s="60"/>
      <c r="V27" s="58"/>
      <c r="W27" s="60"/>
      <c r="X27" s="58"/>
      <c r="Y27" s="57"/>
      <c r="Z27" s="62"/>
      <c r="AA27" s="71"/>
      <c r="AB27" s="57"/>
      <c r="AC27" s="71"/>
      <c r="AD27" s="71"/>
      <c r="AE27" s="71"/>
      <c r="AF27" s="63" t="s">
        <v>154</v>
      </c>
      <c r="AG27" s="60" t="s">
        <v>155</v>
      </c>
      <c r="AH27" s="60" t="s">
        <v>156</v>
      </c>
      <c r="AI27" s="60"/>
      <c r="AJ27" s="51"/>
      <c r="AK27" s="51" t="s">
        <v>48</v>
      </c>
      <c r="AL27" s="63" t="s">
        <v>157</v>
      </c>
      <c r="AM27" s="63" t="s">
        <v>151</v>
      </c>
      <c r="AN27" s="57">
        <v>1440016469246</v>
      </c>
      <c r="AO27" s="51" t="s">
        <v>64</v>
      </c>
      <c r="AP27" s="55" t="s">
        <v>95</v>
      </c>
      <c r="AQ27" s="82" t="s">
        <v>158</v>
      </c>
    </row>
    <row r="28" spans="1:43" s="65" customFormat="1" ht="18.75" customHeight="1">
      <c r="A28" s="51">
        <f t="shared" si="23"/>
        <v>16</v>
      </c>
      <c r="B28" s="51" t="s">
        <v>322</v>
      </c>
      <c r="C28" s="53" t="s">
        <v>159</v>
      </c>
      <c r="D28" s="54" t="s">
        <v>144</v>
      </c>
      <c r="E28" s="55" t="s">
        <v>344</v>
      </c>
      <c r="F28" s="56">
        <v>43202</v>
      </c>
      <c r="G28" s="57">
        <f t="shared" ca="1" si="4"/>
        <v>2</v>
      </c>
      <c r="H28" s="57">
        <f t="shared" ca="1" si="19"/>
        <v>8</v>
      </c>
      <c r="I28" s="58"/>
      <c r="J28" s="58"/>
      <c r="K28" s="55" t="s">
        <v>76</v>
      </c>
      <c r="L28" s="55" t="s">
        <v>36</v>
      </c>
      <c r="M28" s="55" t="s">
        <v>160</v>
      </c>
      <c r="N28" s="56">
        <v>31591</v>
      </c>
      <c r="O28" s="77">
        <f t="shared" ca="1" si="20"/>
        <v>34</v>
      </c>
      <c r="P28" s="77">
        <f t="shared" ca="1" si="21"/>
        <v>6</v>
      </c>
      <c r="Q28" s="51" t="s">
        <v>68</v>
      </c>
      <c r="R28" s="51" t="s">
        <v>161</v>
      </c>
      <c r="S28" s="55" t="s">
        <v>48</v>
      </c>
      <c r="T28" s="55" t="s">
        <v>59</v>
      </c>
      <c r="U28" s="60"/>
      <c r="V28" s="58"/>
      <c r="W28" s="60"/>
      <c r="X28" s="58"/>
      <c r="Y28" s="57"/>
      <c r="Z28" s="62"/>
      <c r="AA28" s="71"/>
      <c r="AB28" s="57"/>
      <c r="AC28" s="71"/>
      <c r="AD28" s="71"/>
      <c r="AE28" s="71"/>
      <c r="AF28" s="63" t="s">
        <v>162</v>
      </c>
      <c r="AG28" s="60" t="s">
        <v>163</v>
      </c>
      <c r="AH28" s="60" t="s">
        <v>156</v>
      </c>
      <c r="AI28" s="60"/>
      <c r="AJ28" s="51"/>
      <c r="AK28" s="51" t="s">
        <v>48</v>
      </c>
      <c r="AL28" s="63" t="s">
        <v>164</v>
      </c>
      <c r="AM28" s="63" t="s">
        <v>159</v>
      </c>
      <c r="AN28" s="57">
        <v>1440016530658</v>
      </c>
      <c r="AO28" s="51" t="s">
        <v>64</v>
      </c>
      <c r="AP28" s="55" t="s">
        <v>95</v>
      </c>
      <c r="AQ28" s="64" t="s">
        <v>48</v>
      </c>
    </row>
    <row r="29" spans="1:43" s="65" customFormat="1" ht="18.75" customHeight="1">
      <c r="A29" s="51">
        <f t="shared" si="23"/>
        <v>17</v>
      </c>
      <c r="B29" s="51" t="s">
        <v>323</v>
      </c>
      <c r="C29" s="53" t="s">
        <v>165</v>
      </c>
      <c r="D29" s="54" t="s">
        <v>144</v>
      </c>
      <c r="E29" s="55" t="s">
        <v>344</v>
      </c>
      <c r="F29" s="56">
        <v>43202</v>
      </c>
      <c r="G29" s="57">
        <f t="shared" ca="1" si="4"/>
        <v>2</v>
      </c>
      <c r="H29" s="57">
        <f t="shared" ca="1" si="19"/>
        <v>8</v>
      </c>
      <c r="I29" s="58"/>
      <c r="J29" s="58"/>
      <c r="K29" s="55" t="s">
        <v>76</v>
      </c>
      <c r="L29" s="55" t="s">
        <v>36</v>
      </c>
      <c r="M29" s="55" t="s">
        <v>41</v>
      </c>
      <c r="N29" s="56">
        <v>31895</v>
      </c>
      <c r="O29" s="77">
        <f t="shared" ca="1" si="20"/>
        <v>33</v>
      </c>
      <c r="P29" s="77">
        <f t="shared" ca="1" si="21"/>
        <v>8</v>
      </c>
      <c r="Q29" s="51" t="s">
        <v>136</v>
      </c>
      <c r="R29" s="51" t="s">
        <v>48</v>
      </c>
      <c r="S29" s="55" t="s">
        <v>48</v>
      </c>
      <c r="T29" s="55" t="s">
        <v>45</v>
      </c>
      <c r="U29" s="60" t="s">
        <v>166</v>
      </c>
      <c r="V29" s="58">
        <v>29878</v>
      </c>
      <c r="W29" s="60" t="s">
        <v>167</v>
      </c>
      <c r="X29" s="58">
        <v>39899</v>
      </c>
      <c r="Y29" s="77">
        <f t="shared" ref="Y29:Y33" ca="1" si="24">DATEDIF(X29,$A$3,"Y")</f>
        <v>11</v>
      </c>
      <c r="Z29" s="62"/>
      <c r="AA29" s="71"/>
      <c r="AB29" s="77"/>
      <c r="AC29" s="71"/>
      <c r="AD29" s="71"/>
      <c r="AE29" s="71"/>
      <c r="AF29" s="63" t="s">
        <v>168</v>
      </c>
      <c r="AG29" s="60" t="s">
        <v>169</v>
      </c>
      <c r="AH29" s="60" t="s">
        <v>169</v>
      </c>
      <c r="AI29" s="60"/>
      <c r="AJ29" s="51"/>
      <c r="AK29" s="51" t="s">
        <v>48</v>
      </c>
      <c r="AL29" s="63" t="s">
        <v>170</v>
      </c>
      <c r="AM29" s="63" t="s">
        <v>165</v>
      </c>
      <c r="AN29" s="57">
        <v>1440016469444</v>
      </c>
      <c r="AO29" s="51" t="s">
        <v>64</v>
      </c>
      <c r="AP29" s="55" t="s">
        <v>95</v>
      </c>
      <c r="AQ29" s="64" t="s">
        <v>48</v>
      </c>
    </row>
    <row r="30" spans="1:43" s="65" customFormat="1" ht="18.75" customHeight="1">
      <c r="A30" s="51">
        <f t="shared" si="23"/>
        <v>18</v>
      </c>
      <c r="B30" s="51" t="s">
        <v>324</v>
      </c>
      <c r="C30" s="53" t="s">
        <v>171</v>
      </c>
      <c r="D30" s="54" t="s">
        <v>144</v>
      </c>
      <c r="E30" s="55" t="s">
        <v>344</v>
      </c>
      <c r="F30" s="56">
        <v>43202</v>
      </c>
      <c r="G30" s="57">
        <f t="shared" ca="1" si="4"/>
        <v>2</v>
      </c>
      <c r="H30" s="57">
        <f t="shared" ca="1" si="19"/>
        <v>8</v>
      </c>
      <c r="I30" s="58"/>
      <c r="J30" s="58"/>
      <c r="K30" s="55" t="s">
        <v>76</v>
      </c>
      <c r="L30" s="55" t="s">
        <v>36</v>
      </c>
      <c r="M30" s="55" t="s">
        <v>41</v>
      </c>
      <c r="N30" s="56">
        <v>35350</v>
      </c>
      <c r="O30" s="77">
        <f t="shared" ca="1" si="20"/>
        <v>24</v>
      </c>
      <c r="P30" s="77">
        <f t="shared" ca="1" si="21"/>
        <v>2</v>
      </c>
      <c r="Q30" s="51" t="s">
        <v>68</v>
      </c>
      <c r="R30" s="51" t="s">
        <v>172</v>
      </c>
      <c r="S30" s="55" t="s">
        <v>48</v>
      </c>
      <c r="T30" s="55" t="s">
        <v>59</v>
      </c>
      <c r="U30" s="60"/>
      <c r="V30" s="58"/>
      <c r="W30" s="60"/>
      <c r="X30" s="58"/>
      <c r="Y30" s="57"/>
      <c r="Z30" s="62"/>
      <c r="AA30" s="71"/>
      <c r="AB30" s="57"/>
      <c r="AC30" s="71"/>
      <c r="AD30" s="71"/>
      <c r="AE30" s="71"/>
      <c r="AF30" s="63" t="s">
        <v>173</v>
      </c>
      <c r="AG30" s="60" t="s">
        <v>174</v>
      </c>
      <c r="AH30" s="60" t="s">
        <v>174</v>
      </c>
      <c r="AI30" s="60"/>
      <c r="AJ30" s="51"/>
      <c r="AK30" s="51" t="s">
        <v>48</v>
      </c>
      <c r="AL30" s="63" t="s">
        <v>175</v>
      </c>
      <c r="AM30" s="63" t="s">
        <v>171</v>
      </c>
      <c r="AN30" s="57">
        <v>1440017224251</v>
      </c>
      <c r="AO30" s="51" t="s">
        <v>64</v>
      </c>
      <c r="AP30" s="55" t="s">
        <v>95</v>
      </c>
      <c r="AQ30" s="64" t="s">
        <v>48</v>
      </c>
    </row>
    <row r="31" spans="1:43" s="65" customFormat="1" ht="18.75" customHeight="1">
      <c r="A31" s="51">
        <f t="shared" si="23"/>
        <v>19</v>
      </c>
      <c r="B31" s="51" t="s">
        <v>325</v>
      </c>
      <c r="C31" s="53" t="s">
        <v>176</v>
      </c>
      <c r="D31" s="54" t="s">
        <v>144</v>
      </c>
      <c r="E31" s="55" t="s">
        <v>344</v>
      </c>
      <c r="F31" s="56">
        <v>43202</v>
      </c>
      <c r="G31" s="57">
        <f t="shared" ca="1" si="4"/>
        <v>2</v>
      </c>
      <c r="H31" s="57">
        <f t="shared" ca="1" si="19"/>
        <v>8</v>
      </c>
      <c r="I31" s="58"/>
      <c r="J31" s="58"/>
      <c r="K31" s="55" t="s">
        <v>76</v>
      </c>
      <c r="L31" s="55" t="s">
        <v>36</v>
      </c>
      <c r="M31" s="55" t="s">
        <v>41</v>
      </c>
      <c r="N31" s="56">
        <v>33625</v>
      </c>
      <c r="O31" s="77">
        <f t="shared" ca="1" si="20"/>
        <v>28</v>
      </c>
      <c r="P31" s="77">
        <f t="shared" ca="1" si="21"/>
        <v>11</v>
      </c>
      <c r="Q31" s="51" t="s">
        <v>68</v>
      </c>
      <c r="R31" s="51" t="s">
        <v>177</v>
      </c>
      <c r="S31" s="55" t="s">
        <v>48</v>
      </c>
      <c r="T31" s="55" t="s">
        <v>45</v>
      </c>
      <c r="U31" s="60" t="s">
        <v>178</v>
      </c>
      <c r="V31" s="58">
        <v>31472</v>
      </c>
      <c r="W31" s="60" t="s">
        <v>179</v>
      </c>
      <c r="X31" s="58">
        <v>41736</v>
      </c>
      <c r="Y31" s="77">
        <f t="shared" ca="1" si="24"/>
        <v>6</v>
      </c>
      <c r="Z31" s="62"/>
      <c r="AA31" s="71"/>
      <c r="AB31" s="77"/>
      <c r="AC31" s="71"/>
      <c r="AD31" s="71"/>
      <c r="AE31" s="71"/>
      <c r="AF31" s="63" t="s">
        <v>180</v>
      </c>
      <c r="AG31" s="60" t="s">
        <v>181</v>
      </c>
      <c r="AH31" s="60" t="s">
        <v>181</v>
      </c>
      <c r="AI31" s="60"/>
      <c r="AJ31" s="51"/>
      <c r="AK31" s="51" t="s">
        <v>48</v>
      </c>
      <c r="AL31" s="63" t="s">
        <v>182</v>
      </c>
      <c r="AM31" s="63" t="s">
        <v>176</v>
      </c>
      <c r="AN31" s="57">
        <v>1440016469345</v>
      </c>
      <c r="AO31" s="51" t="s">
        <v>64</v>
      </c>
      <c r="AP31" s="55" t="s">
        <v>95</v>
      </c>
      <c r="AQ31" s="64" t="s">
        <v>48</v>
      </c>
    </row>
    <row r="32" spans="1:43" s="65" customFormat="1" ht="18.75" customHeight="1">
      <c r="A32" s="51">
        <f t="shared" si="23"/>
        <v>20</v>
      </c>
      <c r="B32" s="51" t="s">
        <v>326</v>
      </c>
      <c r="C32" s="53" t="s">
        <v>183</v>
      </c>
      <c r="D32" s="54" t="s">
        <v>144</v>
      </c>
      <c r="E32" s="55" t="s">
        <v>344</v>
      </c>
      <c r="F32" s="56">
        <v>43202</v>
      </c>
      <c r="G32" s="57">
        <f t="shared" ca="1" si="4"/>
        <v>2</v>
      </c>
      <c r="H32" s="57">
        <f t="shared" ca="1" si="19"/>
        <v>8</v>
      </c>
      <c r="I32" s="58"/>
      <c r="J32" s="58"/>
      <c r="K32" s="55" t="s">
        <v>76</v>
      </c>
      <c r="L32" s="55" t="s">
        <v>36</v>
      </c>
      <c r="M32" s="55" t="s">
        <v>41</v>
      </c>
      <c r="N32" s="56">
        <v>34105</v>
      </c>
      <c r="O32" s="77">
        <f t="shared" ca="1" si="20"/>
        <v>27</v>
      </c>
      <c r="P32" s="77">
        <f t="shared" ca="1" si="21"/>
        <v>7</v>
      </c>
      <c r="Q32" s="51" t="s">
        <v>184</v>
      </c>
      <c r="R32" s="51" t="s">
        <v>48</v>
      </c>
      <c r="S32" s="55" t="s">
        <v>105</v>
      </c>
      <c r="T32" s="55" t="s">
        <v>45</v>
      </c>
      <c r="U32" s="60" t="s">
        <v>185</v>
      </c>
      <c r="V32" s="58">
        <v>31029</v>
      </c>
      <c r="W32" s="60" t="s">
        <v>186</v>
      </c>
      <c r="X32" s="58">
        <v>40959</v>
      </c>
      <c r="Y32" s="77">
        <f t="shared" ca="1" si="24"/>
        <v>8</v>
      </c>
      <c r="Z32" s="62"/>
      <c r="AA32" s="71"/>
      <c r="AB32" s="77"/>
      <c r="AC32" s="71"/>
      <c r="AD32" s="71"/>
      <c r="AE32" s="71"/>
      <c r="AF32" s="63" t="s">
        <v>187</v>
      </c>
      <c r="AG32" s="60" t="s">
        <v>188</v>
      </c>
      <c r="AH32" s="60" t="s">
        <v>189</v>
      </c>
      <c r="AI32" s="60"/>
      <c r="AJ32" s="51"/>
      <c r="AK32" s="51" t="s">
        <v>48</v>
      </c>
      <c r="AL32" s="63" t="s">
        <v>190</v>
      </c>
      <c r="AM32" s="63" t="s">
        <v>183</v>
      </c>
      <c r="AN32" s="57">
        <v>1440016469329</v>
      </c>
      <c r="AO32" s="51" t="s">
        <v>64</v>
      </c>
      <c r="AP32" s="55" t="s">
        <v>95</v>
      </c>
      <c r="AQ32" s="64" t="s">
        <v>48</v>
      </c>
    </row>
    <row r="33" spans="1:43" s="65" customFormat="1" ht="18.75" customHeight="1">
      <c r="A33" s="51">
        <f t="shared" si="23"/>
        <v>21</v>
      </c>
      <c r="B33" s="51" t="s">
        <v>327</v>
      </c>
      <c r="C33" s="53" t="s">
        <v>191</v>
      </c>
      <c r="D33" s="54" t="s">
        <v>144</v>
      </c>
      <c r="E33" s="55" t="s">
        <v>344</v>
      </c>
      <c r="F33" s="56">
        <v>43202</v>
      </c>
      <c r="G33" s="57">
        <f t="shared" ca="1" si="4"/>
        <v>2</v>
      </c>
      <c r="H33" s="57">
        <f t="shared" ca="1" si="19"/>
        <v>8</v>
      </c>
      <c r="I33" s="58"/>
      <c r="J33" s="58"/>
      <c r="K33" s="55" t="s">
        <v>76</v>
      </c>
      <c r="L33" s="55" t="s">
        <v>36</v>
      </c>
      <c r="M33" s="55" t="s">
        <v>41</v>
      </c>
      <c r="N33" s="56">
        <v>31305</v>
      </c>
      <c r="O33" s="77">
        <f t="shared" ca="1" si="20"/>
        <v>35</v>
      </c>
      <c r="P33" s="77">
        <f t="shared" ca="1" si="21"/>
        <v>3</v>
      </c>
      <c r="Q33" s="51" t="s">
        <v>152</v>
      </c>
      <c r="R33" s="51" t="s">
        <v>153</v>
      </c>
      <c r="S33" s="55" t="s">
        <v>48</v>
      </c>
      <c r="T33" s="55" t="s">
        <v>192</v>
      </c>
      <c r="U33" s="60"/>
      <c r="V33" s="58"/>
      <c r="W33" s="60" t="s">
        <v>193</v>
      </c>
      <c r="X33" s="58">
        <v>39614</v>
      </c>
      <c r="Y33" s="77">
        <f t="shared" ca="1" si="24"/>
        <v>12</v>
      </c>
      <c r="Z33" s="62"/>
      <c r="AA33" s="71"/>
      <c r="AB33" s="77"/>
      <c r="AC33" s="71"/>
      <c r="AD33" s="71"/>
      <c r="AE33" s="71"/>
      <c r="AF33" s="63" t="s">
        <v>194</v>
      </c>
      <c r="AG33" s="60" t="s">
        <v>181</v>
      </c>
      <c r="AH33" s="60" t="s">
        <v>181</v>
      </c>
      <c r="AI33" s="60"/>
      <c r="AJ33" s="51"/>
      <c r="AK33" s="51" t="s">
        <v>48</v>
      </c>
      <c r="AL33" s="63" t="s">
        <v>195</v>
      </c>
      <c r="AM33" s="63" t="s">
        <v>191</v>
      </c>
      <c r="AN33" s="57">
        <v>1440016469238</v>
      </c>
      <c r="AO33" s="51" t="s">
        <v>64</v>
      </c>
      <c r="AP33" s="55" t="s">
        <v>95</v>
      </c>
      <c r="AQ33" s="64" t="s">
        <v>48</v>
      </c>
    </row>
    <row r="34" spans="1:43" s="65" customFormat="1" ht="18.75" customHeight="1">
      <c r="A34" s="51">
        <f t="shared" si="23"/>
        <v>22</v>
      </c>
      <c r="B34" s="51" t="s">
        <v>328</v>
      </c>
      <c r="C34" s="53" t="s">
        <v>211</v>
      </c>
      <c r="D34" s="54" t="s">
        <v>144</v>
      </c>
      <c r="E34" s="55" t="s">
        <v>344</v>
      </c>
      <c r="F34" s="56">
        <v>43202</v>
      </c>
      <c r="G34" s="57">
        <f t="shared" ca="1" si="4"/>
        <v>2</v>
      </c>
      <c r="H34" s="57">
        <f t="shared" ca="1" si="19"/>
        <v>8</v>
      </c>
      <c r="I34" s="58"/>
      <c r="J34" s="58"/>
      <c r="K34" s="55" t="s">
        <v>76</v>
      </c>
      <c r="L34" s="55" t="s">
        <v>36</v>
      </c>
      <c r="M34" s="55" t="s">
        <v>41</v>
      </c>
      <c r="N34" s="56">
        <v>37047</v>
      </c>
      <c r="O34" s="77">
        <f t="shared" ca="1" si="20"/>
        <v>19</v>
      </c>
      <c r="P34" s="77">
        <f t="shared" ca="1" si="21"/>
        <v>7</v>
      </c>
      <c r="Q34" s="51" t="s">
        <v>184</v>
      </c>
      <c r="R34" s="51" t="s">
        <v>48</v>
      </c>
      <c r="S34" s="55" t="s">
        <v>44</v>
      </c>
      <c r="T34" s="55" t="s">
        <v>59</v>
      </c>
      <c r="U34" s="60"/>
      <c r="V34" s="58"/>
      <c r="W34" s="60"/>
      <c r="X34" s="58"/>
      <c r="Y34" s="57"/>
      <c r="Z34" s="62"/>
      <c r="AA34" s="71"/>
      <c r="AB34" s="57"/>
      <c r="AC34" s="71"/>
      <c r="AD34" s="71"/>
      <c r="AE34" s="71"/>
      <c r="AF34" s="63" t="s">
        <v>48</v>
      </c>
      <c r="AG34" s="60"/>
      <c r="AH34" s="60" t="s">
        <v>248</v>
      </c>
      <c r="AI34" s="60"/>
      <c r="AJ34" s="51"/>
      <c r="AK34" s="51" t="s">
        <v>48</v>
      </c>
      <c r="AL34" s="63" t="s">
        <v>249</v>
      </c>
      <c r="AM34" s="63" t="s">
        <v>211</v>
      </c>
      <c r="AN34" s="57">
        <v>1440016469436</v>
      </c>
      <c r="AO34" s="51" t="s">
        <v>64</v>
      </c>
      <c r="AP34" s="55" t="s">
        <v>95</v>
      </c>
      <c r="AQ34" s="64" t="s">
        <v>48</v>
      </c>
    </row>
    <row r="35" spans="1:43" s="65" customFormat="1" ht="18.75" customHeight="1">
      <c r="A35" s="51">
        <f t="shared" si="23"/>
        <v>23</v>
      </c>
      <c r="B35" s="51" t="s">
        <v>329</v>
      </c>
      <c r="C35" s="53" t="s">
        <v>217</v>
      </c>
      <c r="D35" s="54" t="s">
        <v>144</v>
      </c>
      <c r="E35" s="55" t="s">
        <v>344</v>
      </c>
      <c r="F35" s="56">
        <v>43202</v>
      </c>
      <c r="G35" s="57">
        <f t="shared" ca="1" si="4"/>
        <v>2</v>
      </c>
      <c r="H35" s="57">
        <f t="shared" ca="1" si="19"/>
        <v>8</v>
      </c>
      <c r="I35" s="58"/>
      <c r="J35" s="58"/>
      <c r="K35" s="55" t="s">
        <v>35</v>
      </c>
      <c r="L35" s="55" t="s">
        <v>36</v>
      </c>
      <c r="M35" s="55" t="s">
        <v>41</v>
      </c>
      <c r="N35" s="56">
        <v>35595</v>
      </c>
      <c r="O35" s="77">
        <f t="shared" ref="O35:O36" ca="1" si="25">DATEDIF(N35,$A$3,"Y")</f>
        <v>23</v>
      </c>
      <c r="P35" s="77">
        <f t="shared" ca="1" si="21"/>
        <v>6</v>
      </c>
      <c r="Q35" s="51" t="s">
        <v>68</v>
      </c>
      <c r="R35" s="51" t="s">
        <v>235</v>
      </c>
      <c r="S35" s="55" t="s">
        <v>48</v>
      </c>
      <c r="T35" s="55" t="s">
        <v>59</v>
      </c>
      <c r="U35" s="60"/>
      <c r="V35" s="58"/>
      <c r="W35" s="60"/>
      <c r="X35" s="58"/>
      <c r="Y35" s="57"/>
      <c r="Z35" s="62"/>
      <c r="AA35" s="71"/>
      <c r="AB35" s="57"/>
      <c r="AC35" s="71"/>
      <c r="AD35" s="71"/>
      <c r="AE35" s="71"/>
      <c r="AF35" s="63" t="s">
        <v>236</v>
      </c>
      <c r="AG35" s="60" t="s">
        <v>237</v>
      </c>
      <c r="AH35" s="60" t="s">
        <v>237</v>
      </c>
      <c r="AI35" s="60"/>
      <c r="AJ35" s="51"/>
      <c r="AK35" s="51" t="s">
        <v>48</v>
      </c>
      <c r="AL35" s="63" t="s">
        <v>238</v>
      </c>
      <c r="AM35" s="63" t="s">
        <v>239</v>
      </c>
      <c r="AN35" s="57">
        <v>1440017358059</v>
      </c>
      <c r="AO35" s="51" t="s">
        <v>64</v>
      </c>
      <c r="AP35" s="55" t="s">
        <v>95</v>
      </c>
      <c r="AQ35" s="82" t="s">
        <v>240</v>
      </c>
    </row>
    <row r="36" spans="1:43" s="65" customFormat="1" ht="18.75" customHeight="1">
      <c r="A36" s="51">
        <f t="shared" si="23"/>
        <v>24</v>
      </c>
      <c r="B36" s="51" t="s">
        <v>330</v>
      </c>
      <c r="C36" s="53" t="s">
        <v>218</v>
      </c>
      <c r="D36" s="54" t="s">
        <v>144</v>
      </c>
      <c r="E36" s="55" t="s">
        <v>344</v>
      </c>
      <c r="F36" s="56">
        <v>43202</v>
      </c>
      <c r="G36" s="57">
        <f t="shared" ca="1" si="4"/>
        <v>2</v>
      </c>
      <c r="H36" s="57">
        <f t="shared" ca="1" si="19"/>
        <v>8</v>
      </c>
      <c r="I36" s="58"/>
      <c r="J36" s="58"/>
      <c r="K36" s="55" t="s">
        <v>76</v>
      </c>
      <c r="L36" s="55" t="s">
        <v>36</v>
      </c>
      <c r="M36" s="55" t="s">
        <v>41</v>
      </c>
      <c r="N36" s="56">
        <v>35068</v>
      </c>
      <c r="O36" s="77">
        <f t="shared" ca="1" si="25"/>
        <v>25</v>
      </c>
      <c r="P36" s="77">
        <f t="shared" ref="P36" ca="1" si="26">DATEDIF(N36,$A$3,"YM")</f>
        <v>0</v>
      </c>
      <c r="Q36" s="51" t="s">
        <v>136</v>
      </c>
      <c r="R36" s="51" t="s">
        <v>48</v>
      </c>
      <c r="S36" s="55" t="s">
        <v>44</v>
      </c>
      <c r="T36" s="55" t="s">
        <v>59</v>
      </c>
      <c r="U36" s="60"/>
      <c r="V36" s="58"/>
      <c r="W36" s="60"/>
      <c r="X36" s="58"/>
      <c r="Y36" s="57"/>
      <c r="Z36" s="62"/>
      <c r="AA36" s="71"/>
      <c r="AB36" s="57"/>
      <c r="AC36" s="71"/>
      <c r="AD36" s="71"/>
      <c r="AE36" s="71"/>
      <c r="AF36" s="63" t="s">
        <v>250</v>
      </c>
      <c r="AG36" s="60" t="s">
        <v>251</v>
      </c>
      <c r="AH36" s="60" t="s">
        <v>251</v>
      </c>
      <c r="AI36" s="60"/>
      <c r="AJ36" s="51"/>
      <c r="AK36" s="51" t="s">
        <v>48</v>
      </c>
      <c r="AL36" s="63" t="s">
        <v>252</v>
      </c>
      <c r="AM36" s="63" t="s">
        <v>253</v>
      </c>
      <c r="AN36" s="57">
        <v>1440017357333</v>
      </c>
      <c r="AO36" s="51" t="s">
        <v>64</v>
      </c>
      <c r="AP36" s="55" t="s">
        <v>95</v>
      </c>
      <c r="AQ36" s="64"/>
    </row>
    <row r="37" spans="1:43" s="65" customFormat="1" ht="18.75" customHeight="1">
      <c r="A37" s="51">
        <f t="shared" si="23"/>
        <v>25</v>
      </c>
      <c r="B37" s="51" t="s">
        <v>332</v>
      </c>
      <c r="C37" s="53" t="s">
        <v>220</v>
      </c>
      <c r="D37" s="54" t="s">
        <v>144</v>
      </c>
      <c r="E37" s="55" t="s">
        <v>344</v>
      </c>
      <c r="F37" s="56">
        <v>43202</v>
      </c>
      <c r="G37" s="57">
        <f t="shared" ref="G37:G38" ca="1" si="27">DATEDIF(F37,$A$3,"Y")</f>
        <v>2</v>
      </c>
      <c r="H37" s="57">
        <f t="shared" ref="H37:H38" ca="1" si="28">DATEDIF(F37,$A$3,"YM")</f>
        <v>8</v>
      </c>
      <c r="I37" s="58"/>
      <c r="J37" s="58"/>
      <c r="K37" s="55" t="s">
        <v>35</v>
      </c>
      <c r="L37" s="55" t="s">
        <v>36</v>
      </c>
      <c r="M37" s="55" t="s">
        <v>41</v>
      </c>
      <c r="N37" s="56">
        <v>35463</v>
      </c>
      <c r="O37" s="77">
        <f t="shared" ref="O37:O38" ca="1" si="29">DATEDIF(N37,$A$3,"Y")</f>
        <v>23</v>
      </c>
      <c r="P37" s="77">
        <f t="shared" ref="P37:P38" ca="1" si="30">DATEDIF(N37,$A$3,"YM")</f>
        <v>11</v>
      </c>
      <c r="Q37" s="51" t="s">
        <v>244</v>
      </c>
      <c r="R37" s="51" t="s">
        <v>153</v>
      </c>
      <c r="S37" s="55" t="s">
        <v>44</v>
      </c>
      <c r="T37" s="55" t="s">
        <v>59</v>
      </c>
      <c r="U37" s="60"/>
      <c r="V37" s="58"/>
      <c r="W37" s="60"/>
      <c r="X37" s="58"/>
      <c r="Y37" s="57"/>
      <c r="Z37" s="62"/>
      <c r="AA37" s="71"/>
      <c r="AB37" s="57"/>
      <c r="AC37" s="71"/>
      <c r="AD37" s="71"/>
      <c r="AE37" s="71"/>
      <c r="AF37" s="63" t="s">
        <v>245</v>
      </c>
      <c r="AG37" s="60" t="s">
        <v>246</v>
      </c>
      <c r="AH37" s="60" t="s">
        <v>246</v>
      </c>
      <c r="AI37" s="60"/>
      <c r="AJ37" s="51"/>
      <c r="AK37" s="51" t="s">
        <v>48</v>
      </c>
      <c r="AL37" s="63" t="s">
        <v>247</v>
      </c>
      <c r="AM37" s="63" t="s">
        <v>220</v>
      </c>
      <c r="AN37" s="57">
        <v>1440017357275</v>
      </c>
      <c r="AO37" s="51" t="s">
        <v>64</v>
      </c>
      <c r="AP37" s="55" t="s">
        <v>95</v>
      </c>
      <c r="AQ37" s="64" t="s">
        <v>48</v>
      </c>
    </row>
    <row r="38" spans="1:43" s="65" customFormat="1" ht="18.75" customHeight="1">
      <c r="A38" s="51">
        <f t="shared" si="23"/>
        <v>26</v>
      </c>
      <c r="B38" s="51" t="s">
        <v>333</v>
      </c>
      <c r="C38" s="53" t="s">
        <v>355</v>
      </c>
      <c r="D38" s="54" t="s">
        <v>144</v>
      </c>
      <c r="E38" s="55" t="s">
        <v>344</v>
      </c>
      <c r="F38" s="56">
        <v>43202</v>
      </c>
      <c r="G38" s="57">
        <f t="shared" ca="1" si="27"/>
        <v>2</v>
      </c>
      <c r="H38" s="57">
        <f t="shared" ca="1" si="28"/>
        <v>8</v>
      </c>
      <c r="I38" s="58"/>
      <c r="J38" s="58"/>
      <c r="K38" s="55" t="s">
        <v>76</v>
      </c>
      <c r="L38" s="55" t="s">
        <v>36</v>
      </c>
      <c r="M38" s="55" t="s">
        <v>41</v>
      </c>
      <c r="N38" s="56">
        <v>34056</v>
      </c>
      <c r="O38" s="77">
        <f t="shared" ca="1" si="29"/>
        <v>27</v>
      </c>
      <c r="P38" s="77">
        <f t="shared" ca="1" si="30"/>
        <v>9</v>
      </c>
      <c r="Q38" s="51" t="s">
        <v>136</v>
      </c>
      <c r="R38" s="51" t="s">
        <v>48</v>
      </c>
      <c r="S38" s="55" t="s">
        <v>48</v>
      </c>
      <c r="T38" s="55" t="s">
        <v>350</v>
      </c>
      <c r="U38" s="60" t="s">
        <v>351</v>
      </c>
      <c r="V38" s="58">
        <v>33005</v>
      </c>
      <c r="W38" s="60"/>
      <c r="X38" s="58"/>
      <c r="Y38" s="57"/>
      <c r="Z38" s="62"/>
      <c r="AA38" s="71"/>
      <c r="AB38" s="57"/>
      <c r="AC38" s="71"/>
      <c r="AD38" s="71"/>
      <c r="AE38" s="71"/>
      <c r="AF38" s="63" t="s">
        <v>352</v>
      </c>
      <c r="AG38" s="60" t="s">
        <v>353</v>
      </c>
      <c r="AH38" s="60" t="s">
        <v>353</v>
      </c>
      <c r="AI38" s="60"/>
      <c r="AJ38" s="51"/>
      <c r="AK38" s="51" t="s">
        <v>48</v>
      </c>
      <c r="AL38" s="70" t="s">
        <v>354</v>
      </c>
      <c r="AM38" s="63" t="s">
        <v>355</v>
      </c>
      <c r="AN38" s="57">
        <v>1440016530633</v>
      </c>
      <c r="AO38" s="51" t="s">
        <v>64</v>
      </c>
      <c r="AP38" s="55" t="s">
        <v>95</v>
      </c>
      <c r="AQ38" s="64"/>
    </row>
    <row r="39" spans="1:43" s="65" customFormat="1" ht="18.75" customHeight="1">
      <c r="A39" s="51">
        <f t="shared" si="23"/>
        <v>27</v>
      </c>
      <c r="B39" s="51" t="s">
        <v>404</v>
      </c>
      <c r="C39" s="53" t="s">
        <v>401</v>
      </c>
      <c r="D39" s="54" t="s">
        <v>144</v>
      </c>
      <c r="E39" s="55" t="s">
        <v>344</v>
      </c>
      <c r="F39" s="56">
        <v>43330</v>
      </c>
      <c r="G39" s="57">
        <f t="shared" ref="G39" ca="1" si="31">DATEDIF(F39,$A$3,"Y")</f>
        <v>2</v>
      </c>
      <c r="H39" s="57">
        <f t="shared" ref="H39" ca="1" si="32">DATEDIF(F39,$A$3,"YM")</f>
        <v>4</v>
      </c>
      <c r="I39" s="58"/>
      <c r="J39" s="58"/>
      <c r="K39" s="55" t="s">
        <v>35</v>
      </c>
      <c r="L39" s="55" t="s">
        <v>36</v>
      </c>
      <c r="M39" s="55" t="s">
        <v>41</v>
      </c>
      <c r="N39" s="56">
        <v>36332</v>
      </c>
      <c r="O39" s="77">
        <f t="shared" ref="O39:O40" ca="1" si="33">DATEDIF(N39,$A$3,"Y")</f>
        <v>21</v>
      </c>
      <c r="P39" s="77">
        <f t="shared" ref="P39:P40" ca="1" si="34">DATEDIF(N39,$A$3,"YM")</f>
        <v>6</v>
      </c>
      <c r="Q39" s="51" t="s">
        <v>152</v>
      </c>
      <c r="R39" s="51" t="s">
        <v>48</v>
      </c>
      <c r="S39" s="55" t="s">
        <v>48</v>
      </c>
      <c r="T39" s="55" t="s">
        <v>59</v>
      </c>
      <c r="U39" s="60"/>
      <c r="V39" s="58"/>
      <c r="W39" s="60"/>
      <c r="X39" s="58"/>
      <c r="Y39" s="57"/>
      <c r="Z39" s="62"/>
      <c r="AA39" s="71"/>
      <c r="AB39" s="57"/>
      <c r="AC39" s="71"/>
      <c r="AD39" s="71"/>
      <c r="AE39" s="71"/>
      <c r="AF39" s="63"/>
      <c r="AG39" s="60"/>
      <c r="AH39" s="60"/>
      <c r="AI39" s="60"/>
      <c r="AJ39" s="51"/>
      <c r="AK39" s="51"/>
      <c r="AL39" s="70"/>
      <c r="AM39" s="63"/>
      <c r="AN39" s="57"/>
      <c r="AO39" s="51" t="s">
        <v>64</v>
      </c>
      <c r="AP39" s="55" t="s">
        <v>95</v>
      </c>
      <c r="AQ39" s="64"/>
    </row>
    <row r="40" spans="1:43" s="65" customFormat="1" ht="18.75" customHeight="1">
      <c r="A40" s="51">
        <f t="shared" si="23"/>
        <v>28</v>
      </c>
      <c r="B40" s="51" t="s">
        <v>430</v>
      </c>
      <c r="C40" s="115" t="s">
        <v>400</v>
      </c>
      <c r="D40" s="54" t="s">
        <v>144</v>
      </c>
      <c r="E40" s="55" t="s">
        <v>344</v>
      </c>
      <c r="F40" s="56">
        <v>43398</v>
      </c>
      <c r="G40" s="57">
        <f t="shared" ref="G40:G41" ca="1" si="35">DATEDIF(F40,$A$3,"Y")</f>
        <v>2</v>
      </c>
      <c r="H40" s="57">
        <f t="shared" ref="H40:H41" ca="1" si="36">DATEDIF(F40,$A$3,"YM")</f>
        <v>2</v>
      </c>
      <c r="I40" s="58"/>
      <c r="J40" s="58"/>
      <c r="K40" s="55" t="s">
        <v>35</v>
      </c>
      <c r="L40" s="55" t="s">
        <v>36</v>
      </c>
      <c r="M40" s="55" t="s">
        <v>41</v>
      </c>
      <c r="N40" s="56">
        <v>32168</v>
      </c>
      <c r="O40" s="77">
        <f t="shared" ca="1" si="33"/>
        <v>32</v>
      </c>
      <c r="P40" s="77">
        <f t="shared" ca="1" si="34"/>
        <v>11</v>
      </c>
      <c r="Q40" s="51" t="s">
        <v>152</v>
      </c>
      <c r="R40" s="51" t="s">
        <v>48</v>
      </c>
      <c r="S40" s="55" t="s">
        <v>48</v>
      </c>
      <c r="T40" s="55" t="s">
        <v>45</v>
      </c>
      <c r="U40" s="60"/>
      <c r="V40" s="58"/>
      <c r="W40" s="60"/>
      <c r="X40" s="58"/>
      <c r="Y40" s="57"/>
      <c r="Z40" s="62"/>
      <c r="AA40" s="71"/>
      <c r="AB40" s="57"/>
      <c r="AC40" s="71"/>
      <c r="AD40" s="71"/>
      <c r="AE40" s="71"/>
      <c r="AF40" s="63"/>
      <c r="AG40" s="60"/>
      <c r="AH40" s="60"/>
      <c r="AI40" s="60"/>
      <c r="AJ40" s="51"/>
      <c r="AK40" s="51"/>
      <c r="AL40" s="70"/>
      <c r="AM40" s="63"/>
      <c r="AN40" s="57"/>
      <c r="AO40" s="51" t="s">
        <v>64</v>
      </c>
      <c r="AP40" s="55" t="s">
        <v>95</v>
      </c>
      <c r="AQ40" s="64"/>
    </row>
    <row r="41" spans="1:43" s="65" customFormat="1" ht="20.25" customHeight="1">
      <c r="A41" s="51">
        <f t="shared" si="23"/>
        <v>29</v>
      </c>
      <c r="B41" s="51" t="s">
        <v>432</v>
      </c>
      <c r="C41" s="116" t="s">
        <v>427</v>
      </c>
      <c r="D41" s="54" t="s">
        <v>144</v>
      </c>
      <c r="E41" s="55" t="s">
        <v>344</v>
      </c>
      <c r="F41" s="56">
        <v>43435</v>
      </c>
      <c r="G41" s="57">
        <f t="shared" ca="1" si="35"/>
        <v>2</v>
      </c>
      <c r="H41" s="57">
        <f t="shared" ca="1" si="36"/>
        <v>1</v>
      </c>
      <c r="I41" s="58"/>
      <c r="J41" s="58"/>
      <c r="K41" s="55" t="s">
        <v>35</v>
      </c>
      <c r="L41" s="55" t="s">
        <v>36</v>
      </c>
      <c r="M41" s="55" t="s">
        <v>197</v>
      </c>
      <c r="N41" s="56">
        <v>35297</v>
      </c>
      <c r="O41" s="77">
        <f t="shared" ref="O41" ca="1" si="37">DATEDIF(N41,$A$3,"Y")</f>
        <v>24</v>
      </c>
      <c r="P41" s="77">
        <f t="shared" ref="P41" ca="1" si="38">DATEDIF(N41,$A$3,"YM")</f>
        <v>4</v>
      </c>
      <c r="Q41" s="51" t="s">
        <v>152</v>
      </c>
      <c r="R41" s="51" t="s">
        <v>48</v>
      </c>
      <c r="S41" s="55" t="s">
        <v>48</v>
      </c>
      <c r="T41" s="55" t="s">
        <v>59</v>
      </c>
      <c r="U41" s="60"/>
      <c r="V41" s="58"/>
      <c r="W41" s="60"/>
      <c r="X41" s="58"/>
      <c r="Y41" s="57"/>
      <c r="Z41" s="62"/>
      <c r="AA41" s="71"/>
      <c r="AB41" s="57"/>
      <c r="AC41" s="71"/>
      <c r="AD41" s="71"/>
      <c r="AE41" s="71"/>
      <c r="AF41" s="63"/>
      <c r="AG41" s="60"/>
      <c r="AH41" s="60" t="s">
        <v>434</v>
      </c>
      <c r="AI41" s="60"/>
      <c r="AJ41" s="51"/>
      <c r="AK41" s="51" t="s">
        <v>48</v>
      </c>
      <c r="AL41" s="70" t="s">
        <v>433</v>
      </c>
      <c r="AM41" s="63"/>
      <c r="AN41" s="57"/>
      <c r="AO41" s="51" t="s">
        <v>64</v>
      </c>
      <c r="AP41" s="55" t="s">
        <v>95</v>
      </c>
      <c r="AQ41" s="64"/>
    </row>
    <row r="42" spans="1:43" s="18" customFormat="1" ht="18.75" customHeight="1">
      <c r="A42" s="689" t="s">
        <v>113</v>
      </c>
      <c r="B42" s="690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5"/>
      <c r="N42" s="34"/>
      <c r="O42" s="34"/>
      <c r="P42" s="34"/>
      <c r="Q42" s="34"/>
      <c r="R42" s="35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5"/>
      <c r="AK42" s="35"/>
      <c r="AL42" s="35"/>
      <c r="AM42" s="35"/>
      <c r="AN42" s="35"/>
      <c r="AO42" s="35"/>
      <c r="AP42" s="35"/>
      <c r="AQ42" s="102"/>
    </row>
    <row r="43" spans="1:43" s="65" customFormat="1" ht="18.75" customHeight="1">
      <c r="A43" s="51">
        <f>A41+1</f>
        <v>30</v>
      </c>
      <c r="B43" s="51" t="s">
        <v>334</v>
      </c>
      <c r="C43" s="53" t="s">
        <v>112</v>
      </c>
      <c r="D43" s="54" t="s">
        <v>113</v>
      </c>
      <c r="E43" s="55" t="s">
        <v>344</v>
      </c>
      <c r="F43" s="56">
        <v>43202</v>
      </c>
      <c r="G43" s="57">
        <f t="shared" ca="1" si="4"/>
        <v>2</v>
      </c>
      <c r="H43" s="57">
        <f t="shared" ref="H43:H45" ca="1" si="39">DATEDIF(F43,$A$3,"YM")</f>
        <v>8</v>
      </c>
      <c r="I43" s="58"/>
      <c r="J43" s="58"/>
      <c r="K43" s="55" t="s">
        <v>35</v>
      </c>
      <c r="L43" s="55" t="s">
        <v>36</v>
      </c>
      <c r="M43" s="55" t="s">
        <v>41</v>
      </c>
      <c r="N43" s="56">
        <v>23563</v>
      </c>
      <c r="O43" s="77">
        <f t="shared" ca="1" si="20"/>
        <v>56</v>
      </c>
      <c r="P43" s="77">
        <f t="shared" ca="1" si="21"/>
        <v>6</v>
      </c>
      <c r="Q43" s="51" t="s">
        <v>184</v>
      </c>
      <c r="R43" s="51" t="s">
        <v>48</v>
      </c>
      <c r="S43" s="55" t="s">
        <v>48</v>
      </c>
      <c r="T43" s="55" t="s">
        <v>45</v>
      </c>
      <c r="U43" s="67" t="s">
        <v>258</v>
      </c>
      <c r="V43" s="66">
        <v>25826</v>
      </c>
      <c r="W43" s="67" t="s">
        <v>259</v>
      </c>
      <c r="X43" s="66">
        <v>36272</v>
      </c>
      <c r="Y43" s="77">
        <f t="shared" ref="Y43:Y46" ca="1" si="40">DATEDIF(X43,$A$3,"Y")</f>
        <v>21</v>
      </c>
      <c r="Z43" s="67"/>
      <c r="AA43" s="66"/>
      <c r="AB43" s="57"/>
      <c r="AC43" s="66"/>
      <c r="AD43" s="66"/>
      <c r="AE43" s="66"/>
      <c r="AF43" s="63" t="s">
        <v>114</v>
      </c>
      <c r="AG43" s="60" t="s">
        <v>115</v>
      </c>
      <c r="AH43" s="60" t="s">
        <v>115</v>
      </c>
      <c r="AI43" s="60"/>
      <c r="AJ43" s="71"/>
      <c r="AK43" s="71" t="s">
        <v>48</v>
      </c>
      <c r="AL43" s="63" t="s">
        <v>48</v>
      </c>
      <c r="AM43" s="63" t="s">
        <v>112</v>
      </c>
      <c r="AN43" s="63" t="s">
        <v>132</v>
      </c>
      <c r="AO43" s="51" t="s">
        <v>64</v>
      </c>
      <c r="AP43" s="55" t="s">
        <v>95</v>
      </c>
      <c r="AQ43" s="64" t="s">
        <v>48</v>
      </c>
    </row>
    <row r="44" spans="1:43" s="65" customFormat="1" ht="18.75" customHeight="1">
      <c r="A44" s="51">
        <f>A43+1</f>
        <v>31</v>
      </c>
      <c r="B44" s="51" t="s">
        <v>335</v>
      </c>
      <c r="C44" s="53" t="s">
        <v>216</v>
      </c>
      <c r="D44" s="54" t="s">
        <v>113</v>
      </c>
      <c r="E44" s="55" t="s">
        <v>344</v>
      </c>
      <c r="F44" s="56">
        <v>43202</v>
      </c>
      <c r="G44" s="57">
        <f t="shared" ca="1" si="4"/>
        <v>2</v>
      </c>
      <c r="H44" s="57">
        <f t="shared" ca="1" si="39"/>
        <v>8</v>
      </c>
      <c r="I44" s="58"/>
      <c r="J44" s="58"/>
      <c r="K44" s="55" t="s">
        <v>35</v>
      </c>
      <c r="L44" s="55" t="s">
        <v>36</v>
      </c>
      <c r="M44" s="55" t="s">
        <v>41</v>
      </c>
      <c r="N44" s="56">
        <v>25632</v>
      </c>
      <c r="O44" s="77">
        <f t="shared" ref="O44" ca="1" si="41">DATEDIF(N44,$A$3,"Y")</f>
        <v>50</v>
      </c>
      <c r="P44" s="77">
        <f t="shared" ref="P44:P46" ca="1" si="42">DATEDIF(N44,$A$3,"YM")</f>
        <v>10</v>
      </c>
      <c r="Q44" s="51" t="s">
        <v>223</v>
      </c>
      <c r="R44" s="51" t="s">
        <v>48</v>
      </c>
      <c r="S44" s="55" t="s">
        <v>224</v>
      </c>
      <c r="T44" s="55" t="s">
        <v>210</v>
      </c>
      <c r="U44" s="67" t="s">
        <v>226</v>
      </c>
      <c r="V44" s="66">
        <v>27760</v>
      </c>
      <c r="W44" s="67" t="s">
        <v>227</v>
      </c>
      <c r="X44" s="66">
        <v>35604</v>
      </c>
      <c r="Y44" s="77">
        <f t="shared" ca="1" si="40"/>
        <v>23</v>
      </c>
      <c r="Z44" s="67" t="s">
        <v>228</v>
      </c>
      <c r="AA44" s="66">
        <v>37862</v>
      </c>
      <c r="AB44" s="77">
        <f t="shared" ref="AB44" ca="1" si="43">DATEDIF(AA44,$A$3,"Y")</f>
        <v>17</v>
      </c>
      <c r="AC44" s="66"/>
      <c r="AD44" s="66"/>
      <c r="AE44" s="66"/>
      <c r="AF44" s="63" t="s">
        <v>229</v>
      </c>
      <c r="AG44" s="60" t="s">
        <v>230</v>
      </c>
      <c r="AH44" s="60" t="s">
        <v>230</v>
      </c>
      <c r="AI44" s="60"/>
      <c r="AJ44" s="71"/>
      <c r="AK44" s="71" t="s">
        <v>48</v>
      </c>
      <c r="AL44" s="63" t="s">
        <v>231</v>
      </c>
      <c r="AM44" s="63" t="s">
        <v>216</v>
      </c>
      <c r="AN44" s="63" t="s">
        <v>232</v>
      </c>
      <c r="AO44" s="51" t="s">
        <v>64</v>
      </c>
      <c r="AP44" s="55" t="s">
        <v>95</v>
      </c>
      <c r="AQ44" s="64" t="s">
        <v>48</v>
      </c>
    </row>
    <row r="45" spans="1:43" s="65" customFormat="1" ht="18.75" customHeight="1">
      <c r="A45" s="51">
        <f t="shared" ref="A45:A46" si="44">A44+1</f>
        <v>32</v>
      </c>
      <c r="B45" s="51" t="s">
        <v>336</v>
      </c>
      <c r="C45" s="53" t="s">
        <v>196</v>
      </c>
      <c r="D45" s="54" t="s">
        <v>113</v>
      </c>
      <c r="E45" s="55" t="s">
        <v>344</v>
      </c>
      <c r="F45" s="56">
        <v>43202</v>
      </c>
      <c r="G45" s="57">
        <f t="shared" ca="1" si="4"/>
        <v>2</v>
      </c>
      <c r="H45" s="57">
        <f t="shared" ca="1" si="39"/>
        <v>8</v>
      </c>
      <c r="I45" s="58"/>
      <c r="J45" s="58"/>
      <c r="K45" s="55" t="s">
        <v>35</v>
      </c>
      <c r="L45" s="55" t="s">
        <v>36</v>
      </c>
      <c r="M45" s="55" t="s">
        <v>197</v>
      </c>
      <c r="N45" s="56">
        <v>28085</v>
      </c>
      <c r="O45" s="77">
        <f t="shared" ca="1" si="13"/>
        <v>44</v>
      </c>
      <c r="P45" s="77">
        <f t="shared" ca="1" si="42"/>
        <v>1</v>
      </c>
      <c r="Q45" s="51" t="s">
        <v>184</v>
      </c>
      <c r="R45" s="51" t="s">
        <v>48</v>
      </c>
      <c r="S45" s="55" t="s">
        <v>48</v>
      </c>
      <c r="T45" s="51" t="s">
        <v>45</v>
      </c>
      <c r="U45" s="67" t="s">
        <v>198</v>
      </c>
      <c r="V45" s="66">
        <v>30726</v>
      </c>
      <c r="W45" s="67" t="s">
        <v>199</v>
      </c>
      <c r="X45" s="66">
        <v>39029</v>
      </c>
      <c r="Y45" s="77">
        <f t="shared" ca="1" si="40"/>
        <v>14</v>
      </c>
      <c r="Z45" s="67"/>
      <c r="AA45" s="66"/>
      <c r="AB45" s="77"/>
      <c r="AC45" s="66"/>
      <c r="AD45" s="66"/>
      <c r="AE45" s="66"/>
      <c r="AF45" s="70" t="s">
        <v>200</v>
      </c>
      <c r="AG45" s="60" t="s">
        <v>201</v>
      </c>
      <c r="AH45" s="60"/>
      <c r="AI45" s="60"/>
      <c r="AJ45" s="73"/>
      <c r="AK45" s="73" t="s">
        <v>48</v>
      </c>
      <c r="AL45" s="70" t="s">
        <v>202</v>
      </c>
      <c r="AM45" s="63" t="s">
        <v>196</v>
      </c>
      <c r="AN45" s="63" t="s">
        <v>356</v>
      </c>
      <c r="AO45" s="51" t="s">
        <v>64</v>
      </c>
      <c r="AP45" s="55" t="s">
        <v>95</v>
      </c>
      <c r="AQ45" s="82" t="s">
        <v>203</v>
      </c>
    </row>
    <row r="46" spans="1:43" s="65" customFormat="1" ht="18.75" customHeight="1">
      <c r="A46" s="51">
        <f t="shared" si="44"/>
        <v>33</v>
      </c>
      <c r="B46" s="51">
        <v>9918050032</v>
      </c>
      <c r="C46" s="53" t="s">
        <v>360</v>
      </c>
      <c r="D46" s="54" t="s">
        <v>113</v>
      </c>
      <c r="E46" s="55" t="s">
        <v>344</v>
      </c>
      <c r="F46" s="56">
        <v>43222</v>
      </c>
      <c r="G46" s="57">
        <f t="shared" ref="G46" ca="1" si="45">DATEDIF(F46,$A$3,"Y")</f>
        <v>2</v>
      </c>
      <c r="H46" s="57">
        <f t="shared" ref="H46" ca="1" si="46">DATEDIF(F46,$A$3,"YM")</f>
        <v>8</v>
      </c>
      <c r="I46" s="58"/>
      <c r="J46" s="58"/>
      <c r="K46" s="55" t="s">
        <v>35</v>
      </c>
      <c r="L46" s="55" t="s">
        <v>36</v>
      </c>
      <c r="M46" s="55" t="s">
        <v>41</v>
      </c>
      <c r="N46" s="56">
        <v>32419</v>
      </c>
      <c r="O46" s="77">
        <f t="shared" ref="O46" ca="1" si="47">DATEDIF(N46,$A$3,"Y")</f>
        <v>32</v>
      </c>
      <c r="P46" s="77">
        <f t="shared" ca="1" si="42"/>
        <v>3</v>
      </c>
      <c r="Q46" s="51" t="s">
        <v>68</v>
      </c>
      <c r="R46" s="51" t="s">
        <v>364</v>
      </c>
      <c r="S46" s="55" t="s">
        <v>48</v>
      </c>
      <c r="T46" s="51" t="s">
        <v>45</v>
      </c>
      <c r="U46" s="67" t="s">
        <v>365</v>
      </c>
      <c r="V46" s="66">
        <v>31409</v>
      </c>
      <c r="W46" s="67" t="s">
        <v>366</v>
      </c>
      <c r="X46" s="66">
        <v>42670</v>
      </c>
      <c r="Y46" s="77">
        <f t="shared" ca="1" si="40"/>
        <v>4</v>
      </c>
      <c r="Z46" s="67"/>
      <c r="AA46" s="66"/>
      <c r="AB46" s="77"/>
      <c r="AC46" s="66"/>
      <c r="AD46" s="66"/>
      <c r="AE46" s="66"/>
      <c r="AF46" s="70" t="s">
        <v>367</v>
      </c>
      <c r="AG46" s="60" t="s">
        <v>368</v>
      </c>
      <c r="AH46" s="60" t="s">
        <v>369</v>
      </c>
      <c r="AI46" s="60"/>
      <c r="AJ46" s="73"/>
      <c r="AK46" s="73" t="s">
        <v>48</v>
      </c>
      <c r="AL46" s="70" t="s">
        <v>370</v>
      </c>
      <c r="AM46" s="63"/>
      <c r="AN46" s="63"/>
      <c r="AO46" s="51" t="s">
        <v>64</v>
      </c>
      <c r="AP46" s="55" t="s">
        <v>95</v>
      </c>
      <c r="AQ46" s="82"/>
    </row>
    <row r="47" spans="1:43" s="18" customFormat="1" ht="18.75" customHeight="1">
      <c r="A47" s="689" t="s">
        <v>380</v>
      </c>
      <c r="B47" s="690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5"/>
      <c r="N47" s="34"/>
      <c r="O47" s="34"/>
      <c r="P47" s="34"/>
      <c r="Q47" s="34"/>
      <c r="R47" s="35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5"/>
      <c r="AK47" s="35"/>
      <c r="AL47" s="35"/>
      <c r="AM47" s="35"/>
      <c r="AN47" s="35"/>
      <c r="AO47" s="35"/>
      <c r="AP47" s="35"/>
      <c r="AQ47" s="50"/>
    </row>
    <row r="48" spans="1:43" s="65" customFormat="1" ht="18.75" customHeight="1">
      <c r="A48" s="51">
        <f>A46+1</f>
        <v>34</v>
      </c>
      <c r="B48" s="91" t="s">
        <v>337</v>
      </c>
      <c r="C48" s="53" t="s">
        <v>255</v>
      </c>
      <c r="D48" s="54" t="s">
        <v>254</v>
      </c>
      <c r="E48" s="55" t="s">
        <v>344</v>
      </c>
      <c r="F48" s="56">
        <v>43202</v>
      </c>
      <c r="G48" s="57">
        <f t="shared" ca="1" si="4"/>
        <v>2</v>
      </c>
      <c r="H48" s="57">
        <f t="shared" ref="H48" ca="1" si="48">DATEDIF(F48,$A$3,"YM")</f>
        <v>8</v>
      </c>
      <c r="I48" s="58"/>
      <c r="J48" s="58"/>
      <c r="K48" s="55" t="s">
        <v>35</v>
      </c>
      <c r="L48" s="55" t="s">
        <v>36</v>
      </c>
      <c r="M48" s="55" t="s">
        <v>41</v>
      </c>
      <c r="N48" s="56">
        <v>25336</v>
      </c>
      <c r="O48" s="77">
        <f t="shared" ref="O48" ca="1" si="49">DATEDIF(N48,$A$3,"Y")</f>
        <v>51</v>
      </c>
      <c r="P48" s="77">
        <f ca="1">DATEDIF(N48,$A$3,"YM")</f>
        <v>7</v>
      </c>
      <c r="Q48" s="51" t="s">
        <v>184</v>
      </c>
      <c r="R48" s="51" t="s">
        <v>48</v>
      </c>
      <c r="S48" s="55" t="s">
        <v>48</v>
      </c>
      <c r="T48" s="55"/>
      <c r="U48" s="67"/>
      <c r="V48" s="66"/>
      <c r="W48" s="67"/>
      <c r="X48" s="66"/>
      <c r="Y48" s="57"/>
      <c r="Z48" s="67"/>
      <c r="AA48" s="66"/>
      <c r="AB48" s="57"/>
      <c r="AC48" s="66"/>
      <c r="AD48" s="66"/>
      <c r="AE48" s="66"/>
      <c r="AF48" s="74" t="s">
        <v>256</v>
      </c>
      <c r="AG48" s="59" t="s">
        <v>257</v>
      </c>
      <c r="AH48" s="59" t="s">
        <v>257</v>
      </c>
      <c r="AI48" s="59"/>
      <c r="AJ48" s="55"/>
      <c r="AK48" s="55" t="s">
        <v>48</v>
      </c>
      <c r="AL48" s="75" t="s">
        <v>48</v>
      </c>
      <c r="AM48" s="85" t="s">
        <v>255</v>
      </c>
      <c r="AN48" s="75" t="s">
        <v>357</v>
      </c>
      <c r="AO48" s="51" t="s">
        <v>64</v>
      </c>
      <c r="AP48" s="55" t="s">
        <v>95</v>
      </c>
      <c r="AQ48" s="68" t="s">
        <v>48</v>
      </c>
    </row>
    <row r="51" spans="1:43" s="18" customFormat="1" ht="18.75" customHeight="1">
      <c r="A51" s="689" t="s">
        <v>381</v>
      </c>
      <c r="B51" s="690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5"/>
      <c r="N51" s="34"/>
      <c r="O51" s="34"/>
      <c r="P51" s="34"/>
      <c r="Q51" s="34"/>
      <c r="R51" s="35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5"/>
      <c r="AK51" s="35"/>
      <c r="AL51" s="35"/>
      <c r="AM51" s="35"/>
      <c r="AN51" s="35"/>
      <c r="AO51" s="35"/>
      <c r="AP51" s="35"/>
      <c r="AQ51" s="50"/>
    </row>
    <row r="52" spans="1:43" s="65" customFormat="1" ht="18.75" customHeight="1">
      <c r="A52" s="51">
        <v>1</v>
      </c>
      <c r="B52" s="51" t="s">
        <v>316</v>
      </c>
      <c r="C52" s="53" t="s">
        <v>103</v>
      </c>
      <c r="D52" s="54" t="s">
        <v>89</v>
      </c>
      <c r="E52" s="105" t="s">
        <v>379</v>
      </c>
      <c r="F52" s="56">
        <v>43202</v>
      </c>
      <c r="G52" s="57">
        <f ca="1">DATEDIF(F52,$A$3,"Y")</f>
        <v>2</v>
      </c>
      <c r="H52" s="57">
        <f ca="1">DATEDIF(F52,$A$3,"YM")</f>
        <v>8</v>
      </c>
      <c r="I52" s="58"/>
      <c r="J52" s="58"/>
      <c r="K52" s="55" t="s">
        <v>76</v>
      </c>
      <c r="L52" s="55" t="s">
        <v>36</v>
      </c>
      <c r="M52" s="55" t="s">
        <v>41</v>
      </c>
      <c r="N52" s="56">
        <v>36136</v>
      </c>
      <c r="O52" s="77">
        <f ca="1">DATEDIF(N52,$A$3,"Y")</f>
        <v>22</v>
      </c>
      <c r="P52" s="77">
        <f ca="1">DATEDIF(N52,$A$3,"YM")</f>
        <v>0</v>
      </c>
      <c r="Q52" s="51" t="s">
        <v>68</v>
      </c>
      <c r="R52" s="51" t="s">
        <v>104</v>
      </c>
      <c r="S52" s="55" t="s">
        <v>105</v>
      </c>
      <c r="T52" s="55" t="s">
        <v>59</v>
      </c>
      <c r="U52" s="60"/>
      <c r="V52" s="58"/>
      <c r="W52" s="60"/>
      <c r="X52" s="58"/>
      <c r="Y52" s="57"/>
      <c r="Z52" s="62"/>
      <c r="AA52" s="71"/>
      <c r="AB52" s="57"/>
      <c r="AC52" s="71"/>
      <c r="AD52" s="71"/>
      <c r="AE52" s="71"/>
      <c r="AF52" s="63" t="s">
        <v>106</v>
      </c>
      <c r="AG52" s="60" t="s">
        <v>107</v>
      </c>
      <c r="AH52" s="60" t="s">
        <v>107</v>
      </c>
      <c r="AI52" s="60"/>
      <c r="AJ52" s="51"/>
      <c r="AK52" s="51" t="s">
        <v>48</v>
      </c>
      <c r="AL52" s="63" t="s">
        <v>108</v>
      </c>
      <c r="AM52" s="63" t="s">
        <v>103</v>
      </c>
      <c r="AN52" s="57"/>
      <c r="AO52" s="51" t="s">
        <v>64</v>
      </c>
      <c r="AP52" s="51" t="s">
        <v>41</v>
      </c>
      <c r="AQ52" s="88" t="s">
        <v>48</v>
      </c>
    </row>
    <row r="53" spans="1:43" s="65" customFormat="1" ht="18.75" customHeight="1">
      <c r="A53" s="51">
        <v>2</v>
      </c>
      <c r="B53" s="51" t="s">
        <v>317</v>
      </c>
      <c r="C53" s="53" t="s">
        <v>80</v>
      </c>
      <c r="D53" s="54" t="s">
        <v>81</v>
      </c>
      <c r="E53" s="105" t="s">
        <v>388</v>
      </c>
      <c r="F53" s="56">
        <v>43202</v>
      </c>
      <c r="G53" s="57">
        <f ca="1">DATEDIF(F53,$A$3,"Y")</f>
        <v>2</v>
      </c>
      <c r="H53" s="57">
        <f ca="1">DATEDIF(F53,$A$3,"YM")</f>
        <v>8</v>
      </c>
      <c r="I53" s="58"/>
      <c r="J53" s="58"/>
      <c r="K53" s="55" t="s">
        <v>76</v>
      </c>
      <c r="L53" s="55" t="s">
        <v>36</v>
      </c>
      <c r="M53" s="55" t="s">
        <v>41</v>
      </c>
      <c r="N53" s="56">
        <v>32998</v>
      </c>
      <c r="O53" s="77">
        <f ca="1">DATEDIF(N53,$A$3,"Y")</f>
        <v>30</v>
      </c>
      <c r="P53" s="77">
        <f ca="1">DATEDIF(N53,$A$3,"YM")</f>
        <v>8</v>
      </c>
      <c r="Q53" s="51" t="s">
        <v>82</v>
      </c>
      <c r="R53" s="51" t="s">
        <v>48</v>
      </c>
      <c r="S53" s="55" t="s">
        <v>44</v>
      </c>
      <c r="T53" s="55" t="s">
        <v>59</v>
      </c>
      <c r="U53" s="60"/>
      <c r="V53" s="58"/>
      <c r="W53" s="60"/>
      <c r="X53" s="58"/>
      <c r="Y53" s="57"/>
      <c r="Z53" s="60"/>
      <c r="AA53" s="61"/>
      <c r="AB53" s="57"/>
      <c r="AC53" s="62"/>
      <c r="AD53" s="58"/>
      <c r="AE53" s="51"/>
      <c r="AF53" s="63" t="s">
        <v>83</v>
      </c>
      <c r="AG53" s="60" t="s">
        <v>84</v>
      </c>
      <c r="AH53" s="60" t="s">
        <v>84</v>
      </c>
      <c r="AI53" s="60"/>
      <c r="AJ53" s="51"/>
      <c r="AK53" s="51" t="s">
        <v>48</v>
      </c>
      <c r="AL53" s="63" t="s">
        <v>48</v>
      </c>
      <c r="AM53" s="63" t="s">
        <v>80</v>
      </c>
      <c r="AN53" s="63" t="s">
        <v>85</v>
      </c>
      <c r="AO53" s="51" t="s">
        <v>64</v>
      </c>
      <c r="AP53" s="55" t="s">
        <v>95</v>
      </c>
      <c r="AQ53" s="64" t="s">
        <v>48</v>
      </c>
    </row>
    <row r="54" spans="1:43" s="65" customFormat="1" ht="18.75" customHeight="1">
      <c r="A54" s="51">
        <v>3</v>
      </c>
      <c r="B54" s="51">
        <v>9918040030</v>
      </c>
      <c r="C54" s="53" t="s">
        <v>338</v>
      </c>
      <c r="D54" s="54" t="s">
        <v>144</v>
      </c>
      <c r="E54" s="105" t="s">
        <v>389</v>
      </c>
      <c r="F54" s="56">
        <v>43202</v>
      </c>
      <c r="G54" s="57">
        <f t="shared" ref="G54:G57" ca="1" si="50">DATEDIF(F54,$A$3,"Y")</f>
        <v>2</v>
      </c>
      <c r="H54" s="57">
        <f t="shared" ref="H54:H57" ca="1" si="51">DATEDIF(F54,$A$3,"YM")</f>
        <v>8</v>
      </c>
      <c r="I54" s="58"/>
      <c r="J54" s="58"/>
      <c r="K54" s="55" t="s">
        <v>35</v>
      </c>
      <c r="L54" s="55" t="s">
        <v>36</v>
      </c>
      <c r="M54" s="55" t="s">
        <v>41</v>
      </c>
      <c r="N54" s="56">
        <v>31551</v>
      </c>
      <c r="O54" s="77">
        <f t="shared" ref="O54:O57" ca="1" si="52">DATEDIF(N54,$A$3,"Y")</f>
        <v>34</v>
      </c>
      <c r="P54" s="77">
        <f t="shared" ref="P54:P57" ca="1" si="53">DATEDIF(N54,$A$3,"YM")</f>
        <v>7</v>
      </c>
      <c r="Q54" s="51" t="s">
        <v>152</v>
      </c>
      <c r="R54" s="51" t="s">
        <v>48</v>
      </c>
      <c r="S54" s="55" t="s">
        <v>48</v>
      </c>
      <c r="T54" s="55" t="s">
        <v>45</v>
      </c>
      <c r="U54" s="60" t="s">
        <v>339</v>
      </c>
      <c r="V54" s="58">
        <v>32728</v>
      </c>
      <c r="W54" s="60" t="s">
        <v>340</v>
      </c>
      <c r="X54" s="58">
        <v>41388</v>
      </c>
      <c r="Y54" s="77">
        <f ca="1">DATEDIF(X54,$A$3,"Y")</f>
        <v>7</v>
      </c>
      <c r="Z54" s="62"/>
      <c r="AA54" s="71"/>
      <c r="AB54" s="57"/>
      <c r="AC54" s="71"/>
      <c r="AD54" s="71"/>
      <c r="AE54" s="71"/>
      <c r="AF54" s="63" t="s">
        <v>341</v>
      </c>
      <c r="AG54" s="60" t="s">
        <v>342</v>
      </c>
      <c r="AH54" s="60"/>
      <c r="AI54" s="60"/>
      <c r="AJ54" s="51"/>
      <c r="AK54" s="51" t="s">
        <v>48</v>
      </c>
      <c r="AL54" s="63" t="s">
        <v>343</v>
      </c>
      <c r="AM54" s="63" t="s">
        <v>338</v>
      </c>
      <c r="AN54" s="57">
        <v>1440017358075</v>
      </c>
      <c r="AO54" s="51" t="s">
        <v>64</v>
      </c>
      <c r="AP54" s="55" t="s">
        <v>95</v>
      </c>
      <c r="AQ54" s="64" t="s">
        <v>48</v>
      </c>
    </row>
    <row r="55" spans="1:43" s="65" customFormat="1" ht="18.75" customHeight="1">
      <c r="A55" s="51">
        <v>4</v>
      </c>
      <c r="B55" s="51" t="s">
        <v>331</v>
      </c>
      <c r="C55" s="53" t="s">
        <v>219</v>
      </c>
      <c r="D55" s="54" t="s">
        <v>144</v>
      </c>
      <c r="E55" s="105" t="s">
        <v>390</v>
      </c>
      <c r="F55" s="56">
        <v>43202</v>
      </c>
      <c r="G55" s="57">
        <f t="shared" ca="1" si="50"/>
        <v>2</v>
      </c>
      <c r="H55" s="57">
        <f t="shared" ca="1" si="51"/>
        <v>8</v>
      </c>
      <c r="I55" s="58"/>
      <c r="J55" s="58"/>
      <c r="K55" s="55" t="s">
        <v>35</v>
      </c>
      <c r="L55" s="55" t="s">
        <v>36</v>
      </c>
      <c r="M55" s="55" t="s">
        <v>41</v>
      </c>
      <c r="N55" s="56">
        <v>36057</v>
      </c>
      <c r="O55" s="77">
        <f t="shared" ca="1" si="52"/>
        <v>22</v>
      </c>
      <c r="P55" s="77">
        <f t="shared" ca="1" si="53"/>
        <v>3</v>
      </c>
      <c r="Q55" s="51" t="s">
        <v>68</v>
      </c>
      <c r="R55" s="51" t="s">
        <v>177</v>
      </c>
      <c r="S55" s="55" t="s">
        <v>105</v>
      </c>
      <c r="T55" s="55" t="s">
        <v>59</v>
      </c>
      <c r="U55" s="60"/>
      <c r="V55" s="58"/>
      <c r="W55" s="60"/>
      <c r="X55" s="58"/>
      <c r="Y55" s="57"/>
      <c r="Z55" s="62"/>
      <c r="AA55" s="71"/>
      <c r="AB55" s="57"/>
      <c r="AC55" s="71"/>
      <c r="AD55" s="71"/>
      <c r="AE55" s="71"/>
      <c r="AF55" s="63" t="s">
        <v>241</v>
      </c>
      <c r="AG55" s="60" t="s">
        <v>242</v>
      </c>
      <c r="AH55" s="60" t="s">
        <v>242</v>
      </c>
      <c r="AI55" s="60"/>
      <c r="AJ55" s="51"/>
      <c r="AK55" s="51" t="s">
        <v>48</v>
      </c>
      <c r="AL55" s="63" t="s">
        <v>243</v>
      </c>
      <c r="AM55" s="63" t="s">
        <v>219</v>
      </c>
      <c r="AN55" s="57">
        <v>1440016805381</v>
      </c>
      <c r="AO55" s="51" t="s">
        <v>64</v>
      </c>
      <c r="AP55" s="55" t="s">
        <v>95</v>
      </c>
      <c r="AQ55" s="64" t="s">
        <v>48</v>
      </c>
    </row>
    <row r="56" spans="1:43" s="65" customFormat="1" ht="18.75" customHeight="1">
      <c r="A56" s="51">
        <v>5</v>
      </c>
      <c r="B56" s="51">
        <v>9918040008</v>
      </c>
      <c r="C56" s="53" t="s">
        <v>204</v>
      </c>
      <c r="D56" s="54" t="s">
        <v>89</v>
      </c>
      <c r="E56" s="105" t="s">
        <v>391</v>
      </c>
      <c r="F56" s="56">
        <v>43202</v>
      </c>
      <c r="G56" s="57">
        <f t="shared" ca="1" si="50"/>
        <v>2</v>
      </c>
      <c r="H56" s="57">
        <f t="shared" ca="1" si="51"/>
        <v>8</v>
      </c>
      <c r="I56" s="58"/>
      <c r="J56" s="58"/>
      <c r="K56" s="55" t="s">
        <v>76</v>
      </c>
      <c r="L56" s="55" t="s">
        <v>36</v>
      </c>
      <c r="M56" s="55" t="s">
        <v>41</v>
      </c>
      <c r="N56" s="56">
        <v>36114</v>
      </c>
      <c r="O56" s="77">
        <f t="shared" ca="1" si="52"/>
        <v>22</v>
      </c>
      <c r="P56" s="77">
        <f t="shared" ca="1" si="53"/>
        <v>1</v>
      </c>
      <c r="Q56" s="51" t="s">
        <v>68</v>
      </c>
      <c r="R56" s="51" t="s">
        <v>69</v>
      </c>
      <c r="S56" s="55" t="s">
        <v>44</v>
      </c>
      <c r="T56" s="55" t="s">
        <v>59</v>
      </c>
      <c r="U56" s="60"/>
      <c r="V56" s="58"/>
      <c r="W56" s="60"/>
      <c r="X56" s="58"/>
      <c r="Y56" s="57"/>
      <c r="Z56" s="62"/>
      <c r="AA56" s="71"/>
      <c r="AB56" s="57"/>
      <c r="AC56" s="71"/>
      <c r="AD56" s="71"/>
      <c r="AE56" s="71"/>
      <c r="AF56" s="63" t="s">
        <v>205</v>
      </c>
      <c r="AG56" s="60" t="s">
        <v>206</v>
      </c>
      <c r="AH56" s="60" t="s">
        <v>206</v>
      </c>
      <c r="AI56" s="60"/>
      <c r="AJ56" s="51"/>
      <c r="AK56" s="51" t="s">
        <v>48</v>
      </c>
      <c r="AL56" s="63" t="s">
        <v>207</v>
      </c>
      <c r="AM56" s="63" t="s">
        <v>204</v>
      </c>
      <c r="AN56" s="57">
        <v>1440016867514</v>
      </c>
      <c r="AO56" s="51" t="s">
        <v>64</v>
      </c>
      <c r="AP56" s="55" t="s">
        <v>95</v>
      </c>
      <c r="AQ56" s="88" t="s">
        <v>48</v>
      </c>
    </row>
    <row r="57" spans="1:43" s="65" customFormat="1" ht="18.75" customHeight="1">
      <c r="A57" s="51">
        <f t="shared" ref="A57" si="54">A56+1</f>
        <v>6</v>
      </c>
      <c r="B57" s="51" t="s">
        <v>313</v>
      </c>
      <c r="C57" s="53" t="s">
        <v>66</v>
      </c>
      <c r="D57" s="54" t="s">
        <v>67</v>
      </c>
      <c r="E57" s="105" t="s">
        <v>435</v>
      </c>
      <c r="F57" s="56">
        <v>43202</v>
      </c>
      <c r="G57" s="57">
        <f t="shared" ca="1" si="50"/>
        <v>2</v>
      </c>
      <c r="H57" s="57">
        <f t="shared" ca="1" si="51"/>
        <v>8</v>
      </c>
      <c r="I57" s="58"/>
      <c r="J57" s="58"/>
      <c r="K57" s="55" t="s">
        <v>35</v>
      </c>
      <c r="L57" s="55" t="s">
        <v>36</v>
      </c>
      <c r="M57" s="55" t="s">
        <v>41</v>
      </c>
      <c r="N57" s="56">
        <v>34991</v>
      </c>
      <c r="O57" s="77">
        <f t="shared" ca="1" si="52"/>
        <v>25</v>
      </c>
      <c r="P57" s="77">
        <f t="shared" ca="1" si="53"/>
        <v>2</v>
      </c>
      <c r="Q57" s="51" t="s">
        <v>68</v>
      </c>
      <c r="R57" s="51" t="s">
        <v>69</v>
      </c>
      <c r="S57" s="55" t="s">
        <v>44</v>
      </c>
      <c r="T57" s="55" t="s">
        <v>59</v>
      </c>
      <c r="U57" s="60"/>
      <c r="V57" s="58"/>
      <c r="W57" s="60"/>
      <c r="X57" s="58"/>
      <c r="Y57" s="57"/>
      <c r="Z57" s="62"/>
      <c r="AA57" s="61"/>
      <c r="AB57" s="57"/>
      <c r="AC57" s="62"/>
      <c r="AD57" s="58"/>
      <c r="AE57" s="51"/>
      <c r="AF57" s="63" t="s">
        <v>87</v>
      </c>
      <c r="AG57" s="60" t="s">
        <v>70</v>
      </c>
      <c r="AH57" s="60" t="s">
        <v>70</v>
      </c>
      <c r="AI57" s="60"/>
      <c r="AJ57" s="71"/>
      <c r="AK57" s="51" t="s">
        <v>48</v>
      </c>
      <c r="AL57" s="63" t="s">
        <v>71</v>
      </c>
      <c r="AM57" s="74" t="s">
        <v>66</v>
      </c>
      <c r="AN57" s="74" t="s">
        <v>72</v>
      </c>
      <c r="AO57" s="55" t="s">
        <v>64</v>
      </c>
      <c r="AP57" s="55" t="s">
        <v>95</v>
      </c>
      <c r="AQ57" s="87" t="s">
        <v>73</v>
      </c>
    </row>
  </sheetData>
  <autoFilter ref="A5:AQ48">
    <filterColumn colId="0" showButton="0"/>
    <filterColumn colId="6" showButton="0"/>
    <filterColumn colId="8" showButton="0"/>
    <filterColumn colId="14" showButton="0"/>
    <filterColumn colId="16" showButton="0"/>
    <filterColumn colId="17" showButton="0"/>
    <filterColumn colId="20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1" showButton="0"/>
    <filterColumn colId="38" showButton="0"/>
    <filterColumn colId="39" showButton="0"/>
    <filterColumn colId="40" showButton="0"/>
  </autoFilter>
  <dataConsolidate/>
  <mergeCells count="57">
    <mergeCell ref="A51:B51"/>
    <mergeCell ref="A8:B8"/>
    <mergeCell ref="A11:B11"/>
    <mergeCell ref="AI5:AI7"/>
    <mergeCell ref="E5:E7"/>
    <mergeCell ref="D5:D7"/>
    <mergeCell ref="S5:S7"/>
    <mergeCell ref="F5:F7"/>
    <mergeCell ref="G5:H5"/>
    <mergeCell ref="I5:J5"/>
    <mergeCell ref="K5:K7"/>
    <mergeCell ref="A5:A7"/>
    <mergeCell ref="B5:B7"/>
    <mergeCell ref="C5:C7"/>
    <mergeCell ref="T5:T7"/>
    <mergeCell ref="A47:B47"/>
    <mergeCell ref="A3:C3"/>
    <mergeCell ref="L5:L7"/>
    <mergeCell ref="M5:M7"/>
    <mergeCell ref="O5:P6"/>
    <mergeCell ref="Q5:R5"/>
    <mergeCell ref="Q6:Q7"/>
    <mergeCell ref="R6:R7"/>
    <mergeCell ref="G6:H6"/>
    <mergeCell ref="I6:I7"/>
    <mergeCell ref="J6:J7"/>
    <mergeCell ref="N5:N6"/>
    <mergeCell ref="W5:Y5"/>
    <mergeCell ref="Z5:AB5"/>
    <mergeCell ref="AC5:AE5"/>
    <mergeCell ref="U6:U7"/>
    <mergeCell ref="V6:V7"/>
    <mergeCell ref="W6:W7"/>
    <mergeCell ref="X6:X7"/>
    <mergeCell ref="AA6:AA7"/>
    <mergeCell ref="AB6:AB7"/>
    <mergeCell ref="AC6:AC7"/>
    <mergeCell ref="AD6:AD7"/>
    <mergeCell ref="AE6:AE7"/>
    <mergeCell ref="Y6:Y7"/>
    <mergeCell ref="U5:V5"/>
    <mergeCell ref="A24:B24"/>
    <mergeCell ref="A42:B42"/>
    <mergeCell ref="AQ5:AQ7"/>
    <mergeCell ref="AO6:AO7"/>
    <mergeCell ref="AP6:AP7"/>
    <mergeCell ref="AM5:AP5"/>
    <mergeCell ref="AM6:AM7"/>
    <mergeCell ref="AN6:AN7"/>
    <mergeCell ref="AL5:AL7"/>
    <mergeCell ref="AF6:AF7"/>
    <mergeCell ref="AG6:AG7"/>
    <mergeCell ref="Z6:Z7"/>
    <mergeCell ref="AF5:AG5"/>
    <mergeCell ref="AH5:AH7"/>
    <mergeCell ref="AJ5:AJ7"/>
    <mergeCell ref="AK5:AK7"/>
  </mergeCells>
  <conditionalFormatting sqref="D9">
    <cfRule type="expression" dxfId="35" priority="9" stopIfTrue="1">
      <formula>$D$9</formula>
    </cfRule>
  </conditionalFormatting>
  <conditionalFormatting sqref="D10">
    <cfRule type="expression" dxfId="34" priority="1" stopIfTrue="1">
      <formula>$D$9</formula>
    </cfRule>
  </conditionalFormatting>
  <hyperlinks>
    <hyperlink ref="AQ13" r:id="rId1"/>
    <hyperlink ref="AQ14" r:id="rId2"/>
    <hyperlink ref="AQ17" r:id="rId3"/>
    <hyperlink ref="AQ18" r:id="rId4"/>
    <hyperlink ref="AQ12" r:id="rId5"/>
    <hyperlink ref="AQ27" r:id="rId6"/>
    <hyperlink ref="AQ45" r:id="rId7"/>
    <hyperlink ref="AQ22" r:id="rId8"/>
    <hyperlink ref="AQ35" r:id="rId9"/>
    <hyperlink ref="AQ15" r:id="rId10"/>
    <hyperlink ref="AQ20" r:id="rId11"/>
    <hyperlink ref="AQ16" r:id="rId12"/>
    <hyperlink ref="AQ57" r:id="rId13"/>
  </hyperlinks>
  <printOptions horizontalCentered="1"/>
  <pageMargins left="0.25" right="0.25" top="0.25" bottom="0.25" header="0.25" footer="0.25"/>
  <pageSetup paperSize="9" scale="54" orientation="portrait" r:id="rId1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S149"/>
  <sheetViews>
    <sheetView showGridLines="0" topLeftCell="A3" zoomScale="80" zoomScaleNormal="80" zoomScaleSheetLayoutView="70" workbookViewId="0">
      <pane xSplit="3" ySplit="5" topLeftCell="D8" activePane="bottomRight" state="frozen"/>
      <selection activeCell="A3" sqref="A3"/>
      <selection pane="topRight" activeCell="F3" sqref="F3"/>
      <selection pane="bottomLeft" activeCell="A8" sqref="A8"/>
      <selection pane="bottomRight" activeCell="G127" sqref="G127"/>
    </sheetView>
  </sheetViews>
  <sheetFormatPr defaultColWidth="9.140625" defaultRowHeight="15.75"/>
  <cols>
    <col min="1" max="1" width="5.42578125" style="2" customWidth="1"/>
    <col min="2" max="2" width="16.28515625" style="3" customWidth="1"/>
    <col min="3" max="3" width="32.42578125" style="319" bestFit="1" customWidth="1"/>
    <col min="4" max="4" width="26.42578125" style="2" customWidth="1"/>
    <col min="5" max="5" width="15.85546875" style="2" customWidth="1"/>
    <col min="6" max="6" width="20" style="2" customWidth="1"/>
    <col min="7" max="9" width="16.28515625" style="2" customWidth="1"/>
    <col min="10" max="10" width="7.7109375" style="2" bestFit="1" customWidth="1"/>
    <col min="11" max="11" width="7.140625" style="7" bestFit="1" customWidth="1"/>
    <col min="12" max="12" width="14.28515625" style="7" customWidth="1"/>
    <col min="13" max="13" width="7.42578125" style="7" customWidth="1"/>
    <col min="14" max="14" width="11.28515625" style="7" customWidth="1"/>
    <col min="15" max="15" width="13.42578125" style="8" customWidth="1"/>
    <col min="16" max="16" width="14.42578125" style="3" customWidth="1"/>
    <col min="17" max="17" width="11.42578125" style="2" customWidth="1"/>
    <col min="18" max="18" width="7.42578125" style="2" customWidth="1"/>
    <col min="19" max="19" width="6.85546875" style="9" customWidth="1"/>
    <col min="20" max="20" width="12.28515625" style="2" customWidth="1"/>
    <col min="21" max="21" width="38.7109375" style="3" customWidth="1"/>
    <col min="22" max="22" width="12.7109375" style="2" customWidth="1"/>
    <col min="23" max="23" width="14.7109375" style="10" customWidth="1"/>
    <col min="24" max="24" width="31.28515625" style="295" customWidth="1"/>
    <col min="25" max="25" width="10.28515625" style="12" customWidth="1"/>
    <col min="26" max="26" width="33.85546875" style="295" customWidth="1"/>
    <col min="27" max="27" width="13.7109375" style="2" customWidth="1"/>
    <col min="28" max="28" width="6.7109375" style="12" customWidth="1"/>
    <col min="29" max="29" width="19.140625" style="14" customWidth="1"/>
    <col min="30" max="30" width="11.28515625" style="12" customWidth="1"/>
    <col min="31" max="31" width="6.7109375" style="12" customWidth="1"/>
    <col min="32" max="32" width="9.7109375" style="6" customWidth="1"/>
    <col min="33" max="33" width="13.7109375" style="12" customWidth="1"/>
    <col min="34" max="34" width="16.7109375" style="9" customWidth="1"/>
    <col min="35" max="35" width="22" style="6" customWidth="1"/>
    <col min="36" max="36" width="80.28515625" style="14" customWidth="1"/>
    <col min="37" max="37" width="78.7109375" style="2" customWidth="1"/>
    <col min="38" max="38" width="32" style="15" customWidth="1"/>
    <col min="39" max="39" width="26.140625" style="2" customWidth="1"/>
    <col min="40" max="40" width="23.7109375" style="2" customWidth="1"/>
    <col min="41" max="41" width="27.85546875" style="2" customWidth="1"/>
    <col min="42" max="42" width="31.28515625" style="3" customWidth="1"/>
    <col min="43" max="43" width="22.7109375" style="3" customWidth="1"/>
    <col min="44" max="44" width="12.85546875" style="3" customWidth="1"/>
    <col min="45" max="45" width="29.7109375" style="3" customWidth="1"/>
    <col min="46" max="46" width="38.85546875" style="18" customWidth="1"/>
    <col min="47" max="80" width="9.140625" style="17"/>
    <col min="81" max="331" width="9.140625" style="135"/>
    <col min="332" max="16384" width="9.140625" style="17"/>
  </cols>
  <sheetData>
    <row r="1" spans="1:331" ht="23.25">
      <c r="A1" s="1" t="s">
        <v>0</v>
      </c>
      <c r="D1" s="429"/>
      <c r="X1" s="291"/>
      <c r="AM1" s="16"/>
      <c r="AN1" s="16"/>
    </row>
    <row r="2" spans="1:331" ht="23.25">
      <c r="A2" s="1"/>
      <c r="D2" s="429"/>
      <c r="X2" s="291"/>
      <c r="AM2" s="16"/>
      <c r="AN2" s="16"/>
    </row>
    <row r="3" spans="1:331" s="31" customFormat="1" ht="21">
      <c r="A3" s="714">
        <f ca="1">+NOW()</f>
        <v>44202.498721064818</v>
      </c>
      <c r="B3" s="714"/>
      <c r="C3" s="714"/>
      <c r="D3" s="21"/>
      <c r="E3" s="21"/>
      <c r="F3" s="21"/>
      <c r="G3" s="21"/>
      <c r="H3" s="21"/>
      <c r="I3" s="21"/>
      <c r="J3" s="21"/>
      <c r="K3" s="23"/>
      <c r="L3" s="23"/>
      <c r="M3" s="23"/>
      <c r="N3" s="23"/>
      <c r="O3" s="24"/>
      <c r="P3" s="78"/>
      <c r="Q3" s="21"/>
      <c r="R3" s="21"/>
      <c r="S3" s="25"/>
      <c r="T3" s="21"/>
      <c r="U3" s="78"/>
      <c r="V3" s="21"/>
      <c r="W3" s="26"/>
      <c r="X3" s="292"/>
      <c r="Y3" s="20"/>
      <c r="Z3" s="292"/>
      <c r="AA3" s="21"/>
      <c r="AB3" s="20"/>
      <c r="AC3" s="28"/>
      <c r="AD3" s="20"/>
      <c r="AE3" s="20"/>
      <c r="AF3" s="22"/>
      <c r="AG3" s="20"/>
      <c r="AH3" s="25"/>
      <c r="AI3" s="22"/>
      <c r="AJ3" s="28"/>
      <c r="AK3" s="21"/>
      <c r="AL3" s="30"/>
      <c r="AM3" s="21"/>
      <c r="AN3" s="21"/>
      <c r="AO3" s="21"/>
      <c r="AP3" s="78"/>
      <c r="AQ3" s="78"/>
      <c r="AR3" s="78"/>
      <c r="AS3" s="78"/>
      <c r="AT3" s="32"/>
      <c r="CC3" s="136"/>
      <c r="CD3" s="136"/>
      <c r="CE3" s="136"/>
      <c r="CF3" s="136"/>
      <c r="CG3" s="136"/>
      <c r="CH3" s="136"/>
      <c r="CI3" s="136"/>
      <c r="CJ3" s="136"/>
      <c r="CK3" s="136"/>
      <c r="CL3" s="136"/>
      <c r="CM3" s="136"/>
      <c r="CN3" s="136"/>
      <c r="CO3" s="136"/>
      <c r="CP3" s="136"/>
      <c r="CQ3" s="136"/>
      <c r="CR3" s="136"/>
      <c r="CS3" s="136"/>
      <c r="CT3" s="136"/>
      <c r="CU3" s="136"/>
      <c r="CV3" s="136"/>
      <c r="CW3" s="136"/>
      <c r="CX3" s="136"/>
      <c r="CY3" s="136"/>
      <c r="CZ3" s="136"/>
      <c r="DA3" s="136"/>
      <c r="DB3" s="136"/>
      <c r="DC3" s="136"/>
      <c r="DD3" s="136"/>
      <c r="DE3" s="136"/>
      <c r="DF3" s="136"/>
      <c r="DG3" s="136"/>
      <c r="DH3" s="136"/>
      <c r="DI3" s="136"/>
      <c r="DJ3" s="136"/>
      <c r="DK3" s="136"/>
      <c r="DL3" s="136"/>
      <c r="DM3" s="136"/>
      <c r="DN3" s="136"/>
      <c r="DO3" s="136"/>
      <c r="DP3" s="136"/>
      <c r="DQ3" s="136"/>
      <c r="DR3" s="136"/>
      <c r="DS3" s="136"/>
      <c r="DT3" s="136"/>
      <c r="DU3" s="136"/>
      <c r="DV3" s="136"/>
      <c r="DW3" s="136"/>
      <c r="DX3" s="136"/>
      <c r="DY3" s="136"/>
      <c r="DZ3" s="136"/>
      <c r="EA3" s="136"/>
      <c r="EB3" s="136"/>
      <c r="EC3" s="136"/>
      <c r="ED3" s="136"/>
      <c r="EE3" s="136"/>
      <c r="EF3" s="136"/>
      <c r="EG3" s="136"/>
      <c r="EH3" s="136"/>
      <c r="EI3" s="136"/>
      <c r="EJ3" s="136"/>
      <c r="EK3" s="136"/>
      <c r="EL3" s="136"/>
      <c r="EM3" s="136"/>
      <c r="EN3" s="136"/>
      <c r="EO3" s="136"/>
      <c r="EP3" s="136"/>
      <c r="EQ3" s="136"/>
      <c r="ER3" s="136"/>
      <c r="ES3" s="136"/>
      <c r="ET3" s="136"/>
      <c r="EU3" s="136"/>
      <c r="EV3" s="136"/>
      <c r="EW3" s="136"/>
      <c r="EX3" s="136"/>
      <c r="EY3" s="136"/>
      <c r="EZ3" s="136"/>
      <c r="FA3" s="136"/>
      <c r="FB3" s="136"/>
      <c r="FC3" s="136"/>
      <c r="FD3" s="136"/>
      <c r="FE3" s="136"/>
      <c r="FF3" s="136"/>
      <c r="FG3" s="136"/>
      <c r="FH3" s="136"/>
      <c r="FI3" s="136"/>
      <c r="FJ3" s="136"/>
      <c r="FK3" s="136"/>
      <c r="FL3" s="136"/>
      <c r="FM3" s="136"/>
      <c r="FN3" s="136"/>
      <c r="FO3" s="136"/>
      <c r="FP3" s="136"/>
      <c r="FQ3" s="136"/>
      <c r="FR3" s="136"/>
      <c r="FS3" s="136"/>
      <c r="FT3" s="136"/>
      <c r="FU3" s="136"/>
      <c r="FV3" s="136"/>
      <c r="FW3" s="136"/>
      <c r="FX3" s="136"/>
      <c r="FY3" s="136"/>
      <c r="FZ3" s="136"/>
      <c r="GA3" s="136"/>
      <c r="GB3" s="136"/>
      <c r="GC3" s="136"/>
      <c r="GD3" s="136"/>
      <c r="GE3" s="136"/>
      <c r="GF3" s="136"/>
      <c r="GG3" s="136"/>
      <c r="GH3" s="136"/>
      <c r="GI3" s="136"/>
      <c r="GJ3" s="136"/>
      <c r="GK3" s="136"/>
      <c r="GL3" s="136"/>
      <c r="GM3" s="136"/>
      <c r="GN3" s="136"/>
      <c r="GO3" s="136"/>
      <c r="GP3" s="136"/>
      <c r="GQ3" s="136"/>
      <c r="GR3" s="136"/>
      <c r="GS3" s="136"/>
      <c r="GT3" s="136"/>
      <c r="GU3" s="136"/>
      <c r="GV3" s="136"/>
      <c r="GW3" s="136"/>
      <c r="GX3" s="136"/>
      <c r="GY3" s="136"/>
      <c r="GZ3" s="136"/>
      <c r="HA3" s="136"/>
      <c r="HB3" s="136"/>
      <c r="HC3" s="136"/>
      <c r="HD3" s="136"/>
      <c r="HE3" s="136"/>
      <c r="HF3" s="136"/>
      <c r="HG3" s="136"/>
      <c r="HH3" s="136"/>
      <c r="HI3" s="136"/>
      <c r="HJ3" s="136"/>
      <c r="HK3" s="136"/>
      <c r="HL3" s="136"/>
      <c r="HM3" s="136"/>
      <c r="HN3" s="136"/>
      <c r="HO3" s="136"/>
      <c r="HP3" s="136"/>
      <c r="HQ3" s="136"/>
      <c r="HR3" s="136"/>
      <c r="HS3" s="136"/>
      <c r="HT3" s="136"/>
      <c r="HU3" s="136"/>
      <c r="HV3" s="136"/>
      <c r="HW3" s="136"/>
      <c r="HX3" s="136"/>
      <c r="HY3" s="136"/>
      <c r="HZ3" s="136"/>
      <c r="IA3" s="136"/>
      <c r="IB3" s="136"/>
      <c r="IC3" s="136"/>
      <c r="ID3" s="136"/>
      <c r="IE3" s="136"/>
      <c r="IF3" s="136"/>
      <c r="IG3" s="136"/>
      <c r="IH3" s="136"/>
      <c r="II3" s="136"/>
      <c r="IJ3" s="136"/>
      <c r="IK3" s="136"/>
      <c r="IL3" s="136"/>
      <c r="IM3" s="136"/>
      <c r="IN3" s="136"/>
      <c r="IO3" s="136"/>
      <c r="IP3" s="136"/>
      <c r="IQ3" s="136"/>
      <c r="IR3" s="136"/>
      <c r="IS3" s="136"/>
      <c r="IT3" s="136"/>
      <c r="IU3" s="136"/>
      <c r="IV3" s="136"/>
      <c r="IW3" s="136"/>
      <c r="IX3" s="136"/>
      <c r="IY3" s="136"/>
      <c r="IZ3" s="136"/>
      <c r="JA3" s="136"/>
      <c r="JB3" s="136"/>
      <c r="JC3" s="136"/>
      <c r="JD3" s="136"/>
      <c r="JE3" s="136"/>
      <c r="JF3" s="136"/>
      <c r="JG3" s="136"/>
      <c r="JH3" s="136"/>
      <c r="JI3" s="136"/>
      <c r="JJ3" s="136"/>
      <c r="JK3" s="136"/>
      <c r="JL3" s="136"/>
      <c r="JM3" s="136"/>
      <c r="JN3" s="136"/>
      <c r="JO3" s="136"/>
      <c r="JP3" s="136"/>
      <c r="JQ3" s="136"/>
      <c r="JR3" s="136"/>
      <c r="JS3" s="136"/>
      <c r="JT3" s="136"/>
      <c r="JU3" s="136"/>
      <c r="JV3" s="136"/>
      <c r="JW3" s="136"/>
      <c r="JX3" s="136"/>
      <c r="JY3" s="136"/>
      <c r="JZ3" s="136"/>
      <c r="KA3" s="136"/>
      <c r="KB3" s="136"/>
      <c r="KC3" s="136"/>
      <c r="KD3" s="136"/>
      <c r="KE3" s="136"/>
      <c r="KF3" s="136"/>
      <c r="KG3" s="136"/>
      <c r="KH3" s="136"/>
      <c r="KI3" s="136"/>
      <c r="KJ3" s="136"/>
      <c r="KK3" s="136"/>
      <c r="KL3" s="136"/>
      <c r="KM3" s="136"/>
      <c r="KN3" s="136"/>
      <c r="KO3" s="136"/>
      <c r="KP3" s="136"/>
      <c r="KQ3" s="136"/>
      <c r="KR3" s="136"/>
      <c r="KS3" s="136"/>
      <c r="KT3" s="136"/>
      <c r="KU3" s="136"/>
      <c r="KV3" s="136"/>
      <c r="KW3" s="136"/>
      <c r="KX3" s="136"/>
      <c r="KY3" s="136"/>
      <c r="KZ3" s="136"/>
      <c r="LA3" s="136"/>
      <c r="LB3" s="136"/>
      <c r="LC3" s="136"/>
      <c r="LD3" s="136"/>
      <c r="LE3" s="136"/>
      <c r="LF3" s="136"/>
      <c r="LG3" s="136"/>
      <c r="LH3" s="136"/>
      <c r="LI3" s="136"/>
      <c r="LJ3" s="136"/>
      <c r="LK3" s="136"/>
      <c r="LL3" s="136"/>
      <c r="LM3" s="136"/>
      <c r="LN3" s="136"/>
      <c r="LO3" s="136"/>
      <c r="LP3" s="136"/>
      <c r="LQ3" s="136"/>
      <c r="LR3" s="136"/>
      <c r="LS3" s="136"/>
    </row>
    <row r="4" spans="1:331" s="31" customFormat="1" ht="16.5" thickBot="1">
      <c r="A4" s="28"/>
      <c r="B4" s="89"/>
      <c r="C4" s="320"/>
      <c r="D4" s="21"/>
      <c r="E4" s="21"/>
      <c r="F4" s="21"/>
      <c r="G4" s="21"/>
      <c r="H4" s="21"/>
      <c r="I4" s="21"/>
      <c r="J4" s="21"/>
      <c r="K4" s="23"/>
      <c r="L4" s="23"/>
      <c r="M4" s="23"/>
      <c r="N4" s="23"/>
      <c r="O4" s="24"/>
      <c r="P4" s="78"/>
      <c r="Q4" s="21"/>
      <c r="R4" s="21"/>
      <c r="S4" s="25"/>
      <c r="T4" s="21"/>
      <c r="U4" s="78"/>
      <c r="V4" s="21"/>
      <c r="W4" s="29"/>
      <c r="X4" s="292"/>
      <c r="Y4" s="20"/>
      <c r="Z4" s="292"/>
      <c r="AA4" s="21"/>
      <c r="AB4" s="20"/>
      <c r="AC4" s="28"/>
      <c r="AD4" s="20"/>
      <c r="AE4" s="20"/>
      <c r="AF4" s="22"/>
      <c r="AG4" s="20"/>
      <c r="AH4" s="25"/>
      <c r="AI4" s="22"/>
      <c r="AJ4" s="28"/>
      <c r="AK4" s="21"/>
      <c r="AL4" s="30"/>
      <c r="AM4" s="21"/>
      <c r="AN4" s="21"/>
      <c r="AO4" s="21"/>
      <c r="AP4" s="78"/>
      <c r="AQ4" s="78"/>
      <c r="AR4" s="78"/>
      <c r="AS4" s="78"/>
      <c r="AT4" s="32"/>
      <c r="CC4" s="136"/>
      <c r="CD4" s="136"/>
      <c r="CE4" s="136"/>
      <c r="CF4" s="136"/>
      <c r="CG4" s="136"/>
      <c r="CH4" s="136"/>
      <c r="CI4" s="136"/>
      <c r="CJ4" s="136"/>
      <c r="CK4" s="136"/>
      <c r="CL4" s="136"/>
      <c r="CM4" s="136"/>
      <c r="CN4" s="136"/>
      <c r="CO4" s="136"/>
      <c r="CP4" s="136"/>
      <c r="CQ4" s="136"/>
      <c r="CR4" s="136"/>
      <c r="CS4" s="136"/>
      <c r="CT4" s="136"/>
      <c r="CU4" s="136"/>
      <c r="CV4" s="136"/>
      <c r="CW4" s="136"/>
      <c r="CX4" s="136"/>
      <c r="CY4" s="136"/>
      <c r="CZ4" s="136"/>
      <c r="DA4" s="136"/>
      <c r="DB4" s="136"/>
      <c r="DC4" s="136"/>
      <c r="DD4" s="136"/>
      <c r="DE4" s="136"/>
      <c r="DF4" s="136"/>
      <c r="DG4" s="136"/>
      <c r="DH4" s="136"/>
      <c r="DI4" s="136"/>
      <c r="DJ4" s="136"/>
      <c r="DK4" s="136"/>
      <c r="DL4" s="136"/>
      <c r="DM4" s="136"/>
      <c r="DN4" s="136"/>
      <c r="DO4" s="136"/>
      <c r="DP4" s="136"/>
      <c r="DQ4" s="136"/>
      <c r="DR4" s="136"/>
      <c r="DS4" s="136"/>
      <c r="DT4" s="136"/>
      <c r="DU4" s="136"/>
      <c r="DV4" s="136"/>
      <c r="DW4" s="136"/>
      <c r="DX4" s="136"/>
      <c r="DY4" s="136"/>
      <c r="DZ4" s="136"/>
      <c r="EA4" s="136"/>
      <c r="EB4" s="136"/>
      <c r="EC4" s="136"/>
      <c r="ED4" s="136"/>
      <c r="EE4" s="136"/>
      <c r="EF4" s="136"/>
      <c r="EG4" s="136"/>
      <c r="EH4" s="136"/>
      <c r="EI4" s="136"/>
      <c r="EJ4" s="136"/>
      <c r="EK4" s="136"/>
      <c r="EL4" s="136"/>
      <c r="EM4" s="136"/>
      <c r="EN4" s="136"/>
      <c r="EO4" s="136"/>
      <c r="EP4" s="136"/>
      <c r="EQ4" s="136"/>
      <c r="ER4" s="136"/>
      <c r="ES4" s="136"/>
      <c r="ET4" s="136"/>
      <c r="EU4" s="136"/>
      <c r="EV4" s="136"/>
      <c r="EW4" s="136"/>
      <c r="EX4" s="136"/>
      <c r="EY4" s="136"/>
      <c r="EZ4" s="136"/>
      <c r="FA4" s="136"/>
      <c r="FB4" s="136"/>
      <c r="FC4" s="136"/>
      <c r="FD4" s="136"/>
      <c r="FE4" s="136"/>
      <c r="FF4" s="136"/>
      <c r="FG4" s="136"/>
      <c r="FH4" s="136"/>
      <c r="FI4" s="136"/>
      <c r="FJ4" s="136"/>
      <c r="FK4" s="136"/>
      <c r="FL4" s="136"/>
      <c r="FM4" s="136"/>
      <c r="FN4" s="136"/>
      <c r="FO4" s="136"/>
      <c r="FP4" s="136"/>
      <c r="FQ4" s="136"/>
      <c r="FR4" s="136"/>
      <c r="FS4" s="136"/>
      <c r="FT4" s="136"/>
      <c r="FU4" s="136"/>
      <c r="FV4" s="136"/>
      <c r="FW4" s="136"/>
      <c r="FX4" s="136"/>
      <c r="FY4" s="136"/>
      <c r="FZ4" s="136"/>
      <c r="GA4" s="136"/>
      <c r="GB4" s="136"/>
      <c r="GC4" s="136"/>
      <c r="GD4" s="136"/>
      <c r="GE4" s="136"/>
      <c r="GF4" s="136"/>
      <c r="GG4" s="136"/>
      <c r="GH4" s="136"/>
      <c r="GI4" s="136"/>
      <c r="GJ4" s="136"/>
      <c r="GK4" s="136"/>
      <c r="GL4" s="136"/>
      <c r="GM4" s="136"/>
      <c r="GN4" s="136"/>
      <c r="GO4" s="136"/>
      <c r="GP4" s="136"/>
      <c r="GQ4" s="136"/>
      <c r="GR4" s="136"/>
      <c r="GS4" s="136"/>
      <c r="GT4" s="136"/>
      <c r="GU4" s="136"/>
      <c r="GV4" s="136"/>
      <c r="GW4" s="136"/>
      <c r="GX4" s="136"/>
      <c r="GY4" s="136"/>
      <c r="GZ4" s="136"/>
      <c r="HA4" s="136"/>
      <c r="HB4" s="136"/>
      <c r="HC4" s="136"/>
      <c r="HD4" s="136"/>
      <c r="HE4" s="136"/>
      <c r="HF4" s="136"/>
      <c r="HG4" s="136"/>
      <c r="HH4" s="136"/>
      <c r="HI4" s="136"/>
      <c r="HJ4" s="136"/>
      <c r="HK4" s="136"/>
      <c r="HL4" s="136"/>
      <c r="HM4" s="136"/>
      <c r="HN4" s="136"/>
      <c r="HO4" s="136"/>
      <c r="HP4" s="136"/>
      <c r="HQ4" s="136"/>
      <c r="HR4" s="136"/>
      <c r="HS4" s="136"/>
      <c r="HT4" s="136"/>
      <c r="HU4" s="136"/>
      <c r="HV4" s="136"/>
      <c r="HW4" s="136"/>
      <c r="HX4" s="136"/>
      <c r="HY4" s="136"/>
      <c r="HZ4" s="136"/>
      <c r="IA4" s="136"/>
      <c r="IB4" s="136"/>
      <c r="IC4" s="136"/>
      <c r="ID4" s="136"/>
      <c r="IE4" s="136"/>
      <c r="IF4" s="136"/>
      <c r="IG4" s="136"/>
      <c r="IH4" s="136"/>
      <c r="II4" s="136"/>
      <c r="IJ4" s="136"/>
      <c r="IK4" s="136"/>
      <c r="IL4" s="136"/>
      <c r="IM4" s="136"/>
      <c r="IN4" s="136"/>
      <c r="IO4" s="136"/>
      <c r="IP4" s="136"/>
      <c r="IQ4" s="136"/>
      <c r="IR4" s="136"/>
      <c r="IS4" s="136"/>
      <c r="IT4" s="136"/>
      <c r="IU4" s="136"/>
      <c r="IV4" s="136"/>
      <c r="IW4" s="136"/>
      <c r="IX4" s="136"/>
      <c r="IY4" s="136"/>
      <c r="IZ4" s="136"/>
      <c r="JA4" s="136"/>
      <c r="JB4" s="136"/>
      <c r="JC4" s="136"/>
      <c r="JD4" s="136"/>
      <c r="JE4" s="136"/>
      <c r="JF4" s="136"/>
      <c r="JG4" s="136"/>
      <c r="JH4" s="136"/>
      <c r="JI4" s="136"/>
      <c r="JJ4" s="136"/>
      <c r="JK4" s="136"/>
      <c r="JL4" s="136"/>
      <c r="JM4" s="136"/>
      <c r="JN4" s="136"/>
      <c r="JO4" s="136"/>
      <c r="JP4" s="136"/>
      <c r="JQ4" s="136"/>
      <c r="JR4" s="136"/>
      <c r="JS4" s="136"/>
      <c r="JT4" s="136"/>
      <c r="JU4" s="136"/>
      <c r="JV4" s="136"/>
      <c r="JW4" s="136"/>
      <c r="JX4" s="136"/>
      <c r="JY4" s="136"/>
      <c r="JZ4" s="136"/>
      <c r="KA4" s="136"/>
      <c r="KB4" s="136"/>
      <c r="KC4" s="136"/>
      <c r="KD4" s="136"/>
      <c r="KE4" s="136"/>
      <c r="KF4" s="136"/>
      <c r="KG4" s="136"/>
      <c r="KH4" s="136"/>
      <c r="KI4" s="136"/>
      <c r="KJ4" s="136"/>
      <c r="KK4" s="136"/>
      <c r="KL4" s="136"/>
      <c r="KM4" s="136"/>
      <c r="KN4" s="136"/>
      <c r="KO4" s="136"/>
      <c r="KP4" s="136"/>
      <c r="KQ4" s="136"/>
      <c r="KR4" s="136"/>
      <c r="KS4" s="136"/>
      <c r="KT4" s="136"/>
      <c r="KU4" s="136"/>
      <c r="KV4" s="136"/>
      <c r="KW4" s="136"/>
      <c r="KX4" s="136"/>
      <c r="KY4" s="136"/>
      <c r="KZ4" s="136"/>
      <c r="LA4" s="136"/>
      <c r="LB4" s="136"/>
      <c r="LC4" s="136"/>
      <c r="LD4" s="136"/>
      <c r="LE4" s="136"/>
      <c r="LF4" s="136"/>
      <c r="LG4" s="136"/>
      <c r="LH4" s="136"/>
      <c r="LI4" s="136"/>
      <c r="LJ4" s="136"/>
      <c r="LK4" s="136"/>
      <c r="LL4" s="136"/>
      <c r="LM4" s="136"/>
      <c r="LN4" s="136"/>
      <c r="LO4" s="136"/>
      <c r="LP4" s="136"/>
      <c r="LQ4" s="136"/>
      <c r="LR4" s="136"/>
      <c r="LS4" s="136"/>
    </row>
    <row r="5" spans="1:331" s="33" customFormat="1" ht="39" customHeight="1">
      <c r="A5" s="746" t="s">
        <v>1</v>
      </c>
      <c r="B5" s="749" t="s">
        <v>2</v>
      </c>
      <c r="C5" s="749" t="s">
        <v>110</v>
      </c>
      <c r="D5" s="749" t="s">
        <v>3</v>
      </c>
      <c r="E5" s="733" t="s">
        <v>260</v>
      </c>
      <c r="F5" s="778" t="s">
        <v>261</v>
      </c>
      <c r="G5" s="727" t="s">
        <v>577</v>
      </c>
      <c r="H5" s="728"/>
      <c r="I5" s="729"/>
      <c r="J5" s="739" t="s">
        <v>4</v>
      </c>
      <c r="K5" s="739"/>
      <c r="L5" s="760"/>
      <c r="M5" s="761"/>
      <c r="N5" s="733" t="s">
        <v>222</v>
      </c>
      <c r="O5" s="736" t="s">
        <v>109</v>
      </c>
      <c r="P5" s="739" t="s">
        <v>393</v>
      </c>
      <c r="Q5" s="766" t="s">
        <v>5</v>
      </c>
      <c r="R5" s="736" t="s">
        <v>6</v>
      </c>
      <c r="S5" s="768"/>
      <c r="T5" s="760" t="s">
        <v>111</v>
      </c>
      <c r="U5" s="771"/>
      <c r="V5" s="733" t="s">
        <v>225</v>
      </c>
      <c r="W5" s="733" t="s">
        <v>38</v>
      </c>
      <c r="X5" s="757" t="s">
        <v>7</v>
      </c>
      <c r="Y5" s="759"/>
      <c r="Z5" s="757" t="s">
        <v>8</v>
      </c>
      <c r="AA5" s="758"/>
      <c r="AB5" s="758"/>
      <c r="AC5" s="757" t="s">
        <v>9</v>
      </c>
      <c r="AD5" s="758"/>
      <c r="AE5" s="759"/>
      <c r="AF5" s="757" t="s">
        <v>10</v>
      </c>
      <c r="AG5" s="758"/>
      <c r="AH5" s="759"/>
      <c r="AI5" s="760" t="s">
        <v>11</v>
      </c>
      <c r="AJ5" s="761"/>
      <c r="AK5" s="762" t="s">
        <v>12</v>
      </c>
      <c r="AL5" s="733" t="s">
        <v>30</v>
      </c>
      <c r="AM5" s="733" t="s">
        <v>31</v>
      </c>
      <c r="AN5" s="733" t="s">
        <v>77</v>
      </c>
      <c r="AO5" s="783" t="s">
        <v>32</v>
      </c>
      <c r="AP5" s="760" t="s">
        <v>13</v>
      </c>
      <c r="AQ5" s="771"/>
      <c r="AR5" s="771"/>
      <c r="AS5" s="761"/>
      <c r="AT5" s="752" t="s">
        <v>14</v>
      </c>
      <c r="CC5" s="137"/>
      <c r="CD5" s="137"/>
      <c r="CE5" s="137"/>
      <c r="CF5" s="137"/>
      <c r="CG5" s="137"/>
      <c r="CH5" s="137"/>
      <c r="CI5" s="137"/>
      <c r="CJ5" s="137"/>
      <c r="CK5" s="137"/>
      <c r="CL5" s="137"/>
      <c r="CM5" s="137"/>
      <c r="CN5" s="137"/>
      <c r="CO5" s="137"/>
      <c r="CP5" s="137"/>
      <c r="CQ5" s="137"/>
      <c r="CR5" s="137"/>
      <c r="CS5" s="137"/>
      <c r="CT5" s="137"/>
      <c r="CU5" s="137"/>
      <c r="CV5" s="137"/>
      <c r="CW5" s="137"/>
      <c r="CX5" s="137"/>
      <c r="CY5" s="137"/>
      <c r="CZ5" s="137"/>
      <c r="DA5" s="137"/>
      <c r="DB5" s="137"/>
      <c r="DC5" s="137"/>
      <c r="DD5" s="137"/>
      <c r="DE5" s="137"/>
      <c r="DF5" s="137"/>
      <c r="DG5" s="137"/>
      <c r="DH5" s="137"/>
      <c r="DI5" s="137"/>
      <c r="DJ5" s="137"/>
      <c r="DK5" s="137"/>
      <c r="DL5" s="137"/>
      <c r="DM5" s="137"/>
      <c r="DN5" s="137"/>
      <c r="DO5" s="137"/>
      <c r="DP5" s="137"/>
      <c r="DQ5" s="137"/>
      <c r="DR5" s="137"/>
      <c r="DS5" s="137"/>
      <c r="DT5" s="137"/>
      <c r="DU5" s="137"/>
      <c r="DV5" s="137"/>
      <c r="DW5" s="137"/>
      <c r="DX5" s="137"/>
      <c r="DY5" s="137"/>
      <c r="DZ5" s="137"/>
      <c r="EA5" s="137"/>
      <c r="EB5" s="137"/>
      <c r="EC5" s="137"/>
      <c r="ED5" s="137"/>
      <c r="EE5" s="137"/>
      <c r="EF5" s="137"/>
      <c r="EG5" s="137"/>
      <c r="EH5" s="137"/>
      <c r="EI5" s="137"/>
      <c r="EJ5" s="137"/>
      <c r="EK5" s="137"/>
      <c r="EL5" s="137"/>
      <c r="EM5" s="137"/>
      <c r="EN5" s="137"/>
      <c r="EO5" s="137"/>
      <c r="EP5" s="137"/>
      <c r="EQ5" s="137"/>
      <c r="ER5" s="137"/>
      <c r="ES5" s="137"/>
      <c r="ET5" s="137"/>
      <c r="EU5" s="137"/>
      <c r="EV5" s="137"/>
      <c r="EW5" s="137"/>
      <c r="EX5" s="137"/>
      <c r="EY5" s="137"/>
      <c r="EZ5" s="137"/>
      <c r="FA5" s="137"/>
      <c r="FB5" s="137"/>
      <c r="FC5" s="137"/>
      <c r="FD5" s="137"/>
      <c r="FE5" s="137"/>
      <c r="FF5" s="137"/>
      <c r="FG5" s="137"/>
      <c r="FH5" s="137"/>
      <c r="FI5" s="137"/>
      <c r="FJ5" s="137"/>
      <c r="FK5" s="137"/>
      <c r="FL5" s="137"/>
      <c r="FM5" s="137"/>
      <c r="FN5" s="137"/>
      <c r="FO5" s="137"/>
      <c r="FP5" s="137"/>
      <c r="FQ5" s="137"/>
      <c r="FR5" s="137"/>
      <c r="FS5" s="137"/>
      <c r="FT5" s="137"/>
      <c r="FU5" s="137"/>
      <c r="FV5" s="137"/>
      <c r="FW5" s="137"/>
      <c r="FX5" s="137"/>
      <c r="FY5" s="137"/>
      <c r="FZ5" s="137"/>
      <c r="GA5" s="137"/>
      <c r="GB5" s="137"/>
      <c r="GC5" s="137"/>
      <c r="GD5" s="137"/>
      <c r="GE5" s="137"/>
      <c r="GF5" s="137"/>
      <c r="GG5" s="137"/>
      <c r="GH5" s="137"/>
      <c r="GI5" s="137"/>
      <c r="GJ5" s="137"/>
      <c r="GK5" s="137"/>
      <c r="GL5" s="137"/>
      <c r="GM5" s="137"/>
      <c r="GN5" s="137"/>
      <c r="GO5" s="137"/>
      <c r="GP5" s="137"/>
      <c r="GQ5" s="137"/>
      <c r="GR5" s="137"/>
      <c r="GS5" s="137"/>
      <c r="GT5" s="137"/>
      <c r="GU5" s="137"/>
      <c r="GV5" s="137"/>
      <c r="GW5" s="137"/>
      <c r="GX5" s="137"/>
      <c r="GY5" s="137"/>
      <c r="GZ5" s="137"/>
      <c r="HA5" s="137"/>
      <c r="HB5" s="137"/>
      <c r="HC5" s="137"/>
      <c r="HD5" s="137"/>
      <c r="HE5" s="137"/>
      <c r="HF5" s="137"/>
      <c r="HG5" s="137"/>
      <c r="HH5" s="137"/>
      <c r="HI5" s="137"/>
      <c r="HJ5" s="137"/>
      <c r="HK5" s="137"/>
      <c r="HL5" s="137"/>
      <c r="HM5" s="137"/>
      <c r="HN5" s="137"/>
      <c r="HO5" s="137"/>
      <c r="HP5" s="137"/>
      <c r="HQ5" s="137"/>
      <c r="HR5" s="137"/>
      <c r="HS5" s="137"/>
      <c r="HT5" s="137"/>
      <c r="HU5" s="137"/>
      <c r="HV5" s="137"/>
      <c r="HW5" s="137"/>
      <c r="HX5" s="137"/>
      <c r="HY5" s="137"/>
      <c r="HZ5" s="137"/>
      <c r="IA5" s="137"/>
      <c r="IB5" s="137"/>
      <c r="IC5" s="137"/>
      <c r="ID5" s="137"/>
      <c r="IE5" s="137"/>
      <c r="IF5" s="137"/>
      <c r="IG5" s="137"/>
      <c r="IH5" s="137"/>
      <c r="II5" s="137"/>
      <c r="IJ5" s="137"/>
      <c r="IK5" s="137"/>
      <c r="IL5" s="137"/>
      <c r="IM5" s="137"/>
      <c r="IN5" s="137"/>
      <c r="IO5" s="137"/>
      <c r="IP5" s="137"/>
      <c r="IQ5" s="137"/>
      <c r="IR5" s="137"/>
      <c r="IS5" s="137"/>
      <c r="IT5" s="137"/>
      <c r="IU5" s="137"/>
      <c r="IV5" s="137"/>
      <c r="IW5" s="137"/>
      <c r="IX5" s="137"/>
      <c r="IY5" s="137"/>
      <c r="IZ5" s="137"/>
      <c r="JA5" s="137"/>
      <c r="JB5" s="137"/>
      <c r="JC5" s="137"/>
      <c r="JD5" s="137"/>
      <c r="JE5" s="137"/>
      <c r="JF5" s="137"/>
      <c r="JG5" s="137"/>
      <c r="JH5" s="137"/>
      <c r="JI5" s="137"/>
      <c r="JJ5" s="137"/>
      <c r="JK5" s="137"/>
      <c r="JL5" s="137"/>
      <c r="JM5" s="137"/>
      <c r="JN5" s="137"/>
      <c r="JO5" s="137"/>
      <c r="JP5" s="137"/>
      <c r="JQ5" s="137"/>
      <c r="JR5" s="137"/>
      <c r="JS5" s="137"/>
      <c r="JT5" s="137"/>
      <c r="JU5" s="137"/>
      <c r="JV5" s="137"/>
      <c r="JW5" s="137"/>
      <c r="JX5" s="137"/>
      <c r="JY5" s="137"/>
      <c r="JZ5" s="137"/>
      <c r="KA5" s="137"/>
      <c r="KB5" s="137"/>
      <c r="KC5" s="137"/>
      <c r="KD5" s="137"/>
      <c r="KE5" s="137"/>
      <c r="KF5" s="137"/>
      <c r="KG5" s="137"/>
      <c r="KH5" s="137"/>
      <c r="KI5" s="137"/>
      <c r="KJ5" s="137"/>
      <c r="KK5" s="137"/>
      <c r="KL5" s="137"/>
      <c r="KM5" s="137"/>
      <c r="KN5" s="137"/>
      <c r="KO5" s="137"/>
      <c r="KP5" s="137"/>
      <c r="KQ5" s="137"/>
      <c r="KR5" s="137"/>
      <c r="KS5" s="137"/>
      <c r="KT5" s="137"/>
      <c r="KU5" s="137"/>
      <c r="KV5" s="137"/>
      <c r="KW5" s="137"/>
      <c r="KX5" s="137"/>
      <c r="KY5" s="137"/>
      <c r="KZ5" s="137"/>
      <c r="LA5" s="137"/>
      <c r="LB5" s="137"/>
      <c r="LC5" s="137"/>
      <c r="LD5" s="137"/>
      <c r="LE5" s="137"/>
      <c r="LF5" s="137"/>
      <c r="LG5" s="137"/>
      <c r="LH5" s="137"/>
      <c r="LI5" s="137"/>
      <c r="LJ5" s="137"/>
      <c r="LK5" s="137"/>
      <c r="LL5" s="137"/>
      <c r="LM5" s="137"/>
      <c r="LN5" s="137"/>
      <c r="LO5" s="137"/>
      <c r="LP5" s="137"/>
      <c r="LQ5" s="137"/>
      <c r="LR5" s="137"/>
      <c r="LS5" s="137"/>
    </row>
    <row r="6" spans="1:331" s="33" customFormat="1" ht="15.75" customHeight="1" thickBot="1">
      <c r="A6" s="747"/>
      <c r="B6" s="750"/>
      <c r="C6" s="750"/>
      <c r="D6" s="750"/>
      <c r="E6" s="734"/>
      <c r="F6" s="779"/>
      <c r="G6" s="730"/>
      <c r="H6" s="731"/>
      <c r="I6" s="732"/>
      <c r="J6" s="755">
        <f ca="1">+NOW()</f>
        <v>44202.498721064818</v>
      </c>
      <c r="K6" s="755"/>
      <c r="L6" s="750" t="s">
        <v>15</v>
      </c>
      <c r="M6" s="750" t="s">
        <v>16</v>
      </c>
      <c r="N6" s="734"/>
      <c r="O6" s="737"/>
      <c r="P6" s="740"/>
      <c r="Q6" s="767"/>
      <c r="R6" s="769"/>
      <c r="S6" s="770"/>
      <c r="T6" s="750" t="s">
        <v>17</v>
      </c>
      <c r="U6" s="750" t="s">
        <v>18</v>
      </c>
      <c r="V6" s="734"/>
      <c r="W6" s="734"/>
      <c r="X6" s="750" t="s">
        <v>19</v>
      </c>
      <c r="Y6" s="764" t="s">
        <v>20</v>
      </c>
      <c r="Z6" s="750" t="s">
        <v>19</v>
      </c>
      <c r="AA6" s="764" t="s">
        <v>20</v>
      </c>
      <c r="AB6" s="764" t="s">
        <v>6</v>
      </c>
      <c r="AC6" s="750" t="s">
        <v>19</v>
      </c>
      <c r="AD6" s="750" t="s">
        <v>20</v>
      </c>
      <c r="AE6" s="764" t="s">
        <v>6</v>
      </c>
      <c r="AF6" s="750" t="s">
        <v>19</v>
      </c>
      <c r="AG6" s="764" t="s">
        <v>20</v>
      </c>
      <c r="AH6" s="750" t="s">
        <v>17</v>
      </c>
      <c r="AI6" s="781" t="s">
        <v>21</v>
      </c>
      <c r="AJ6" s="785" t="s">
        <v>22</v>
      </c>
      <c r="AK6" s="763"/>
      <c r="AL6" s="734"/>
      <c r="AM6" s="734"/>
      <c r="AN6" s="734"/>
      <c r="AO6" s="784"/>
      <c r="AP6" s="776" t="s">
        <v>23</v>
      </c>
      <c r="AQ6" s="776" t="s">
        <v>24</v>
      </c>
      <c r="AR6" s="750" t="s">
        <v>25</v>
      </c>
      <c r="AS6" s="750" t="s">
        <v>26</v>
      </c>
      <c r="AT6" s="753"/>
      <c r="CC6" s="137"/>
      <c r="CD6" s="137"/>
      <c r="CE6" s="137"/>
      <c r="CF6" s="137"/>
      <c r="CG6" s="137"/>
      <c r="CH6" s="137"/>
      <c r="CI6" s="137"/>
      <c r="CJ6" s="137"/>
      <c r="CK6" s="137"/>
      <c r="CL6" s="137"/>
      <c r="CM6" s="137"/>
      <c r="CN6" s="137"/>
      <c r="CO6" s="137"/>
      <c r="CP6" s="137"/>
      <c r="CQ6" s="137"/>
      <c r="CR6" s="137"/>
      <c r="CS6" s="137"/>
      <c r="CT6" s="137"/>
      <c r="CU6" s="137"/>
      <c r="CV6" s="137"/>
      <c r="CW6" s="137"/>
      <c r="CX6" s="137"/>
      <c r="CY6" s="137"/>
      <c r="CZ6" s="137"/>
      <c r="DA6" s="137"/>
      <c r="DB6" s="137"/>
      <c r="DC6" s="137"/>
      <c r="DD6" s="137"/>
      <c r="DE6" s="137"/>
      <c r="DF6" s="137"/>
      <c r="DG6" s="137"/>
      <c r="DH6" s="137"/>
      <c r="DI6" s="137"/>
      <c r="DJ6" s="137"/>
      <c r="DK6" s="137"/>
      <c r="DL6" s="137"/>
      <c r="DM6" s="137"/>
      <c r="DN6" s="137"/>
      <c r="DO6" s="137"/>
      <c r="DP6" s="137"/>
      <c r="DQ6" s="137"/>
      <c r="DR6" s="137"/>
      <c r="DS6" s="137"/>
      <c r="DT6" s="137"/>
      <c r="DU6" s="137"/>
      <c r="DV6" s="137"/>
      <c r="DW6" s="137"/>
      <c r="DX6" s="137"/>
      <c r="DY6" s="137"/>
      <c r="DZ6" s="137"/>
      <c r="EA6" s="137"/>
      <c r="EB6" s="137"/>
      <c r="EC6" s="137"/>
      <c r="ED6" s="137"/>
      <c r="EE6" s="137"/>
      <c r="EF6" s="137"/>
      <c r="EG6" s="137"/>
      <c r="EH6" s="137"/>
      <c r="EI6" s="137"/>
      <c r="EJ6" s="137"/>
      <c r="EK6" s="137"/>
      <c r="EL6" s="137"/>
      <c r="EM6" s="137"/>
      <c r="EN6" s="137"/>
      <c r="EO6" s="137"/>
      <c r="EP6" s="137"/>
      <c r="EQ6" s="137"/>
      <c r="ER6" s="137"/>
      <c r="ES6" s="137"/>
      <c r="ET6" s="137"/>
      <c r="EU6" s="137"/>
      <c r="EV6" s="137"/>
      <c r="EW6" s="137"/>
      <c r="EX6" s="137"/>
      <c r="EY6" s="137"/>
      <c r="EZ6" s="137"/>
      <c r="FA6" s="137"/>
      <c r="FB6" s="137"/>
      <c r="FC6" s="137"/>
      <c r="FD6" s="137"/>
      <c r="FE6" s="137"/>
      <c r="FF6" s="137"/>
      <c r="FG6" s="137"/>
      <c r="FH6" s="137"/>
      <c r="FI6" s="137"/>
      <c r="FJ6" s="137"/>
      <c r="FK6" s="137"/>
      <c r="FL6" s="137"/>
      <c r="FM6" s="137"/>
      <c r="FN6" s="137"/>
      <c r="FO6" s="137"/>
      <c r="FP6" s="137"/>
      <c r="FQ6" s="137"/>
      <c r="FR6" s="137"/>
      <c r="FS6" s="137"/>
      <c r="FT6" s="137"/>
      <c r="FU6" s="137"/>
      <c r="FV6" s="137"/>
      <c r="FW6" s="137"/>
      <c r="FX6" s="137"/>
      <c r="FY6" s="137"/>
      <c r="FZ6" s="137"/>
      <c r="GA6" s="137"/>
      <c r="GB6" s="137"/>
      <c r="GC6" s="137"/>
      <c r="GD6" s="137"/>
      <c r="GE6" s="137"/>
      <c r="GF6" s="137"/>
      <c r="GG6" s="137"/>
      <c r="GH6" s="137"/>
      <c r="GI6" s="137"/>
      <c r="GJ6" s="137"/>
      <c r="GK6" s="137"/>
      <c r="GL6" s="137"/>
      <c r="GM6" s="137"/>
      <c r="GN6" s="137"/>
      <c r="GO6" s="137"/>
      <c r="GP6" s="137"/>
      <c r="GQ6" s="137"/>
      <c r="GR6" s="137"/>
      <c r="GS6" s="137"/>
      <c r="GT6" s="137"/>
      <c r="GU6" s="137"/>
      <c r="GV6" s="137"/>
      <c r="GW6" s="137"/>
      <c r="GX6" s="137"/>
      <c r="GY6" s="137"/>
      <c r="GZ6" s="137"/>
      <c r="HA6" s="137"/>
      <c r="HB6" s="137"/>
      <c r="HC6" s="137"/>
      <c r="HD6" s="137"/>
      <c r="HE6" s="137"/>
      <c r="HF6" s="137"/>
      <c r="HG6" s="137"/>
      <c r="HH6" s="137"/>
      <c r="HI6" s="137"/>
      <c r="HJ6" s="137"/>
      <c r="HK6" s="137"/>
      <c r="HL6" s="137"/>
      <c r="HM6" s="137"/>
      <c r="HN6" s="137"/>
      <c r="HO6" s="137"/>
      <c r="HP6" s="137"/>
      <c r="HQ6" s="137"/>
      <c r="HR6" s="137"/>
      <c r="HS6" s="137"/>
      <c r="HT6" s="137"/>
      <c r="HU6" s="137"/>
      <c r="HV6" s="137"/>
      <c r="HW6" s="137"/>
      <c r="HX6" s="137"/>
      <c r="HY6" s="137"/>
      <c r="HZ6" s="137"/>
      <c r="IA6" s="137"/>
      <c r="IB6" s="137"/>
      <c r="IC6" s="137"/>
      <c r="ID6" s="137"/>
      <c r="IE6" s="137"/>
      <c r="IF6" s="137"/>
      <c r="IG6" s="137"/>
      <c r="IH6" s="137"/>
      <c r="II6" s="137"/>
      <c r="IJ6" s="137"/>
      <c r="IK6" s="137"/>
      <c r="IL6" s="137"/>
      <c r="IM6" s="137"/>
      <c r="IN6" s="137"/>
      <c r="IO6" s="137"/>
      <c r="IP6" s="137"/>
      <c r="IQ6" s="137"/>
      <c r="IR6" s="137"/>
      <c r="IS6" s="137"/>
      <c r="IT6" s="137"/>
      <c r="IU6" s="137"/>
      <c r="IV6" s="137"/>
      <c r="IW6" s="137"/>
      <c r="IX6" s="137"/>
      <c r="IY6" s="137"/>
      <c r="IZ6" s="137"/>
      <c r="JA6" s="137"/>
      <c r="JB6" s="137"/>
      <c r="JC6" s="137"/>
      <c r="JD6" s="137"/>
      <c r="JE6" s="137"/>
      <c r="JF6" s="137"/>
      <c r="JG6" s="137"/>
      <c r="JH6" s="137"/>
      <c r="JI6" s="137"/>
      <c r="JJ6" s="137"/>
      <c r="JK6" s="137"/>
      <c r="JL6" s="137"/>
      <c r="JM6" s="137"/>
      <c r="JN6" s="137"/>
      <c r="JO6" s="137"/>
      <c r="JP6" s="137"/>
      <c r="JQ6" s="137"/>
      <c r="JR6" s="137"/>
      <c r="JS6" s="137"/>
      <c r="JT6" s="137"/>
      <c r="JU6" s="137"/>
      <c r="JV6" s="137"/>
      <c r="JW6" s="137"/>
      <c r="JX6" s="137"/>
      <c r="JY6" s="137"/>
      <c r="JZ6" s="137"/>
      <c r="KA6" s="137"/>
      <c r="KB6" s="137"/>
      <c r="KC6" s="137"/>
      <c r="KD6" s="137"/>
      <c r="KE6" s="137"/>
      <c r="KF6" s="137"/>
      <c r="KG6" s="137"/>
      <c r="KH6" s="137"/>
      <c r="KI6" s="137"/>
      <c r="KJ6" s="137"/>
      <c r="KK6" s="137"/>
      <c r="KL6" s="137"/>
      <c r="KM6" s="137"/>
      <c r="KN6" s="137"/>
      <c r="KO6" s="137"/>
      <c r="KP6" s="137"/>
      <c r="KQ6" s="137"/>
      <c r="KR6" s="137"/>
      <c r="KS6" s="137"/>
      <c r="KT6" s="137"/>
      <c r="KU6" s="137"/>
      <c r="KV6" s="137"/>
      <c r="KW6" s="137"/>
      <c r="KX6" s="137"/>
      <c r="KY6" s="137"/>
      <c r="KZ6" s="137"/>
      <c r="LA6" s="137"/>
      <c r="LB6" s="137"/>
      <c r="LC6" s="137"/>
      <c r="LD6" s="137"/>
      <c r="LE6" s="137"/>
      <c r="LF6" s="137"/>
      <c r="LG6" s="137"/>
      <c r="LH6" s="137"/>
      <c r="LI6" s="137"/>
      <c r="LJ6" s="137"/>
      <c r="LK6" s="137"/>
      <c r="LL6" s="137"/>
      <c r="LM6" s="137"/>
      <c r="LN6" s="137"/>
      <c r="LO6" s="137"/>
      <c r="LP6" s="137"/>
      <c r="LQ6" s="137"/>
      <c r="LR6" s="137"/>
      <c r="LS6" s="137"/>
    </row>
    <row r="7" spans="1:331" s="33" customFormat="1" ht="30" customHeight="1" thickBot="1">
      <c r="A7" s="748"/>
      <c r="B7" s="751"/>
      <c r="C7" s="751"/>
      <c r="D7" s="751"/>
      <c r="E7" s="735"/>
      <c r="F7" s="780"/>
      <c r="G7" s="230" t="s">
        <v>626</v>
      </c>
      <c r="H7" s="230" t="s">
        <v>627</v>
      </c>
      <c r="I7" s="230" t="s">
        <v>576</v>
      </c>
      <c r="J7" s="231" t="s">
        <v>27</v>
      </c>
      <c r="K7" s="231" t="s">
        <v>28</v>
      </c>
      <c r="L7" s="756"/>
      <c r="M7" s="756"/>
      <c r="N7" s="735"/>
      <c r="O7" s="738"/>
      <c r="P7" s="741"/>
      <c r="Q7" s="232">
        <f ca="1">+NOW()</f>
        <v>44202.498721064818</v>
      </c>
      <c r="R7" s="232" t="s">
        <v>27</v>
      </c>
      <c r="S7" s="233" t="s">
        <v>28</v>
      </c>
      <c r="T7" s="756"/>
      <c r="U7" s="756"/>
      <c r="V7" s="735"/>
      <c r="W7" s="735"/>
      <c r="X7" s="756"/>
      <c r="Y7" s="765"/>
      <c r="Z7" s="756"/>
      <c r="AA7" s="765"/>
      <c r="AB7" s="765"/>
      <c r="AC7" s="756"/>
      <c r="AD7" s="756"/>
      <c r="AE7" s="765"/>
      <c r="AF7" s="756"/>
      <c r="AG7" s="765"/>
      <c r="AH7" s="756"/>
      <c r="AI7" s="782"/>
      <c r="AJ7" s="786"/>
      <c r="AK7" s="756"/>
      <c r="AL7" s="735"/>
      <c r="AM7" s="735"/>
      <c r="AN7" s="735"/>
      <c r="AO7" s="782"/>
      <c r="AP7" s="777"/>
      <c r="AQ7" s="777"/>
      <c r="AR7" s="756"/>
      <c r="AS7" s="756"/>
      <c r="AT7" s="754"/>
      <c r="CC7" s="137"/>
      <c r="CD7" s="137"/>
      <c r="CE7" s="137"/>
      <c r="CF7" s="137"/>
      <c r="CG7" s="137"/>
      <c r="CH7" s="137"/>
      <c r="CI7" s="137"/>
      <c r="CJ7" s="137"/>
      <c r="CK7" s="137"/>
      <c r="CL7" s="137"/>
      <c r="CM7" s="137"/>
      <c r="CN7" s="137"/>
      <c r="CO7" s="137"/>
      <c r="CP7" s="137"/>
      <c r="CQ7" s="137"/>
      <c r="CR7" s="137"/>
      <c r="CS7" s="137"/>
      <c r="CT7" s="137"/>
      <c r="CU7" s="137"/>
      <c r="CV7" s="137"/>
      <c r="CW7" s="137"/>
      <c r="CX7" s="137"/>
      <c r="CY7" s="137"/>
      <c r="CZ7" s="137"/>
      <c r="DA7" s="137"/>
      <c r="DB7" s="137"/>
      <c r="DC7" s="137"/>
      <c r="DD7" s="137"/>
      <c r="DE7" s="137"/>
      <c r="DF7" s="137"/>
      <c r="DG7" s="137"/>
      <c r="DH7" s="137"/>
      <c r="DI7" s="137"/>
      <c r="DJ7" s="137"/>
      <c r="DK7" s="137"/>
      <c r="DL7" s="137"/>
      <c r="DM7" s="137"/>
      <c r="DN7" s="137"/>
      <c r="DO7" s="137"/>
      <c r="DP7" s="137"/>
      <c r="DQ7" s="137"/>
      <c r="DR7" s="137"/>
      <c r="DS7" s="137"/>
      <c r="DT7" s="137"/>
      <c r="DU7" s="137"/>
      <c r="DV7" s="137"/>
      <c r="DW7" s="137"/>
      <c r="DX7" s="137"/>
      <c r="DY7" s="137"/>
      <c r="DZ7" s="137"/>
      <c r="EA7" s="137"/>
      <c r="EB7" s="137"/>
      <c r="EC7" s="137"/>
      <c r="ED7" s="137"/>
      <c r="EE7" s="137"/>
      <c r="EF7" s="137"/>
      <c r="EG7" s="137"/>
      <c r="EH7" s="137"/>
      <c r="EI7" s="137"/>
      <c r="EJ7" s="137"/>
      <c r="EK7" s="137"/>
      <c r="EL7" s="137"/>
      <c r="EM7" s="137"/>
      <c r="EN7" s="137"/>
      <c r="EO7" s="137"/>
      <c r="EP7" s="137"/>
      <c r="EQ7" s="137"/>
      <c r="ER7" s="137"/>
      <c r="ES7" s="137"/>
      <c r="ET7" s="137"/>
      <c r="EU7" s="137"/>
      <c r="EV7" s="137"/>
      <c r="EW7" s="137"/>
      <c r="EX7" s="137"/>
      <c r="EY7" s="137"/>
      <c r="EZ7" s="137"/>
      <c r="FA7" s="137"/>
      <c r="FB7" s="137"/>
      <c r="FC7" s="137"/>
      <c r="FD7" s="137"/>
      <c r="FE7" s="137"/>
      <c r="FF7" s="137"/>
      <c r="FG7" s="137"/>
      <c r="FH7" s="137"/>
      <c r="FI7" s="137"/>
      <c r="FJ7" s="137"/>
      <c r="FK7" s="137"/>
      <c r="FL7" s="137"/>
      <c r="FM7" s="137"/>
      <c r="FN7" s="137"/>
      <c r="FO7" s="137"/>
      <c r="FP7" s="137"/>
      <c r="FQ7" s="137"/>
      <c r="FR7" s="137"/>
      <c r="FS7" s="137"/>
      <c r="FT7" s="137"/>
      <c r="FU7" s="137"/>
      <c r="FV7" s="137"/>
      <c r="FW7" s="137"/>
      <c r="FX7" s="137"/>
      <c r="FY7" s="137"/>
      <c r="FZ7" s="137"/>
      <c r="GA7" s="137"/>
      <c r="GB7" s="137"/>
      <c r="GC7" s="137"/>
      <c r="GD7" s="137"/>
      <c r="GE7" s="137"/>
      <c r="GF7" s="137"/>
      <c r="GG7" s="137"/>
      <c r="GH7" s="137"/>
      <c r="GI7" s="137"/>
      <c r="GJ7" s="137"/>
      <c r="GK7" s="137"/>
      <c r="GL7" s="137"/>
      <c r="GM7" s="137"/>
      <c r="GN7" s="137"/>
      <c r="GO7" s="137"/>
      <c r="GP7" s="137"/>
      <c r="GQ7" s="137"/>
      <c r="GR7" s="137"/>
      <c r="GS7" s="137"/>
      <c r="GT7" s="137"/>
      <c r="GU7" s="137"/>
      <c r="GV7" s="137"/>
      <c r="GW7" s="137"/>
      <c r="GX7" s="137"/>
      <c r="GY7" s="137"/>
      <c r="GZ7" s="137"/>
      <c r="HA7" s="137"/>
      <c r="HB7" s="137"/>
      <c r="HC7" s="137"/>
      <c r="HD7" s="137"/>
      <c r="HE7" s="137"/>
      <c r="HF7" s="137"/>
      <c r="HG7" s="137"/>
      <c r="HH7" s="137"/>
      <c r="HI7" s="137"/>
      <c r="HJ7" s="137"/>
      <c r="HK7" s="137"/>
      <c r="HL7" s="137"/>
      <c r="HM7" s="137"/>
      <c r="HN7" s="137"/>
      <c r="HO7" s="137"/>
      <c r="HP7" s="137"/>
      <c r="HQ7" s="137"/>
      <c r="HR7" s="137"/>
      <c r="HS7" s="137"/>
      <c r="HT7" s="137"/>
      <c r="HU7" s="137"/>
      <c r="HV7" s="137"/>
      <c r="HW7" s="137"/>
      <c r="HX7" s="137"/>
      <c r="HY7" s="137"/>
      <c r="HZ7" s="137"/>
      <c r="IA7" s="137"/>
      <c r="IB7" s="137"/>
      <c r="IC7" s="137"/>
      <c r="ID7" s="137"/>
      <c r="IE7" s="137"/>
      <c r="IF7" s="137"/>
      <c r="IG7" s="137"/>
      <c r="IH7" s="137"/>
      <c r="II7" s="137"/>
      <c r="IJ7" s="137"/>
      <c r="IK7" s="137"/>
      <c r="IL7" s="137"/>
      <c r="IM7" s="137"/>
      <c r="IN7" s="137"/>
      <c r="IO7" s="137"/>
      <c r="IP7" s="137"/>
      <c r="IQ7" s="137"/>
      <c r="IR7" s="137"/>
      <c r="IS7" s="137"/>
      <c r="IT7" s="137"/>
      <c r="IU7" s="137"/>
      <c r="IV7" s="137"/>
      <c r="IW7" s="137"/>
      <c r="IX7" s="137"/>
      <c r="IY7" s="137"/>
      <c r="IZ7" s="137"/>
      <c r="JA7" s="137"/>
      <c r="JB7" s="137"/>
      <c r="JC7" s="137"/>
      <c r="JD7" s="137"/>
      <c r="JE7" s="137"/>
      <c r="JF7" s="137"/>
      <c r="JG7" s="137"/>
      <c r="JH7" s="137"/>
      <c r="JI7" s="137"/>
      <c r="JJ7" s="137"/>
      <c r="JK7" s="137"/>
      <c r="JL7" s="137"/>
      <c r="JM7" s="137"/>
      <c r="JN7" s="137"/>
      <c r="JO7" s="137"/>
      <c r="JP7" s="137"/>
      <c r="JQ7" s="137"/>
      <c r="JR7" s="137"/>
      <c r="JS7" s="137"/>
      <c r="JT7" s="137"/>
      <c r="JU7" s="137"/>
      <c r="JV7" s="137"/>
      <c r="JW7" s="137"/>
      <c r="JX7" s="137"/>
      <c r="JY7" s="137"/>
      <c r="JZ7" s="137"/>
      <c r="KA7" s="137"/>
      <c r="KB7" s="137"/>
      <c r="KC7" s="137"/>
      <c r="KD7" s="137"/>
      <c r="KE7" s="137"/>
      <c r="KF7" s="137"/>
      <c r="KG7" s="137"/>
      <c r="KH7" s="137"/>
      <c r="KI7" s="137"/>
      <c r="KJ7" s="137"/>
      <c r="KK7" s="137"/>
      <c r="KL7" s="137"/>
      <c r="KM7" s="137"/>
      <c r="KN7" s="137"/>
      <c r="KO7" s="137"/>
      <c r="KP7" s="137"/>
      <c r="KQ7" s="137"/>
      <c r="KR7" s="137"/>
      <c r="KS7" s="137"/>
      <c r="KT7" s="137"/>
      <c r="KU7" s="137"/>
      <c r="KV7" s="137"/>
      <c r="KW7" s="137"/>
      <c r="KX7" s="137"/>
      <c r="KY7" s="137"/>
      <c r="KZ7" s="137"/>
      <c r="LA7" s="137"/>
      <c r="LB7" s="137"/>
      <c r="LC7" s="137"/>
      <c r="LD7" s="137"/>
      <c r="LE7" s="137"/>
      <c r="LF7" s="137"/>
      <c r="LG7" s="137"/>
      <c r="LH7" s="137"/>
      <c r="LI7" s="137"/>
      <c r="LJ7" s="137"/>
      <c r="LK7" s="137"/>
      <c r="LL7" s="137"/>
      <c r="LM7" s="137"/>
      <c r="LN7" s="137"/>
      <c r="LO7" s="137"/>
      <c r="LP7" s="137"/>
      <c r="LQ7" s="137"/>
      <c r="LR7" s="137"/>
      <c r="LS7" s="137"/>
    </row>
    <row r="8" spans="1:331" s="18" customFormat="1" ht="18.75" customHeight="1">
      <c r="A8" s="743" t="s">
        <v>29</v>
      </c>
      <c r="B8" s="743"/>
      <c r="C8" s="326"/>
      <c r="D8" s="133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3"/>
      <c r="Q8" s="132"/>
      <c r="R8" s="132"/>
      <c r="S8" s="132"/>
      <c r="T8" s="132"/>
      <c r="U8" s="133"/>
      <c r="V8" s="132"/>
      <c r="W8" s="132"/>
      <c r="X8" s="133"/>
      <c r="Y8" s="132"/>
      <c r="Z8" s="133"/>
      <c r="AA8" s="132"/>
      <c r="AB8" s="132"/>
      <c r="AC8" s="132"/>
      <c r="AD8" s="132"/>
      <c r="AE8" s="132"/>
      <c r="AF8" s="132"/>
      <c r="AG8" s="132"/>
      <c r="AH8" s="132"/>
      <c r="AI8" s="132"/>
      <c r="AJ8" s="132"/>
      <c r="AK8" s="132"/>
      <c r="AL8" s="132"/>
      <c r="AM8" s="133"/>
      <c r="AN8" s="133"/>
      <c r="AO8" s="133"/>
      <c r="AP8" s="133"/>
      <c r="AQ8" s="133"/>
      <c r="AR8" s="133"/>
      <c r="AS8" s="133"/>
      <c r="AT8" s="133"/>
      <c r="CC8" s="65"/>
      <c r="CD8" s="65"/>
      <c r="CE8" s="65"/>
      <c r="CF8" s="65"/>
      <c r="CG8" s="65"/>
      <c r="CH8" s="65"/>
      <c r="CI8" s="65"/>
      <c r="CJ8" s="65"/>
      <c r="CK8" s="65"/>
      <c r="CL8" s="65"/>
      <c r="CM8" s="65"/>
      <c r="CN8" s="65"/>
      <c r="CO8" s="65"/>
      <c r="CP8" s="65"/>
      <c r="CQ8" s="65"/>
      <c r="CR8" s="65"/>
      <c r="CS8" s="65"/>
      <c r="CT8" s="65"/>
      <c r="CU8" s="65"/>
      <c r="CV8" s="65"/>
      <c r="CW8" s="65"/>
      <c r="CX8" s="65"/>
      <c r="CY8" s="65"/>
      <c r="CZ8" s="65"/>
      <c r="DA8" s="65"/>
      <c r="DB8" s="65"/>
      <c r="DC8" s="65"/>
      <c r="DD8" s="65"/>
      <c r="DE8" s="65"/>
      <c r="DF8" s="65"/>
      <c r="DG8" s="65"/>
      <c r="DH8" s="65"/>
      <c r="DI8" s="65"/>
      <c r="DJ8" s="65"/>
      <c r="DK8" s="65"/>
      <c r="DL8" s="65"/>
      <c r="DM8" s="65"/>
      <c r="DN8" s="65"/>
      <c r="DO8" s="65"/>
      <c r="DP8" s="65"/>
      <c r="DQ8" s="65"/>
      <c r="DR8" s="65"/>
      <c r="DS8" s="65"/>
      <c r="DT8" s="65"/>
      <c r="DU8" s="65"/>
      <c r="DV8" s="65"/>
      <c r="DW8" s="65"/>
      <c r="DX8" s="65"/>
      <c r="DY8" s="65"/>
      <c r="DZ8" s="65"/>
      <c r="EA8" s="65"/>
      <c r="EB8" s="65"/>
      <c r="EC8" s="65"/>
      <c r="ED8" s="65"/>
      <c r="EE8" s="65"/>
      <c r="EF8" s="65"/>
      <c r="EG8" s="65"/>
      <c r="EH8" s="65"/>
      <c r="EI8" s="65"/>
      <c r="EJ8" s="65"/>
      <c r="EK8" s="65"/>
      <c r="EL8" s="65"/>
      <c r="EM8" s="65"/>
      <c r="EN8" s="65"/>
      <c r="EO8" s="65"/>
      <c r="EP8" s="65"/>
      <c r="EQ8" s="65"/>
      <c r="ER8" s="65"/>
      <c r="ES8" s="65"/>
      <c r="ET8" s="65"/>
      <c r="EU8" s="65"/>
      <c r="EV8" s="65"/>
      <c r="EW8" s="65"/>
      <c r="EX8" s="65"/>
      <c r="EY8" s="65"/>
      <c r="EZ8" s="65"/>
      <c r="FA8" s="65"/>
      <c r="FB8" s="65"/>
      <c r="FC8" s="65"/>
      <c r="FD8" s="65"/>
      <c r="FE8" s="65"/>
      <c r="FF8" s="65"/>
      <c r="FG8" s="65"/>
      <c r="FH8" s="65"/>
      <c r="FI8" s="65"/>
      <c r="FJ8" s="65"/>
      <c r="FK8" s="65"/>
      <c r="FL8" s="65"/>
      <c r="FM8" s="65"/>
      <c r="FN8" s="65"/>
      <c r="FO8" s="65"/>
      <c r="FP8" s="65"/>
      <c r="FQ8" s="65"/>
      <c r="FR8" s="65"/>
      <c r="FS8" s="65"/>
      <c r="FT8" s="65"/>
      <c r="FU8" s="65"/>
      <c r="FV8" s="65"/>
      <c r="FW8" s="65"/>
      <c r="FX8" s="65"/>
      <c r="FY8" s="65"/>
      <c r="FZ8" s="65"/>
      <c r="GA8" s="65"/>
      <c r="GB8" s="65"/>
      <c r="GC8" s="65"/>
      <c r="GD8" s="65"/>
      <c r="GE8" s="65"/>
      <c r="GF8" s="65"/>
      <c r="GG8" s="65"/>
      <c r="GH8" s="65"/>
      <c r="GI8" s="65"/>
      <c r="GJ8" s="65"/>
      <c r="GK8" s="65"/>
      <c r="GL8" s="65"/>
      <c r="GM8" s="65"/>
      <c r="GN8" s="65"/>
      <c r="GO8" s="65"/>
      <c r="GP8" s="65"/>
      <c r="GQ8" s="65"/>
      <c r="GR8" s="65"/>
      <c r="GS8" s="65"/>
      <c r="GT8" s="65"/>
      <c r="GU8" s="65"/>
      <c r="GV8" s="65"/>
      <c r="GW8" s="65"/>
      <c r="GX8" s="65"/>
      <c r="GY8" s="65"/>
      <c r="GZ8" s="65"/>
      <c r="HA8" s="65"/>
      <c r="HB8" s="65"/>
      <c r="HC8" s="65"/>
      <c r="HD8" s="65"/>
      <c r="HE8" s="65"/>
      <c r="HF8" s="65"/>
      <c r="HG8" s="65"/>
      <c r="HH8" s="65"/>
      <c r="HI8" s="65"/>
      <c r="HJ8" s="65"/>
      <c r="HK8" s="65"/>
      <c r="HL8" s="65"/>
      <c r="HM8" s="65"/>
      <c r="HN8" s="65"/>
      <c r="HO8" s="65"/>
      <c r="HP8" s="65"/>
      <c r="HQ8" s="65"/>
      <c r="HR8" s="65"/>
      <c r="HS8" s="65"/>
      <c r="HT8" s="65"/>
      <c r="HU8" s="65"/>
      <c r="HV8" s="65"/>
      <c r="HW8" s="65"/>
      <c r="HX8" s="65"/>
      <c r="HY8" s="65"/>
      <c r="HZ8" s="65"/>
      <c r="IA8" s="65"/>
      <c r="IB8" s="65"/>
      <c r="IC8" s="65"/>
      <c r="ID8" s="65"/>
      <c r="IE8" s="65"/>
      <c r="IF8" s="65"/>
      <c r="IG8" s="65"/>
      <c r="IH8" s="65"/>
      <c r="II8" s="65"/>
      <c r="IJ8" s="65"/>
      <c r="IK8" s="65"/>
      <c r="IL8" s="65"/>
      <c r="IM8" s="65"/>
      <c r="IN8" s="65"/>
      <c r="IO8" s="65"/>
      <c r="IP8" s="65"/>
      <c r="IQ8" s="65"/>
      <c r="IR8" s="65"/>
      <c r="IS8" s="65"/>
      <c r="IT8" s="65"/>
      <c r="IU8" s="65"/>
      <c r="IV8" s="65"/>
      <c r="IW8" s="65"/>
      <c r="IX8" s="65"/>
      <c r="IY8" s="65"/>
      <c r="IZ8" s="65"/>
      <c r="JA8" s="65"/>
      <c r="JB8" s="65"/>
      <c r="JC8" s="65"/>
      <c r="JD8" s="65"/>
      <c r="JE8" s="65"/>
      <c r="JF8" s="65"/>
      <c r="JG8" s="65"/>
      <c r="JH8" s="65"/>
      <c r="JI8" s="65"/>
      <c r="JJ8" s="65"/>
      <c r="JK8" s="65"/>
      <c r="JL8" s="65"/>
      <c r="JM8" s="65"/>
      <c r="JN8" s="65"/>
      <c r="JO8" s="65"/>
      <c r="JP8" s="65"/>
      <c r="JQ8" s="65"/>
      <c r="JR8" s="65"/>
      <c r="JS8" s="65"/>
      <c r="JT8" s="65"/>
      <c r="JU8" s="65"/>
      <c r="JV8" s="65"/>
      <c r="JW8" s="65"/>
      <c r="JX8" s="65"/>
      <c r="JY8" s="65"/>
      <c r="JZ8" s="65"/>
      <c r="KA8" s="65"/>
      <c r="KB8" s="65"/>
      <c r="KC8" s="65"/>
      <c r="KD8" s="65"/>
      <c r="KE8" s="65"/>
      <c r="KF8" s="65"/>
      <c r="KG8" s="65"/>
      <c r="KH8" s="65"/>
      <c r="KI8" s="65"/>
      <c r="KJ8" s="65"/>
      <c r="KK8" s="65"/>
      <c r="KL8" s="65"/>
      <c r="KM8" s="65"/>
      <c r="KN8" s="65"/>
      <c r="KO8" s="65"/>
      <c r="KP8" s="65"/>
      <c r="KQ8" s="65"/>
      <c r="KR8" s="65"/>
      <c r="KS8" s="65"/>
      <c r="KT8" s="65"/>
      <c r="KU8" s="65"/>
      <c r="KV8" s="65"/>
      <c r="KW8" s="65"/>
      <c r="KX8" s="65"/>
      <c r="KY8" s="65"/>
      <c r="KZ8" s="65"/>
      <c r="LA8" s="65"/>
      <c r="LB8" s="65"/>
      <c r="LC8" s="65"/>
      <c r="LD8" s="65"/>
      <c r="LE8" s="65"/>
      <c r="LF8" s="65"/>
      <c r="LG8" s="65"/>
      <c r="LH8" s="65"/>
      <c r="LI8" s="65"/>
      <c r="LJ8" s="65"/>
      <c r="LK8" s="65"/>
      <c r="LL8" s="65"/>
      <c r="LM8" s="65"/>
      <c r="LN8" s="65"/>
      <c r="LO8" s="65"/>
      <c r="LP8" s="65"/>
      <c r="LQ8" s="65"/>
      <c r="LR8" s="65"/>
      <c r="LS8" s="65"/>
    </row>
    <row r="9" spans="1:331" s="18" customFormat="1" ht="18.75" customHeight="1">
      <c r="A9" s="36"/>
      <c r="B9" s="36"/>
      <c r="C9" s="53" t="s">
        <v>116</v>
      </c>
      <c r="D9" s="36" t="s">
        <v>55</v>
      </c>
      <c r="E9" s="39"/>
      <c r="F9" s="40"/>
      <c r="G9" s="40"/>
      <c r="H9" s="40"/>
      <c r="I9" s="40"/>
      <c r="J9" s="41"/>
      <c r="K9" s="41"/>
      <c r="L9" s="43"/>
      <c r="M9" s="43"/>
      <c r="N9" s="38" t="s">
        <v>76</v>
      </c>
      <c r="O9" s="38" t="s">
        <v>36</v>
      </c>
      <c r="P9" s="38" t="s">
        <v>129</v>
      </c>
      <c r="Q9" s="40">
        <v>33521</v>
      </c>
      <c r="R9" s="77">
        <f ca="1">DATEDIF(Q9,$A$3,"Y")</f>
        <v>29</v>
      </c>
      <c r="S9" s="77">
        <f ca="1">DATEDIF(Q9,$A$3,"YM")</f>
        <v>2</v>
      </c>
      <c r="T9" s="36"/>
      <c r="U9" s="36"/>
      <c r="V9" s="38"/>
      <c r="W9" s="38" t="s">
        <v>45</v>
      </c>
      <c r="X9" s="63" t="s">
        <v>33</v>
      </c>
      <c r="Y9" s="40">
        <v>32632</v>
      </c>
      <c r="Z9" s="36" t="s">
        <v>131</v>
      </c>
      <c r="AA9" s="42">
        <v>41559</v>
      </c>
      <c r="AB9" s="77">
        <f t="shared" ref="AB9" ca="1" si="0">DATEDIF(AA9,$A$3,"Y")</f>
        <v>7</v>
      </c>
      <c r="AC9" s="46"/>
      <c r="AD9" s="46"/>
      <c r="AE9" s="77"/>
      <c r="AF9" s="46"/>
      <c r="AG9" s="46"/>
      <c r="AH9" s="46"/>
      <c r="AI9" s="47"/>
      <c r="AJ9" s="44"/>
      <c r="AK9" s="44" t="s">
        <v>392</v>
      </c>
      <c r="AL9" s="44"/>
      <c r="AM9" s="36"/>
      <c r="AN9" s="36"/>
      <c r="AO9" s="47"/>
      <c r="AP9" s="47"/>
      <c r="AQ9" s="83"/>
      <c r="AR9" s="36"/>
      <c r="AS9" s="36"/>
      <c r="AT9" s="234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65"/>
      <c r="DK9" s="65"/>
      <c r="DL9" s="65"/>
      <c r="DM9" s="65"/>
      <c r="DN9" s="65"/>
      <c r="DO9" s="65"/>
      <c r="DP9" s="65"/>
      <c r="DQ9" s="65"/>
      <c r="DR9" s="65"/>
      <c r="DS9" s="65"/>
      <c r="DT9" s="65"/>
      <c r="DU9" s="65"/>
      <c r="DV9" s="65"/>
      <c r="DW9" s="65"/>
      <c r="DX9" s="65"/>
      <c r="DY9" s="65"/>
      <c r="DZ9" s="65"/>
      <c r="EA9" s="65"/>
      <c r="EB9" s="65"/>
      <c r="EC9" s="65"/>
      <c r="ED9" s="65"/>
      <c r="EE9" s="65"/>
      <c r="EF9" s="65"/>
      <c r="EG9" s="65"/>
      <c r="EH9" s="65"/>
      <c r="EI9" s="65"/>
      <c r="EJ9" s="65"/>
      <c r="EK9" s="65"/>
      <c r="EL9" s="65"/>
      <c r="EM9" s="65"/>
      <c r="EN9" s="65"/>
      <c r="EO9" s="65"/>
      <c r="EP9" s="65"/>
      <c r="EQ9" s="65"/>
      <c r="ER9" s="65"/>
      <c r="ES9" s="65"/>
      <c r="ET9" s="65"/>
      <c r="EU9" s="65"/>
      <c r="EV9" s="65"/>
      <c r="EW9" s="65"/>
      <c r="EX9" s="65"/>
      <c r="EY9" s="65"/>
      <c r="EZ9" s="65"/>
      <c r="FA9" s="65"/>
      <c r="FB9" s="65"/>
      <c r="FC9" s="65"/>
      <c r="FD9" s="65"/>
      <c r="FE9" s="65"/>
      <c r="FF9" s="65"/>
      <c r="FG9" s="65"/>
      <c r="FH9" s="65"/>
      <c r="FI9" s="65"/>
      <c r="FJ9" s="65"/>
      <c r="FK9" s="65"/>
      <c r="FL9" s="65"/>
      <c r="FM9" s="65"/>
      <c r="FN9" s="65"/>
      <c r="FO9" s="65"/>
      <c r="FP9" s="65"/>
      <c r="FQ9" s="65"/>
      <c r="FR9" s="65"/>
      <c r="FS9" s="65"/>
      <c r="FT9" s="65"/>
      <c r="FU9" s="65"/>
      <c r="FV9" s="65"/>
      <c r="FW9" s="65"/>
      <c r="FX9" s="65"/>
      <c r="FY9" s="65"/>
      <c r="FZ9" s="65"/>
      <c r="GA9" s="65"/>
      <c r="GB9" s="65"/>
      <c r="GC9" s="65"/>
      <c r="GD9" s="65"/>
      <c r="GE9" s="65"/>
      <c r="GF9" s="65"/>
      <c r="GG9" s="65"/>
      <c r="GH9" s="65"/>
      <c r="GI9" s="65"/>
      <c r="GJ9" s="65"/>
      <c r="GK9" s="65"/>
      <c r="GL9" s="65"/>
      <c r="GM9" s="65"/>
      <c r="GN9" s="65"/>
      <c r="GO9" s="65"/>
      <c r="GP9" s="65"/>
      <c r="GQ9" s="65"/>
      <c r="GR9" s="65"/>
      <c r="GS9" s="65"/>
      <c r="GT9" s="65"/>
      <c r="GU9" s="65"/>
      <c r="GV9" s="65"/>
      <c r="GW9" s="65"/>
      <c r="GX9" s="65"/>
      <c r="GY9" s="65"/>
      <c r="GZ9" s="65"/>
      <c r="HA9" s="65"/>
      <c r="HB9" s="65"/>
      <c r="HC9" s="65"/>
      <c r="HD9" s="65"/>
      <c r="HE9" s="65"/>
      <c r="HF9" s="65"/>
      <c r="HG9" s="65"/>
      <c r="HH9" s="65"/>
      <c r="HI9" s="65"/>
      <c r="HJ9" s="65"/>
      <c r="HK9" s="65"/>
      <c r="HL9" s="65"/>
      <c r="HM9" s="65"/>
      <c r="HN9" s="65"/>
      <c r="HO9" s="65"/>
      <c r="HP9" s="65"/>
      <c r="HQ9" s="65"/>
      <c r="HR9" s="65"/>
      <c r="HS9" s="65"/>
      <c r="HT9" s="65"/>
      <c r="HU9" s="65"/>
      <c r="HV9" s="65"/>
      <c r="HW9" s="65"/>
      <c r="HX9" s="65"/>
      <c r="HY9" s="65"/>
      <c r="HZ9" s="65"/>
      <c r="IA9" s="65"/>
      <c r="IB9" s="65"/>
      <c r="IC9" s="65"/>
      <c r="ID9" s="65"/>
      <c r="IE9" s="65"/>
      <c r="IF9" s="65"/>
      <c r="IG9" s="65"/>
      <c r="IH9" s="65"/>
      <c r="II9" s="65"/>
      <c r="IJ9" s="65"/>
      <c r="IK9" s="65"/>
      <c r="IL9" s="65"/>
      <c r="IM9" s="65"/>
      <c r="IN9" s="65"/>
      <c r="IO9" s="65"/>
      <c r="IP9" s="65"/>
      <c r="IQ9" s="65"/>
      <c r="IR9" s="65"/>
      <c r="IS9" s="65"/>
      <c r="IT9" s="65"/>
      <c r="IU9" s="65"/>
      <c r="IV9" s="65"/>
      <c r="IW9" s="65"/>
      <c r="IX9" s="65"/>
      <c r="IY9" s="65"/>
      <c r="IZ9" s="65"/>
      <c r="JA9" s="65"/>
      <c r="JB9" s="65"/>
      <c r="JC9" s="65"/>
      <c r="JD9" s="65"/>
      <c r="JE9" s="65"/>
      <c r="JF9" s="65"/>
      <c r="JG9" s="65"/>
      <c r="JH9" s="65"/>
      <c r="JI9" s="65"/>
      <c r="JJ9" s="65"/>
      <c r="JK9" s="65"/>
      <c r="JL9" s="65"/>
      <c r="JM9" s="65"/>
      <c r="JN9" s="65"/>
      <c r="JO9" s="65"/>
      <c r="JP9" s="65"/>
      <c r="JQ9" s="65"/>
      <c r="JR9" s="65"/>
      <c r="JS9" s="65"/>
      <c r="JT9" s="65"/>
      <c r="JU9" s="65"/>
      <c r="JV9" s="65"/>
      <c r="JW9" s="65"/>
      <c r="JX9" s="65"/>
      <c r="JY9" s="65"/>
      <c r="JZ9" s="65"/>
      <c r="KA9" s="65"/>
      <c r="KB9" s="65"/>
      <c r="KC9" s="65"/>
      <c r="KD9" s="65"/>
      <c r="KE9" s="65"/>
      <c r="KF9" s="65"/>
      <c r="KG9" s="65"/>
      <c r="KH9" s="65"/>
      <c r="KI9" s="65"/>
      <c r="KJ9" s="65"/>
      <c r="KK9" s="65"/>
      <c r="KL9" s="65"/>
      <c r="KM9" s="65"/>
      <c r="KN9" s="65"/>
      <c r="KO9" s="65"/>
      <c r="KP9" s="65"/>
      <c r="KQ9" s="65"/>
      <c r="KR9" s="65"/>
      <c r="KS9" s="65"/>
      <c r="KT9" s="65"/>
      <c r="KU9" s="65"/>
      <c r="KV9" s="65"/>
      <c r="KW9" s="65"/>
      <c r="KX9" s="65"/>
      <c r="KY9" s="65"/>
      <c r="KZ9" s="65"/>
      <c r="LA9" s="65"/>
      <c r="LB9" s="65"/>
      <c r="LC9" s="65"/>
      <c r="LD9" s="65"/>
      <c r="LE9" s="65"/>
      <c r="LF9" s="65"/>
      <c r="LG9" s="65"/>
      <c r="LH9" s="65"/>
      <c r="LI9" s="65"/>
      <c r="LJ9" s="65"/>
      <c r="LK9" s="65"/>
      <c r="LL9" s="65"/>
      <c r="LM9" s="65"/>
      <c r="LN9" s="65"/>
      <c r="LO9" s="65"/>
      <c r="LP9" s="65"/>
      <c r="LQ9" s="65"/>
      <c r="LR9" s="65"/>
      <c r="LS9" s="65"/>
    </row>
    <row r="10" spans="1:331" s="18" customFormat="1" ht="18.75" customHeight="1">
      <c r="A10" s="36"/>
      <c r="B10" s="45"/>
      <c r="C10" s="53" t="s">
        <v>33</v>
      </c>
      <c r="D10" s="36" t="s">
        <v>34</v>
      </c>
      <c r="E10" s="39"/>
      <c r="F10" s="40"/>
      <c r="G10" s="40"/>
      <c r="H10" s="40"/>
      <c r="I10" s="40"/>
      <c r="J10" s="41"/>
      <c r="K10" s="41"/>
      <c r="L10" s="42"/>
      <c r="M10" s="42"/>
      <c r="N10" s="38" t="s">
        <v>35</v>
      </c>
      <c r="O10" s="38" t="s">
        <v>36</v>
      </c>
      <c r="P10" s="38" t="s">
        <v>37</v>
      </c>
      <c r="Q10" s="40">
        <v>32632</v>
      </c>
      <c r="R10" s="77">
        <f ca="1">DATEDIF(Q10,$A$3,"Y")</f>
        <v>31</v>
      </c>
      <c r="S10" s="77">
        <f t="shared" ref="S10" ca="1" si="1">DATEDIF(Q10,$A$3,"YM")</f>
        <v>8</v>
      </c>
      <c r="T10" s="36"/>
      <c r="U10" s="36"/>
      <c r="V10" s="38"/>
      <c r="W10" s="38" t="s">
        <v>45</v>
      </c>
      <c r="X10" s="63" t="s">
        <v>116</v>
      </c>
      <c r="Y10" s="40">
        <v>33521</v>
      </c>
      <c r="Z10" s="36" t="s">
        <v>131</v>
      </c>
      <c r="AA10" s="42">
        <v>41559</v>
      </c>
      <c r="AB10" s="77">
        <f ca="1">DATEDIF(AA10,$A$3,"Y")</f>
        <v>7</v>
      </c>
      <c r="AC10" s="46"/>
      <c r="AD10" s="48"/>
      <c r="AE10" s="77"/>
      <c r="AF10" s="46"/>
      <c r="AG10" s="42"/>
      <c r="AH10" s="36"/>
      <c r="AI10" s="47" t="s">
        <v>117</v>
      </c>
      <c r="AJ10" s="44" t="s">
        <v>118</v>
      </c>
      <c r="AK10" s="44" t="s">
        <v>392</v>
      </c>
      <c r="AL10" s="44"/>
      <c r="AM10" s="36"/>
      <c r="AN10" s="36" t="s">
        <v>119</v>
      </c>
      <c r="AO10" s="47" t="s">
        <v>120</v>
      </c>
      <c r="AP10" s="47"/>
      <c r="AQ10" s="83"/>
      <c r="AR10" s="36"/>
      <c r="AS10" s="36"/>
      <c r="AT10" s="234"/>
      <c r="CC10" s="65"/>
      <c r="CD10" s="6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5"/>
      <c r="DX10" s="65"/>
      <c r="DY10" s="65"/>
      <c r="DZ10" s="65"/>
      <c r="EA10" s="65"/>
      <c r="EB10" s="65"/>
      <c r="EC10" s="65"/>
      <c r="ED10" s="65"/>
      <c r="EE10" s="65"/>
      <c r="EF10" s="65"/>
      <c r="EG10" s="65"/>
      <c r="EH10" s="65"/>
      <c r="EI10" s="65"/>
      <c r="EJ10" s="65"/>
      <c r="EK10" s="65"/>
      <c r="EL10" s="65"/>
      <c r="EM10" s="65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5"/>
      <c r="FC10" s="65"/>
      <c r="FD10" s="65"/>
      <c r="FE10" s="65"/>
      <c r="FF10" s="65"/>
      <c r="FG10" s="65"/>
      <c r="FH10" s="65"/>
      <c r="FI10" s="65"/>
      <c r="FJ10" s="65"/>
      <c r="FK10" s="65"/>
      <c r="FL10" s="65"/>
      <c r="FM10" s="65"/>
      <c r="FN10" s="65"/>
      <c r="FO10" s="65"/>
      <c r="FP10" s="65"/>
      <c r="FQ10" s="65"/>
      <c r="FR10" s="65"/>
      <c r="FS10" s="65"/>
      <c r="FT10" s="65"/>
      <c r="FU10" s="65"/>
      <c r="FV10" s="65"/>
      <c r="FW10" s="65"/>
      <c r="FX10" s="65"/>
      <c r="FY10" s="65"/>
      <c r="FZ10" s="65"/>
      <c r="GA10" s="65"/>
      <c r="GB10" s="65"/>
      <c r="GC10" s="65"/>
      <c r="GD10" s="65"/>
      <c r="GE10" s="65"/>
      <c r="GF10" s="65"/>
      <c r="GG10" s="65"/>
      <c r="GH10" s="65"/>
      <c r="GI10" s="65"/>
      <c r="GJ10" s="65"/>
      <c r="GK10" s="65"/>
      <c r="GL10" s="65"/>
      <c r="GM10" s="65"/>
      <c r="GN10" s="65"/>
      <c r="GO10" s="65"/>
      <c r="GP10" s="65"/>
      <c r="GQ10" s="65"/>
      <c r="GR10" s="65"/>
      <c r="GS10" s="65"/>
      <c r="GT10" s="65"/>
      <c r="GU10" s="65"/>
      <c r="GV10" s="65"/>
      <c r="GW10" s="65"/>
      <c r="GX10" s="65"/>
      <c r="GY10" s="65"/>
      <c r="GZ10" s="65"/>
      <c r="HA10" s="65"/>
      <c r="HB10" s="65"/>
      <c r="HC10" s="65"/>
      <c r="HD10" s="65"/>
      <c r="HE10" s="65"/>
      <c r="HF10" s="65"/>
      <c r="HG10" s="65"/>
      <c r="HH10" s="65"/>
      <c r="HI10" s="65"/>
      <c r="HJ10" s="65"/>
      <c r="HK10" s="65"/>
      <c r="HL10" s="65"/>
      <c r="HM10" s="65"/>
      <c r="HN10" s="65"/>
      <c r="HO10" s="65"/>
      <c r="HP10" s="65"/>
      <c r="HQ10" s="65"/>
      <c r="HR10" s="65"/>
      <c r="HS10" s="65"/>
      <c r="HT10" s="65"/>
      <c r="HU10" s="65"/>
      <c r="HV10" s="65"/>
      <c r="HW10" s="65"/>
      <c r="HX10" s="65"/>
      <c r="HY10" s="65"/>
      <c r="HZ10" s="65"/>
      <c r="IA10" s="65"/>
      <c r="IB10" s="65"/>
      <c r="IC10" s="65"/>
      <c r="ID10" s="65"/>
      <c r="IE10" s="65"/>
      <c r="IF10" s="65"/>
      <c r="IG10" s="65"/>
      <c r="IH10" s="65"/>
      <c r="II10" s="65"/>
      <c r="IJ10" s="65"/>
      <c r="IK10" s="65"/>
      <c r="IL10" s="65"/>
      <c r="IM10" s="65"/>
      <c r="IN10" s="65"/>
      <c r="IO10" s="65"/>
      <c r="IP10" s="65"/>
      <c r="IQ10" s="65"/>
      <c r="IR10" s="65"/>
      <c r="IS10" s="65"/>
      <c r="IT10" s="65"/>
      <c r="IU10" s="65"/>
      <c r="IV10" s="65"/>
      <c r="IW10" s="65"/>
      <c r="IX10" s="65"/>
      <c r="IY10" s="65"/>
      <c r="IZ10" s="65"/>
      <c r="JA10" s="65"/>
      <c r="JB10" s="65"/>
      <c r="JC10" s="65"/>
      <c r="JD10" s="65"/>
      <c r="JE10" s="65"/>
      <c r="JF10" s="65"/>
      <c r="JG10" s="65"/>
      <c r="JH10" s="65"/>
      <c r="JI10" s="65"/>
      <c r="JJ10" s="65"/>
      <c r="JK10" s="65"/>
      <c r="JL10" s="65"/>
      <c r="JM10" s="65"/>
      <c r="JN10" s="65"/>
      <c r="JO10" s="65"/>
      <c r="JP10" s="65"/>
      <c r="JQ10" s="65"/>
      <c r="JR10" s="65"/>
      <c r="JS10" s="65"/>
      <c r="JT10" s="65"/>
      <c r="JU10" s="65"/>
      <c r="JV10" s="65"/>
      <c r="JW10" s="65"/>
      <c r="JX10" s="65"/>
      <c r="JY10" s="65"/>
      <c r="JZ10" s="65"/>
      <c r="KA10" s="65"/>
      <c r="KB10" s="65"/>
      <c r="KC10" s="65"/>
      <c r="KD10" s="65"/>
      <c r="KE10" s="65"/>
      <c r="KF10" s="65"/>
      <c r="KG10" s="65"/>
      <c r="KH10" s="65"/>
      <c r="KI10" s="65"/>
      <c r="KJ10" s="65"/>
      <c r="KK10" s="65"/>
      <c r="KL10" s="65"/>
      <c r="KM10" s="65"/>
      <c r="KN10" s="65"/>
      <c r="KO10" s="65"/>
      <c r="KP10" s="65"/>
      <c r="KQ10" s="65"/>
      <c r="KR10" s="65"/>
      <c r="KS10" s="65"/>
      <c r="KT10" s="65"/>
      <c r="KU10" s="65"/>
      <c r="KV10" s="65"/>
      <c r="KW10" s="65"/>
      <c r="KX10" s="65"/>
      <c r="KY10" s="65"/>
      <c r="KZ10" s="65"/>
      <c r="LA10" s="65"/>
      <c r="LB10" s="65"/>
      <c r="LC10" s="65"/>
      <c r="LD10" s="65"/>
      <c r="LE10" s="65"/>
      <c r="LF10" s="65"/>
      <c r="LG10" s="65"/>
      <c r="LH10" s="65"/>
      <c r="LI10" s="65"/>
      <c r="LJ10" s="65"/>
      <c r="LK10" s="65"/>
      <c r="LL10" s="65"/>
      <c r="LM10" s="65"/>
      <c r="LN10" s="65"/>
      <c r="LO10" s="65"/>
      <c r="LP10" s="65"/>
      <c r="LQ10" s="65"/>
      <c r="LR10" s="65"/>
      <c r="LS10" s="65"/>
    </row>
    <row r="11" spans="1:331" s="18" customFormat="1" ht="18.75" customHeight="1">
      <c r="A11" s="689" t="s">
        <v>54</v>
      </c>
      <c r="B11" s="690"/>
      <c r="C11" s="323"/>
      <c r="D11" s="35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5"/>
      <c r="Q11" s="34"/>
      <c r="R11" s="34"/>
      <c r="S11" s="34"/>
      <c r="T11" s="34"/>
      <c r="U11" s="35"/>
      <c r="V11" s="34"/>
      <c r="W11" s="34"/>
      <c r="X11" s="35"/>
      <c r="Y11" s="34"/>
      <c r="Z11" s="35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5"/>
      <c r="AN11" s="35"/>
      <c r="AO11" s="35"/>
      <c r="AP11" s="35"/>
      <c r="AQ11" s="35"/>
      <c r="AR11" s="35"/>
      <c r="AS11" s="35"/>
      <c r="AT11" s="243"/>
      <c r="CC11" s="65"/>
      <c r="CD11" s="65"/>
      <c r="CE11" s="65"/>
      <c r="CF11" s="65"/>
      <c r="CG11" s="65"/>
      <c r="CH11" s="65"/>
      <c r="CI11" s="65"/>
      <c r="CJ11" s="65"/>
      <c r="CK11" s="65"/>
      <c r="CL11" s="65"/>
      <c r="CM11" s="65"/>
      <c r="CN11" s="65"/>
      <c r="CO11" s="65"/>
      <c r="CP11" s="65"/>
      <c r="CQ11" s="65"/>
      <c r="CR11" s="65"/>
      <c r="CS11" s="65"/>
      <c r="CT11" s="65"/>
      <c r="CU11" s="65"/>
      <c r="CV11" s="65"/>
      <c r="CW11" s="65"/>
      <c r="CX11" s="65"/>
      <c r="CY11" s="65"/>
      <c r="CZ11" s="65"/>
      <c r="DA11" s="65"/>
      <c r="DB11" s="65"/>
      <c r="DC11" s="65"/>
      <c r="DD11" s="65"/>
      <c r="DE11" s="65"/>
      <c r="DF11" s="65"/>
      <c r="DG11" s="65"/>
      <c r="DH11" s="65"/>
      <c r="DI11" s="65"/>
      <c r="DJ11" s="65"/>
      <c r="DK11" s="65"/>
      <c r="DL11" s="65"/>
      <c r="DM11" s="65"/>
      <c r="DN11" s="65"/>
      <c r="DO11" s="65"/>
      <c r="DP11" s="65"/>
      <c r="DQ11" s="65"/>
      <c r="DR11" s="65"/>
      <c r="DS11" s="65"/>
      <c r="DT11" s="65"/>
      <c r="DU11" s="65"/>
      <c r="DV11" s="65"/>
      <c r="DW11" s="65"/>
      <c r="DX11" s="65"/>
      <c r="DY11" s="65"/>
      <c r="DZ11" s="65"/>
      <c r="EA11" s="65"/>
      <c r="EB11" s="65"/>
      <c r="EC11" s="65"/>
      <c r="ED11" s="65"/>
      <c r="EE11" s="65"/>
      <c r="EF11" s="65"/>
      <c r="EG11" s="65"/>
      <c r="EH11" s="65"/>
      <c r="EI11" s="65"/>
      <c r="EJ11" s="65"/>
      <c r="EK11" s="65"/>
      <c r="EL11" s="65"/>
      <c r="EM11" s="65"/>
      <c r="EN11" s="65"/>
      <c r="EO11" s="65"/>
      <c r="EP11" s="65"/>
      <c r="EQ11" s="65"/>
      <c r="ER11" s="65"/>
      <c r="ES11" s="65"/>
      <c r="ET11" s="65"/>
      <c r="EU11" s="65"/>
      <c r="EV11" s="65"/>
      <c r="EW11" s="65"/>
      <c r="EX11" s="65"/>
      <c r="EY11" s="65"/>
      <c r="EZ11" s="65"/>
      <c r="FA11" s="65"/>
      <c r="FB11" s="65"/>
      <c r="FC11" s="65"/>
      <c r="FD11" s="65"/>
      <c r="FE11" s="65"/>
      <c r="FF11" s="65"/>
      <c r="FG11" s="65"/>
      <c r="FH11" s="65"/>
      <c r="FI11" s="65"/>
      <c r="FJ11" s="65"/>
      <c r="FK11" s="65"/>
      <c r="FL11" s="65"/>
      <c r="FM11" s="65"/>
      <c r="FN11" s="65"/>
      <c r="FO11" s="65"/>
      <c r="FP11" s="65"/>
      <c r="FQ11" s="65"/>
      <c r="FR11" s="65"/>
      <c r="FS11" s="65"/>
      <c r="FT11" s="65"/>
      <c r="FU11" s="65"/>
      <c r="FV11" s="65"/>
      <c r="FW11" s="65"/>
      <c r="FX11" s="65"/>
      <c r="FY11" s="65"/>
      <c r="FZ11" s="65"/>
      <c r="GA11" s="65"/>
      <c r="GB11" s="65"/>
      <c r="GC11" s="65"/>
      <c r="GD11" s="65"/>
      <c r="GE11" s="65"/>
      <c r="GF11" s="65"/>
      <c r="GG11" s="65"/>
      <c r="GH11" s="65"/>
      <c r="GI11" s="65"/>
      <c r="GJ11" s="65"/>
      <c r="GK11" s="65"/>
      <c r="GL11" s="65"/>
      <c r="GM11" s="65"/>
      <c r="GN11" s="65"/>
      <c r="GO11" s="65"/>
      <c r="GP11" s="65"/>
      <c r="GQ11" s="65"/>
      <c r="GR11" s="65"/>
      <c r="GS11" s="65"/>
      <c r="GT11" s="65"/>
      <c r="GU11" s="65"/>
      <c r="GV11" s="65"/>
      <c r="GW11" s="65"/>
      <c r="GX11" s="65"/>
      <c r="GY11" s="65"/>
      <c r="GZ11" s="65"/>
      <c r="HA11" s="65"/>
      <c r="HB11" s="65"/>
      <c r="HC11" s="65"/>
      <c r="HD11" s="65"/>
      <c r="HE11" s="65"/>
      <c r="HF11" s="65"/>
      <c r="HG11" s="65"/>
      <c r="HH11" s="65"/>
      <c r="HI11" s="65"/>
      <c r="HJ11" s="65"/>
      <c r="HK11" s="65"/>
      <c r="HL11" s="65"/>
      <c r="HM11" s="65"/>
      <c r="HN11" s="65"/>
      <c r="HO11" s="65"/>
      <c r="HP11" s="65"/>
      <c r="HQ11" s="65"/>
      <c r="HR11" s="65"/>
      <c r="HS11" s="65"/>
      <c r="HT11" s="65"/>
      <c r="HU11" s="65"/>
      <c r="HV11" s="65"/>
      <c r="HW11" s="65"/>
      <c r="HX11" s="65"/>
      <c r="HY11" s="65"/>
      <c r="HZ11" s="65"/>
      <c r="IA11" s="65"/>
      <c r="IB11" s="65"/>
      <c r="IC11" s="65"/>
      <c r="ID11" s="65"/>
      <c r="IE11" s="65"/>
      <c r="IF11" s="65"/>
      <c r="IG11" s="65"/>
      <c r="IH11" s="65"/>
      <c r="II11" s="65"/>
      <c r="IJ11" s="65"/>
      <c r="IK11" s="65"/>
      <c r="IL11" s="65"/>
      <c r="IM11" s="65"/>
      <c r="IN11" s="65"/>
      <c r="IO11" s="65"/>
      <c r="IP11" s="65"/>
      <c r="IQ11" s="65"/>
      <c r="IR11" s="65"/>
      <c r="IS11" s="65"/>
      <c r="IT11" s="65"/>
      <c r="IU11" s="65"/>
      <c r="IV11" s="65"/>
      <c r="IW11" s="65"/>
      <c r="IX11" s="65"/>
      <c r="IY11" s="65"/>
      <c r="IZ11" s="65"/>
      <c r="JA11" s="65"/>
      <c r="JB11" s="65"/>
      <c r="JC11" s="65"/>
      <c r="JD11" s="65"/>
      <c r="JE11" s="65"/>
      <c r="JF11" s="65"/>
      <c r="JG11" s="65"/>
      <c r="JH11" s="65"/>
      <c r="JI11" s="65"/>
      <c r="JJ11" s="65"/>
      <c r="JK11" s="65"/>
      <c r="JL11" s="65"/>
      <c r="JM11" s="65"/>
      <c r="JN11" s="65"/>
      <c r="JO11" s="65"/>
      <c r="JP11" s="65"/>
      <c r="JQ11" s="65"/>
      <c r="JR11" s="65"/>
      <c r="JS11" s="65"/>
      <c r="JT11" s="65"/>
      <c r="JU11" s="65"/>
      <c r="JV11" s="65"/>
      <c r="JW11" s="65"/>
      <c r="JX11" s="65"/>
      <c r="JY11" s="65"/>
      <c r="JZ11" s="65"/>
      <c r="KA11" s="65"/>
      <c r="KB11" s="65"/>
      <c r="KC11" s="65"/>
      <c r="KD11" s="65"/>
      <c r="KE11" s="65"/>
      <c r="KF11" s="65"/>
      <c r="KG11" s="65"/>
      <c r="KH11" s="65"/>
      <c r="KI11" s="65"/>
      <c r="KJ11" s="65"/>
      <c r="KK11" s="65"/>
      <c r="KL11" s="65"/>
      <c r="KM11" s="65"/>
      <c r="KN11" s="65"/>
      <c r="KO11" s="65"/>
      <c r="KP11" s="65"/>
      <c r="KQ11" s="65"/>
      <c r="KR11" s="65"/>
      <c r="KS11" s="65"/>
      <c r="KT11" s="65"/>
      <c r="KU11" s="65"/>
      <c r="KV11" s="65"/>
      <c r="KW11" s="65"/>
      <c r="KX11" s="65"/>
      <c r="KY11" s="65"/>
      <c r="KZ11" s="65"/>
      <c r="LA11" s="65"/>
      <c r="LB11" s="65"/>
      <c r="LC11" s="65"/>
      <c r="LD11" s="65"/>
      <c r="LE11" s="65"/>
      <c r="LF11" s="65"/>
      <c r="LG11" s="65"/>
      <c r="LH11" s="65"/>
      <c r="LI11" s="65"/>
      <c r="LJ11" s="65"/>
      <c r="LK11" s="65"/>
      <c r="LL11" s="65"/>
      <c r="LM11" s="65"/>
      <c r="LN11" s="65"/>
      <c r="LO11" s="65"/>
      <c r="LP11" s="65"/>
      <c r="LQ11" s="65"/>
      <c r="LR11" s="65"/>
      <c r="LS11" s="65"/>
    </row>
    <row r="12" spans="1:331" s="65" customFormat="1" ht="18" customHeight="1">
      <c r="A12" s="51">
        <v>1</v>
      </c>
      <c r="B12" s="51" t="s">
        <v>311</v>
      </c>
      <c r="C12" s="53" t="s">
        <v>39</v>
      </c>
      <c r="D12" s="433" t="s">
        <v>440</v>
      </c>
      <c r="E12" s="55" t="s">
        <v>344</v>
      </c>
      <c r="F12" s="56">
        <v>43202</v>
      </c>
      <c r="G12" s="56">
        <v>43202</v>
      </c>
      <c r="H12" s="56">
        <v>43567</v>
      </c>
      <c r="I12" s="56"/>
      <c r="J12" s="57">
        <f ca="1">DATEDIF(F12,$A$3,"Y")</f>
        <v>2</v>
      </c>
      <c r="K12" s="57">
        <f t="shared" ref="K12:K45" ca="1" si="2">DATEDIF(F12,$A$3,"YM")</f>
        <v>8</v>
      </c>
      <c r="L12" s="58"/>
      <c r="M12" s="58"/>
      <c r="N12" s="55" t="s">
        <v>35</v>
      </c>
      <c r="O12" s="55" t="s">
        <v>36</v>
      </c>
      <c r="P12" s="55" t="s">
        <v>41</v>
      </c>
      <c r="Q12" s="56">
        <v>32362</v>
      </c>
      <c r="R12" s="77">
        <f t="shared" ref="R12:R83" ca="1" si="3">DATEDIF(Q12,$A$3,"Y")</f>
        <v>32</v>
      </c>
      <c r="S12" s="77">
        <f ca="1">DATEDIF(Q12,$A$3,"YM")</f>
        <v>4</v>
      </c>
      <c r="T12" s="51" t="s">
        <v>394</v>
      </c>
      <c r="U12" s="51" t="s">
        <v>395</v>
      </c>
      <c r="V12" s="55" t="s">
        <v>44</v>
      </c>
      <c r="W12" s="55" t="s">
        <v>45</v>
      </c>
      <c r="X12" s="66" t="s">
        <v>46</v>
      </c>
      <c r="Y12" s="66">
        <v>32188</v>
      </c>
      <c r="Z12" s="66" t="s">
        <v>47</v>
      </c>
      <c r="AA12" s="66">
        <v>42531</v>
      </c>
      <c r="AB12" s="77">
        <f ca="1">DATEDIF(AA12,$A$3,"Y")</f>
        <v>4</v>
      </c>
      <c r="AC12" s="55" t="s">
        <v>48</v>
      </c>
      <c r="AD12" s="55" t="s">
        <v>48</v>
      </c>
      <c r="AE12" s="55" t="s">
        <v>48</v>
      </c>
      <c r="AF12" s="66"/>
      <c r="AG12" s="66"/>
      <c r="AH12" s="66"/>
      <c r="AI12" s="63" t="s">
        <v>49</v>
      </c>
      <c r="AJ12" s="60" t="s">
        <v>50</v>
      </c>
      <c r="AK12" s="60" t="s">
        <v>51</v>
      </c>
      <c r="AL12" s="60"/>
      <c r="AM12" s="51"/>
      <c r="AN12" s="51" t="s">
        <v>86</v>
      </c>
      <c r="AO12" s="63" t="s">
        <v>52</v>
      </c>
      <c r="AP12" s="63" t="s">
        <v>39</v>
      </c>
      <c r="AQ12" s="270" t="s">
        <v>932</v>
      </c>
      <c r="AR12" s="51" t="s">
        <v>64</v>
      </c>
      <c r="AS12" s="55" t="s">
        <v>95</v>
      </c>
      <c r="AT12" s="235" t="s">
        <v>53</v>
      </c>
    </row>
    <row r="13" spans="1:331" s="122" customFormat="1" ht="18" customHeight="1">
      <c r="A13" s="51">
        <v>2</v>
      </c>
      <c r="B13" s="51">
        <v>9919010001</v>
      </c>
      <c r="C13" s="53" t="s">
        <v>445</v>
      </c>
      <c r="D13" s="433" t="s">
        <v>446</v>
      </c>
      <c r="E13" s="55" t="s">
        <v>344</v>
      </c>
      <c r="F13" s="56">
        <v>43467</v>
      </c>
      <c r="G13" s="143">
        <v>43467</v>
      </c>
      <c r="H13" s="56"/>
      <c r="I13" s="56"/>
      <c r="J13" s="57">
        <f ca="1">DATEDIF(F13,$A$3,"Y")</f>
        <v>2</v>
      </c>
      <c r="K13" s="57">
        <f t="shared" ca="1" si="2"/>
        <v>0</v>
      </c>
      <c r="L13" s="58"/>
      <c r="M13" s="58"/>
      <c r="N13" s="55" t="s">
        <v>76</v>
      </c>
      <c r="O13" s="55" t="s">
        <v>36</v>
      </c>
      <c r="P13" s="55" t="s">
        <v>41</v>
      </c>
      <c r="Q13" s="56">
        <v>34474</v>
      </c>
      <c r="R13" s="131">
        <f t="shared" ref="R13:R15" ca="1" si="4">DATEDIF(Q13,$A$3,"Y")</f>
        <v>26</v>
      </c>
      <c r="S13" s="131">
        <f t="shared" ref="S13:S15" ca="1" si="5">DATEDIF(Q13,$A$3,"YM")</f>
        <v>7</v>
      </c>
      <c r="T13" s="51" t="s">
        <v>57</v>
      </c>
      <c r="U13" s="51" t="s">
        <v>161</v>
      </c>
      <c r="V13" s="55" t="s">
        <v>459</v>
      </c>
      <c r="W13" s="55" t="s">
        <v>59</v>
      </c>
      <c r="X13" s="55" t="s">
        <v>48</v>
      </c>
      <c r="Y13" s="55" t="s">
        <v>48</v>
      </c>
      <c r="Z13" s="55" t="s">
        <v>48</v>
      </c>
      <c r="AA13" s="55" t="s">
        <v>48</v>
      </c>
      <c r="AB13" s="55" t="s">
        <v>48</v>
      </c>
      <c r="AC13" s="55" t="s">
        <v>48</v>
      </c>
      <c r="AD13" s="55" t="s">
        <v>48</v>
      </c>
      <c r="AE13" s="55" t="s">
        <v>48</v>
      </c>
      <c r="AF13" s="123"/>
      <c r="AG13" s="123"/>
      <c r="AH13" s="123"/>
      <c r="AI13" s="63" t="s">
        <v>483</v>
      </c>
      <c r="AJ13" s="60" t="s">
        <v>460</v>
      </c>
      <c r="AK13" s="60" t="s">
        <v>460</v>
      </c>
      <c r="AL13" s="120"/>
      <c r="AM13" s="118"/>
      <c r="AN13" s="51" t="s">
        <v>48</v>
      </c>
      <c r="AO13" s="70" t="s">
        <v>461</v>
      </c>
      <c r="AP13" s="63" t="s">
        <v>445</v>
      </c>
      <c r="AQ13" s="219" t="s">
        <v>640</v>
      </c>
      <c r="AR13" s="51" t="s">
        <v>64</v>
      </c>
      <c r="AS13" s="55" t="s">
        <v>95</v>
      </c>
      <c r="AT13" s="235" t="s">
        <v>462</v>
      </c>
      <c r="CC13" s="65"/>
      <c r="CD13" s="65"/>
      <c r="CE13" s="65"/>
      <c r="CF13" s="65"/>
      <c r="CG13" s="65"/>
      <c r="CH13" s="65"/>
      <c r="CI13" s="65"/>
      <c r="CJ13" s="65"/>
      <c r="CK13" s="65"/>
      <c r="CL13" s="65"/>
      <c r="CM13" s="65"/>
      <c r="CN13" s="65"/>
      <c r="CO13" s="65"/>
      <c r="CP13" s="65"/>
      <c r="CQ13" s="65"/>
      <c r="CR13" s="65"/>
      <c r="CS13" s="65"/>
      <c r="CT13" s="65"/>
      <c r="CU13" s="65"/>
      <c r="CV13" s="65"/>
      <c r="CW13" s="65"/>
      <c r="CX13" s="65"/>
      <c r="CY13" s="65"/>
      <c r="CZ13" s="65"/>
      <c r="DA13" s="65"/>
      <c r="DB13" s="65"/>
      <c r="DC13" s="65"/>
      <c r="DD13" s="65"/>
      <c r="DE13" s="65"/>
      <c r="DF13" s="65"/>
      <c r="DG13" s="65"/>
      <c r="DH13" s="65"/>
      <c r="DI13" s="65"/>
      <c r="DJ13" s="65"/>
      <c r="DK13" s="65"/>
      <c r="DL13" s="65"/>
      <c r="DM13" s="65"/>
      <c r="DN13" s="65"/>
      <c r="DO13" s="65"/>
      <c r="DP13" s="65"/>
      <c r="DQ13" s="65"/>
      <c r="DR13" s="65"/>
      <c r="DS13" s="65"/>
      <c r="DT13" s="65"/>
      <c r="DU13" s="65"/>
      <c r="DV13" s="65"/>
      <c r="DW13" s="65"/>
      <c r="DX13" s="65"/>
      <c r="DY13" s="65"/>
      <c r="DZ13" s="65"/>
      <c r="EA13" s="65"/>
      <c r="EB13" s="65"/>
      <c r="EC13" s="65"/>
      <c r="ED13" s="65"/>
      <c r="EE13" s="65"/>
      <c r="EF13" s="65"/>
      <c r="EG13" s="65"/>
      <c r="EH13" s="65"/>
      <c r="EI13" s="65"/>
      <c r="EJ13" s="65"/>
      <c r="EK13" s="65"/>
      <c r="EL13" s="65"/>
      <c r="EM13" s="65"/>
      <c r="EN13" s="65"/>
      <c r="EO13" s="65"/>
      <c r="EP13" s="65"/>
      <c r="EQ13" s="65"/>
      <c r="ER13" s="65"/>
      <c r="ES13" s="65"/>
      <c r="ET13" s="65"/>
      <c r="EU13" s="65"/>
      <c r="EV13" s="65"/>
      <c r="EW13" s="65"/>
      <c r="EX13" s="65"/>
      <c r="EY13" s="65"/>
      <c r="EZ13" s="65"/>
      <c r="FA13" s="65"/>
      <c r="FB13" s="65"/>
      <c r="FC13" s="65"/>
      <c r="FD13" s="65"/>
      <c r="FE13" s="65"/>
      <c r="FF13" s="65"/>
      <c r="FG13" s="65"/>
      <c r="FH13" s="65"/>
      <c r="FI13" s="65"/>
      <c r="FJ13" s="65"/>
      <c r="FK13" s="65"/>
      <c r="FL13" s="65"/>
      <c r="FM13" s="65"/>
      <c r="FN13" s="65"/>
      <c r="FO13" s="65"/>
      <c r="FP13" s="65"/>
      <c r="FQ13" s="65"/>
      <c r="FR13" s="65"/>
      <c r="FS13" s="65"/>
      <c r="FT13" s="65"/>
      <c r="FU13" s="65"/>
      <c r="FV13" s="65"/>
      <c r="FW13" s="65"/>
      <c r="FX13" s="65"/>
      <c r="FY13" s="65"/>
      <c r="FZ13" s="65"/>
      <c r="GA13" s="65"/>
      <c r="GB13" s="65"/>
      <c r="GC13" s="65"/>
      <c r="GD13" s="65"/>
      <c r="GE13" s="65"/>
      <c r="GF13" s="65"/>
      <c r="GG13" s="65"/>
      <c r="GH13" s="65"/>
      <c r="GI13" s="65"/>
      <c r="GJ13" s="65"/>
      <c r="GK13" s="65"/>
      <c r="GL13" s="65"/>
      <c r="GM13" s="65"/>
      <c r="GN13" s="65"/>
      <c r="GO13" s="65"/>
      <c r="GP13" s="65"/>
      <c r="GQ13" s="65"/>
      <c r="GR13" s="65"/>
      <c r="GS13" s="65"/>
      <c r="GT13" s="65"/>
      <c r="GU13" s="65"/>
      <c r="GV13" s="65"/>
      <c r="GW13" s="65"/>
      <c r="GX13" s="65"/>
      <c r="GY13" s="65"/>
      <c r="GZ13" s="65"/>
      <c r="HA13" s="65"/>
      <c r="HB13" s="65"/>
      <c r="HC13" s="65"/>
      <c r="HD13" s="65"/>
      <c r="HE13" s="65"/>
      <c r="HF13" s="65"/>
      <c r="HG13" s="65"/>
      <c r="HH13" s="65"/>
      <c r="HI13" s="65"/>
      <c r="HJ13" s="65"/>
      <c r="HK13" s="65"/>
      <c r="HL13" s="65"/>
      <c r="HM13" s="65"/>
      <c r="HN13" s="65"/>
      <c r="HO13" s="65"/>
      <c r="HP13" s="65"/>
      <c r="HQ13" s="65"/>
      <c r="HR13" s="65"/>
      <c r="HS13" s="65"/>
      <c r="HT13" s="65"/>
      <c r="HU13" s="65"/>
      <c r="HV13" s="65"/>
      <c r="HW13" s="65"/>
      <c r="HX13" s="65"/>
      <c r="HY13" s="65"/>
      <c r="HZ13" s="65"/>
      <c r="IA13" s="65"/>
      <c r="IB13" s="65"/>
      <c r="IC13" s="65"/>
      <c r="ID13" s="65"/>
      <c r="IE13" s="65"/>
      <c r="IF13" s="65"/>
      <c r="IG13" s="65"/>
      <c r="IH13" s="65"/>
      <c r="II13" s="65"/>
      <c r="IJ13" s="65"/>
      <c r="IK13" s="65"/>
      <c r="IL13" s="65"/>
      <c r="IM13" s="65"/>
      <c r="IN13" s="65"/>
      <c r="IO13" s="65"/>
      <c r="IP13" s="65"/>
      <c r="IQ13" s="65"/>
      <c r="IR13" s="65"/>
      <c r="IS13" s="65"/>
      <c r="IT13" s="65"/>
      <c r="IU13" s="65"/>
      <c r="IV13" s="65"/>
      <c r="IW13" s="65"/>
      <c r="IX13" s="65"/>
      <c r="IY13" s="65"/>
      <c r="IZ13" s="65"/>
      <c r="JA13" s="65"/>
      <c r="JB13" s="65"/>
      <c r="JC13" s="65"/>
      <c r="JD13" s="65"/>
      <c r="JE13" s="65"/>
      <c r="JF13" s="65"/>
      <c r="JG13" s="65"/>
      <c r="JH13" s="65"/>
      <c r="JI13" s="65"/>
      <c r="JJ13" s="65"/>
      <c r="JK13" s="65"/>
      <c r="JL13" s="65"/>
      <c r="JM13" s="65"/>
      <c r="JN13" s="65"/>
      <c r="JO13" s="65"/>
      <c r="JP13" s="65"/>
      <c r="JQ13" s="65"/>
      <c r="JR13" s="65"/>
      <c r="JS13" s="65"/>
      <c r="JT13" s="65"/>
      <c r="JU13" s="65"/>
      <c r="JV13" s="65"/>
      <c r="JW13" s="65"/>
      <c r="JX13" s="65"/>
      <c r="JY13" s="65"/>
      <c r="JZ13" s="65"/>
      <c r="KA13" s="65"/>
      <c r="KB13" s="65"/>
      <c r="KC13" s="65"/>
      <c r="KD13" s="65"/>
      <c r="KE13" s="65"/>
      <c r="KF13" s="65"/>
      <c r="KG13" s="65"/>
      <c r="KH13" s="65"/>
      <c r="KI13" s="65"/>
      <c r="KJ13" s="65"/>
      <c r="KK13" s="65"/>
      <c r="KL13" s="65"/>
      <c r="KM13" s="65"/>
      <c r="KN13" s="65"/>
      <c r="KO13" s="65"/>
      <c r="KP13" s="65"/>
      <c r="KQ13" s="65"/>
      <c r="KR13" s="65"/>
      <c r="KS13" s="65"/>
      <c r="KT13" s="65"/>
      <c r="KU13" s="65"/>
      <c r="KV13" s="65"/>
      <c r="KW13" s="65"/>
      <c r="KX13" s="65"/>
      <c r="KY13" s="65"/>
      <c r="KZ13" s="65"/>
      <c r="LA13" s="65"/>
      <c r="LB13" s="65"/>
      <c r="LC13" s="65"/>
      <c r="LD13" s="65"/>
      <c r="LE13" s="65"/>
      <c r="LF13" s="65"/>
      <c r="LG13" s="65"/>
      <c r="LH13" s="65"/>
      <c r="LI13" s="65"/>
      <c r="LJ13" s="65"/>
      <c r="LK13" s="65"/>
      <c r="LL13" s="65"/>
      <c r="LM13" s="65"/>
      <c r="LN13" s="65"/>
      <c r="LO13" s="65"/>
      <c r="LP13" s="65"/>
      <c r="LQ13" s="65"/>
      <c r="LR13" s="65"/>
      <c r="LS13" s="65"/>
    </row>
    <row r="14" spans="1:331" s="122" customFormat="1" ht="18" customHeight="1">
      <c r="A14" s="51">
        <v>3</v>
      </c>
      <c r="B14" s="141">
        <v>9919020011</v>
      </c>
      <c r="C14" s="53" t="s">
        <v>505</v>
      </c>
      <c r="D14" s="141" t="s">
        <v>994</v>
      </c>
      <c r="E14" s="142" t="s">
        <v>344</v>
      </c>
      <c r="F14" s="143">
        <v>43497</v>
      </c>
      <c r="G14" s="143">
        <v>43497</v>
      </c>
      <c r="H14" s="143"/>
      <c r="I14" s="143"/>
      <c r="J14" s="144">
        <f t="shared" ref="J14:J45" ca="1" si="6">DATEDIF(F14,$A$3,"Y")</f>
        <v>1</v>
      </c>
      <c r="K14" s="144">
        <f t="shared" ca="1" si="2"/>
        <v>11</v>
      </c>
      <c r="L14" s="145"/>
      <c r="M14" s="145"/>
      <c r="N14" s="142" t="s">
        <v>76</v>
      </c>
      <c r="O14" s="142" t="s">
        <v>36</v>
      </c>
      <c r="P14" s="142" t="s">
        <v>41</v>
      </c>
      <c r="Q14" s="143">
        <v>31666</v>
      </c>
      <c r="R14" s="146">
        <f t="shared" ca="1" si="4"/>
        <v>34</v>
      </c>
      <c r="S14" s="146">
        <f t="shared" ca="1" si="5"/>
        <v>3</v>
      </c>
      <c r="T14" s="141" t="s">
        <v>394</v>
      </c>
      <c r="U14" s="141" t="s">
        <v>395</v>
      </c>
      <c r="V14" s="142" t="s">
        <v>459</v>
      </c>
      <c r="W14" s="142" t="s">
        <v>45</v>
      </c>
      <c r="X14" s="147" t="s">
        <v>506</v>
      </c>
      <c r="Y14" s="147">
        <v>30600</v>
      </c>
      <c r="Z14" s="147" t="s">
        <v>507</v>
      </c>
      <c r="AA14" s="147">
        <v>41939</v>
      </c>
      <c r="AB14" s="148">
        <f ca="1">DATEDIF(AA14,$A$3,"Y")</f>
        <v>6</v>
      </c>
      <c r="AC14" s="55" t="s">
        <v>48</v>
      </c>
      <c r="AD14" s="55" t="s">
        <v>48</v>
      </c>
      <c r="AE14" s="55" t="s">
        <v>48</v>
      </c>
      <c r="AF14" s="147"/>
      <c r="AG14" s="147"/>
      <c r="AH14" s="147"/>
      <c r="AI14" s="140" t="s">
        <v>508</v>
      </c>
      <c r="AJ14" s="149" t="s">
        <v>509</v>
      </c>
      <c r="AK14" s="149" t="s">
        <v>510</v>
      </c>
      <c r="AL14" s="149"/>
      <c r="AM14" s="141"/>
      <c r="AN14" s="141" t="s">
        <v>513</v>
      </c>
      <c r="AO14" s="140" t="s">
        <v>511</v>
      </c>
      <c r="AP14" s="150" t="s">
        <v>505</v>
      </c>
      <c r="AQ14" s="271" t="s">
        <v>545</v>
      </c>
      <c r="AR14" s="141" t="s">
        <v>64</v>
      </c>
      <c r="AS14" s="142" t="s">
        <v>95</v>
      </c>
      <c r="AT14" s="236" t="s">
        <v>512</v>
      </c>
    </row>
    <row r="15" spans="1:331" s="122" customFormat="1" ht="18" customHeight="1">
      <c r="A15" s="51">
        <v>4</v>
      </c>
      <c r="B15" s="141">
        <v>9919020012</v>
      </c>
      <c r="C15" s="53" t="s">
        <v>514</v>
      </c>
      <c r="D15" s="141" t="s">
        <v>995</v>
      </c>
      <c r="E15" s="142" t="s">
        <v>344</v>
      </c>
      <c r="F15" s="143">
        <v>43497</v>
      </c>
      <c r="G15" s="143">
        <v>43497</v>
      </c>
      <c r="H15" s="143"/>
      <c r="I15" s="143"/>
      <c r="J15" s="152">
        <f t="shared" ca="1" si="6"/>
        <v>1</v>
      </c>
      <c r="K15" s="152">
        <f t="shared" ca="1" si="2"/>
        <v>11</v>
      </c>
      <c r="L15" s="145"/>
      <c r="M15" s="145"/>
      <c r="N15" s="142" t="s">
        <v>35</v>
      </c>
      <c r="O15" s="142" t="s">
        <v>36</v>
      </c>
      <c r="P15" s="142" t="s">
        <v>37</v>
      </c>
      <c r="Q15" s="143">
        <v>33977</v>
      </c>
      <c r="R15" s="146">
        <f t="shared" ca="1" si="4"/>
        <v>27</v>
      </c>
      <c r="S15" s="146">
        <f t="shared" ca="1" si="5"/>
        <v>11</v>
      </c>
      <c r="T15" s="141" t="s">
        <v>57</v>
      </c>
      <c r="U15" s="141" t="s">
        <v>515</v>
      </c>
      <c r="V15" s="142" t="s">
        <v>105</v>
      </c>
      <c r="W15" s="142" t="s">
        <v>59</v>
      </c>
      <c r="X15" s="55" t="s">
        <v>48</v>
      </c>
      <c r="Y15" s="55" t="s">
        <v>48</v>
      </c>
      <c r="Z15" s="55" t="s">
        <v>48</v>
      </c>
      <c r="AA15" s="55" t="s">
        <v>48</v>
      </c>
      <c r="AB15" s="55" t="s">
        <v>48</v>
      </c>
      <c r="AC15" s="55" t="s">
        <v>48</v>
      </c>
      <c r="AD15" s="55" t="s">
        <v>48</v>
      </c>
      <c r="AE15" s="55" t="s">
        <v>48</v>
      </c>
      <c r="AF15" s="147"/>
      <c r="AG15" s="147"/>
      <c r="AH15" s="147"/>
      <c r="AI15" s="140" t="s">
        <v>516</v>
      </c>
      <c r="AJ15" s="149" t="s">
        <v>517</v>
      </c>
      <c r="AK15" s="149" t="s">
        <v>518</v>
      </c>
      <c r="AL15" s="149"/>
      <c r="AM15" s="141"/>
      <c r="AN15" s="141" t="s">
        <v>519</v>
      </c>
      <c r="AO15" s="140" t="s">
        <v>520</v>
      </c>
      <c r="AP15" s="150" t="s">
        <v>514</v>
      </c>
      <c r="AQ15" s="271" t="s">
        <v>543</v>
      </c>
      <c r="AR15" s="141" t="s">
        <v>64</v>
      </c>
      <c r="AS15" s="142" t="s">
        <v>95</v>
      </c>
      <c r="AT15" s="236" t="s">
        <v>521</v>
      </c>
    </row>
    <row r="16" spans="1:331" s="65" customFormat="1" ht="18.75" customHeight="1">
      <c r="A16" s="51">
        <v>5</v>
      </c>
      <c r="B16" s="51" t="s">
        <v>312</v>
      </c>
      <c r="C16" s="53" t="s">
        <v>97</v>
      </c>
      <c r="D16" s="433" t="s">
        <v>450</v>
      </c>
      <c r="E16" s="55" t="s">
        <v>344</v>
      </c>
      <c r="F16" s="56">
        <v>43202</v>
      </c>
      <c r="G16" s="143">
        <v>43202</v>
      </c>
      <c r="H16" s="56">
        <v>43567</v>
      </c>
      <c r="I16" s="56"/>
      <c r="J16" s="108">
        <f t="shared" ca="1" si="6"/>
        <v>2</v>
      </c>
      <c r="K16" s="108">
        <f t="shared" ca="1" si="2"/>
        <v>8</v>
      </c>
      <c r="L16" s="58"/>
      <c r="M16" s="58"/>
      <c r="N16" s="55" t="s">
        <v>35</v>
      </c>
      <c r="O16" s="55" t="s">
        <v>36</v>
      </c>
      <c r="P16" s="55" t="s">
        <v>41</v>
      </c>
      <c r="Q16" s="56">
        <v>33885</v>
      </c>
      <c r="R16" s="77">
        <f t="shared" ca="1" si="3"/>
        <v>28</v>
      </c>
      <c r="S16" s="77">
        <f t="shared" ref="S16:S24" ca="1" si="7">DATEDIF(Q16,$A$3,"YM")</f>
        <v>2</v>
      </c>
      <c r="T16" s="51" t="s">
        <v>57</v>
      </c>
      <c r="U16" s="51" t="s">
        <v>58</v>
      </c>
      <c r="V16" s="55" t="s">
        <v>44</v>
      </c>
      <c r="W16" s="55" t="s">
        <v>59</v>
      </c>
      <c r="X16" s="55" t="s">
        <v>48</v>
      </c>
      <c r="Y16" s="55" t="s">
        <v>48</v>
      </c>
      <c r="Z16" s="55" t="s">
        <v>48</v>
      </c>
      <c r="AA16" s="55" t="s">
        <v>48</v>
      </c>
      <c r="AB16" s="55" t="s">
        <v>48</v>
      </c>
      <c r="AC16" s="55" t="s">
        <v>48</v>
      </c>
      <c r="AD16" s="55" t="s">
        <v>48</v>
      </c>
      <c r="AE16" s="55" t="s">
        <v>48</v>
      </c>
      <c r="AF16" s="66"/>
      <c r="AG16" s="66"/>
      <c r="AH16" s="66"/>
      <c r="AI16" s="70" t="s">
        <v>79</v>
      </c>
      <c r="AJ16" s="60" t="s">
        <v>60</v>
      </c>
      <c r="AK16" s="60" t="s">
        <v>60</v>
      </c>
      <c r="AL16" s="60"/>
      <c r="AM16" s="51"/>
      <c r="AN16" s="51" t="s">
        <v>78</v>
      </c>
      <c r="AO16" s="70" t="s">
        <v>61</v>
      </c>
      <c r="AP16" s="63" t="s">
        <v>62</v>
      </c>
      <c r="AQ16" s="70" t="s">
        <v>933</v>
      </c>
      <c r="AR16" s="51" t="s">
        <v>64</v>
      </c>
      <c r="AS16" s="55" t="s">
        <v>95</v>
      </c>
      <c r="AT16" s="237" t="s">
        <v>65</v>
      </c>
    </row>
    <row r="17" spans="1:331" s="65" customFormat="1" ht="18.75" customHeight="1">
      <c r="A17" s="51">
        <v>6</v>
      </c>
      <c r="B17" s="51" t="s">
        <v>411</v>
      </c>
      <c r="C17" s="53" t="s">
        <v>398</v>
      </c>
      <c r="D17" s="433" t="s">
        <v>993</v>
      </c>
      <c r="E17" s="55" t="s">
        <v>344</v>
      </c>
      <c r="F17" s="56">
        <v>43340</v>
      </c>
      <c r="G17" s="143">
        <v>43340</v>
      </c>
      <c r="H17" s="56"/>
      <c r="I17" s="56"/>
      <c r="J17" s="57">
        <f t="shared" ca="1" si="6"/>
        <v>2</v>
      </c>
      <c r="K17" s="57">
        <f t="shared" ca="1" si="2"/>
        <v>4</v>
      </c>
      <c r="L17" s="58"/>
      <c r="M17" s="58"/>
      <c r="N17" s="55" t="s">
        <v>76</v>
      </c>
      <c r="O17" s="55" t="s">
        <v>36</v>
      </c>
      <c r="P17" s="55" t="s">
        <v>41</v>
      </c>
      <c r="Q17" s="56">
        <v>34553</v>
      </c>
      <c r="R17" s="77">
        <f t="shared" ca="1" si="3"/>
        <v>26</v>
      </c>
      <c r="S17" s="77">
        <f t="shared" ca="1" si="7"/>
        <v>4</v>
      </c>
      <c r="T17" s="51" t="s">
        <v>57</v>
      </c>
      <c r="U17" s="51" t="s">
        <v>397</v>
      </c>
      <c r="V17" s="55" t="s">
        <v>48</v>
      </c>
      <c r="W17" s="55" t="s">
        <v>192</v>
      </c>
      <c r="X17" s="55" t="s">
        <v>48</v>
      </c>
      <c r="Y17" s="55" t="s">
        <v>48</v>
      </c>
      <c r="Z17" s="56" t="s">
        <v>405</v>
      </c>
      <c r="AA17" s="66">
        <v>42598</v>
      </c>
      <c r="AB17" s="77">
        <f ca="1">DATEDIF(AA17,$A$3,"Y")</f>
        <v>4</v>
      </c>
      <c r="AC17" s="55" t="s">
        <v>48</v>
      </c>
      <c r="AD17" s="55" t="s">
        <v>48</v>
      </c>
      <c r="AE17" s="55" t="s">
        <v>48</v>
      </c>
      <c r="AF17" s="66"/>
      <c r="AG17" s="66"/>
      <c r="AH17" s="66"/>
      <c r="AI17" s="220" t="s">
        <v>406</v>
      </c>
      <c r="AJ17" s="60" t="s">
        <v>407</v>
      </c>
      <c r="AK17" s="60" t="s">
        <v>407</v>
      </c>
      <c r="AL17" s="60"/>
      <c r="AM17" s="51"/>
      <c r="AN17" s="51" t="s">
        <v>48</v>
      </c>
      <c r="AO17" s="71" t="s">
        <v>408</v>
      </c>
      <c r="AP17" s="74" t="s">
        <v>398</v>
      </c>
      <c r="AQ17" s="103" t="s">
        <v>934</v>
      </c>
      <c r="AR17" s="51" t="s">
        <v>64</v>
      </c>
      <c r="AS17" s="55" t="s">
        <v>95</v>
      </c>
      <c r="AT17" s="237" t="s">
        <v>410</v>
      </c>
    </row>
    <row r="18" spans="1:331" s="122" customFormat="1" ht="18.75" customHeight="1">
      <c r="A18" s="51">
        <v>7</v>
      </c>
      <c r="B18" s="51" t="s">
        <v>454</v>
      </c>
      <c r="C18" s="53" t="s">
        <v>437</v>
      </c>
      <c r="D18" s="433" t="s">
        <v>450</v>
      </c>
      <c r="E18" s="55" t="s">
        <v>344</v>
      </c>
      <c r="F18" s="56">
        <v>43469</v>
      </c>
      <c r="G18" s="143">
        <v>43469</v>
      </c>
      <c r="H18" s="56"/>
      <c r="I18" s="56"/>
      <c r="J18" s="57">
        <f t="shared" ca="1" si="6"/>
        <v>2</v>
      </c>
      <c r="K18" s="57">
        <f t="shared" ca="1" si="2"/>
        <v>0</v>
      </c>
      <c r="L18" s="58"/>
      <c r="M18" s="58"/>
      <c r="N18" s="55" t="s">
        <v>35</v>
      </c>
      <c r="O18" s="55" t="s">
        <v>36</v>
      </c>
      <c r="P18" s="55" t="s">
        <v>41</v>
      </c>
      <c r="Q18" s="56">
        <v>33831</v>
      </c>
      <c r="R18" s="131">
        <f t="shared" ca="1" si="3"/>
        <v>28</v>
      </c>
      <c r="S18" s="131">
        <f t="shared" ca="1" si="7"/>
        <v>4</v>
      </c>
      <c r="T18" s="51" t="s">
        <v>57</v>
      </c>
      <c r="U18" s="51" t="s">
        <v>58</v>
      </c>
      <c r="V18" s="55" t="s">
        <v>48</v>
      </c>
      <c r="W18" s="55" t="s">
        <v>350</v>
      </c>
      <c r="X18" s="56" t="s">
        <v>481</v>
      </c>
      <c r="Y18" s="66">
        <v>35454</v>
      </c>
      <c r="Z18" s="55" t="s">
        <v>48</v>
      </c>
      <c r="AA18" s="55" t="s">
        <v>48</v>
      </c>
      <c r="AB18" s="55" t="s">
        <v>48</v>
      </c>
      <c r="AC18" s="55" t="s">
        <v>48</v>
      </c>
      <c r="AD18" s="55" t="s">
        <v>48</v>
      </c>
      <c r="AE18" s="55" t="s">
        <v>48</v>
      </c>
      <c r="AF18" s="66"/>
      <c r="AG18" s="66"/>
      <c r="AH18" s="66"/>
      <c r="AI18" s="140" t="s">
        <v>548</v>
      </c>
      <c r="AJ18" s="60" t="s">
        <v>464</v>
      </c>
      <c r="AK18" s="60" t="s">
        <v>464</v>
      </c>
      <c r="AL18" s="60"/>
      <c r="AM18" s="51"/>
      <c r="AN18" s="51" t="s">
        <v>48</v>
      </c>
      <c r="AO18" s="70" t="s">
        <v>465</v>
      </c>
      <c r="AP18" s="158" t="s">
        <v>437</v>
      </c>
      <c r="AQ18" s="272" t="s">
        <v>549</v>
      </c>
      <c r="AR18" s="51" t="s">
        <v>64</v>
      </c>
      <c r="AS18" s="55" t="s">
        <v>95</v>
      </c>
      <c r="AT18" s="237" t="s">
        <v>466</v>
      </c>
      <c r="CC18" s="65"/>
      <c r="CD18" s="65"/>
      <c r="CE18" s="65"/>
      <c r="CF18" s="65"/>
      <c r="CG18" s="65"/>
      <c r="CH18" s="65"/>
      <c r="CI18" s="65"/>
      <c r="CJ18" s="65"/>
      <c r="CK18" s="65"/>
      <c r="CL18" s="65"/>
      <c r="CM18" s="65"/>
      <c r="CN18" s="65"/>
      <c r="CO18" s="65"/>
      <c r="CP18" s="65"/>
      <c r="CQ18" s="65"/>
      <c r="CR18" s="65"/>
      <c r="CS18" s="65"/>
      <c r="CT18" s="65"/>
      <c r="CU18" s="65"/>
      <c r="CV18" s="65"/>
      <c r="CW18" s="65"/>
      <c r="CX18" s="65"/>
      <c r="CY18" s="65"/>
      <c r="CZ18" s="65"/>
      <c r="DA18" s="65"/>
      <c r="DB18" s="65"/>
      <c r="DC18" s="65"/>
      <c r="DD18" s="65"/>
      <c r="DE18" s="65"/>
      <c r="DF18" s="65"/>
      <c r="DG18" s="65"/>
      <c r="DH18" s="65"/>
      <c r="DI18" s="65"/>
      <c r="DJ18" s="65"/>
      <c r="DK18" s="65"/>
      <c r="DL18" s="65"/>
      <c r="DM18" s="65"/>
      <c r="DN18" s="65"/>
      <c r="DO18" s="65"/>
      <c r="DP18" s="65"/>
      <c r="DQ18" s="65"/>
      <c r="DR18" s="65"/>
      <c r="DS18" s="65"/>
      <c r="DT18" s="65"/>
      <c r="DU18" s="65"/>
      <c r="DV18" s="65"/>
      <c r="DW18" s="65"/>
      <c r="DX18" s="65"/>
      <c r="DY18" s="65"/>
      <c r="DZ18" s="65"/>
      <c r="EA18" s="65"/>
      <c r="EB18" s="65"/>
      <c r="EC18" s="65"/>
      <c r="ED18" s="65"/>
      <c r="EE18" s="65"/>
      <c r="EF18" s="65"/>
      <c r="EG18" s="65"/>
      <c r="EH18" s="65"/>
      <c r="EI18" s="65"/>
      <c r="EJ18" s="65"/>
      <c r="EK18" s="65"/>
      <c r="EL18" s="65"/>
      <c r="EM18" s="65"/>
      <c r="EN18" s="65"/>
      <c r="EO18" s="65"/>
      <c r="EP18" s="65"/>
      <c r="EQ18" s="65"/>
      <c r="ER18" s="65"/>
      <c r="ES18" s="65"/>
      <c r="ET18" s="65"/>
      <c r="EU18" s="65"/>
      <c r="EV18" s="65"/>
      <c r="EW18" s="65"/>
      <c r="EX18" s="65"/>
      <c r="EY18" s="65"/>
      <c r="EZ18" s="65"/>
      <c r="FA18" s="65"/>
      <c r="FB18" s="65"/>
      <c r="FC18" s="65"/>
      <c r="FD18" s="65"/>
      <c r="FE18" s="65"/>
      <c r="FF18" s="65"/>
      <c r="FG18" s="65"/>
      <c r="FH18" s="65"/>
      <c r="FI18" s="65"/>
      <c r="FJ18" s="65"/>
      <c r="FK18" s="65"/>
      <c r="FL18" s="65"/>
      <c r="FM18" s="65"/>
      <c r="FN18" s="65"/>
      <c r="FO18" s="65"/>
      <c r="FP18" s="65"/>
      <c r="FQ18" s="65"/>
      <c r="FR18" s="65"/>
      <c r="FS18" s="65"/>
      <c r="FT18" s="65"/>
      <c r="FU18" s="65"/>
      <c r="FV18" s="65"/>
      <c r="FW18" s="65"/>
      <c r="FX18" s="65"/>
      <c r="FY18" s="65"/>
      <c r="FZ18" s="65"/>
      <c r="GA18" s="65"/>
      <c r="GB18" s="65"/>
      <c r="GC18" s="65"/>
      <c r="GD18" s="65"/>
      <c r="GE18" s="65"/>
      <c r="GF18" s="65"/>
      <c r="GG18" s="65"/>
      <c r="GH18" s="65"/>
      <c r="GI18" s="65"/>
      <c r="GJ18" s="65"/>
      <c r="GK18" s="65"/>
      <c r="GL18" s="65"/>
      <c r="GM18" s="65"/>
      <c r="GN18" s="65"/>
      <c r="GO18" s="65"/>
      <c r="GP18" s="65"/>
      <c r="GQ18" s="65"/>
      <c r="GR18" s="65"/>
      <c r="GS18" s="65"/>
      <c r="GT18" s="65"/>
      <c r="GU18" s="65"/>
      <c r="GV18" s="65"/>
      <c r="GW18" s="65"/>
      <c r="GX18" s="65"/>
      <c r="GY18" s="65"/>
      <c r="GZ18" s="65"/>
      <c r="HA18" s="65"/>
      <c r="HB18" s="65"/>
      <c r="HC18" s="65"/>
      <c r="HD18" s="65"/>
      <c r="HE18" s="65"/>
      <c r="HF18" s="65"/>
      <c r="HG18" s="65"/>
      <c r="HH18" s="65"/>
      <c r="HI18" s="65"/>
      <c r="HJ18" s="65"/>
      <c r="HK18" s="65"/>
      <c r="HL18" s="65"/>
      <c r="HM18" s="65"/>
      <c r="HN18" s="65"/>
      <c r="HO18" s="65"/>
      <c r="HP18" s="65"/>
      <c r="HQ18" s="65"/>
      <c r="HR18" s="65"/>
      <c r="HS18" s="65"/>
      <c r="HT18" s="65"/>
      <c r="HU18" s="65"/>
      <c r="HV18" s="65"/>
      <c r="HW18" s="65"/>
      <c r="HX18" s="65"/>
      <c r="HY18" s="65"/>
      <c r="HZ18" s="65"/>
      <c r="IA18" s="65"/>
      <c r="IB18" s="65"/>
      <c r="IC18" s="65"/>
      <c r="ID18" s="65"/>
      <c r="IE18" s="65"/>
      <c r="IF18" s="65"/>
      <c r="IG18" s="65"/>
      <c r="IH18" s="65"/>
      <c r="II18" s="65"/>
      <c r="IJ18" s="65"/>
      <c r="IK18" s="65"/>
      <c r="IL18" s="65"/>
      <c r="IM18" s="65"/>
      <c r="IN18" s="65"/>
      <c r="IO18" s="65"/>
      <c r="IP18" s="65"/>
      <c r="IQ18" s="65"/>
      <c r="IR18" s="65"/>
      <c r="IS18" s="65"/>
      <c r="IT18" s="65"/>
      <c r="IU18" s="65"/>
      <c r="IV18" s="65"/>
      <c r="IW18" s="65"/>
      <c r="IX18" s="65"/>
      <c r="IY18" s="65"/>
      <c r="IZ18" s="65"/>
      <c r="JA18" s="65"/>
      <c r="JB18" s="65"/>
      <c r="JC18" s="65"/>
      <c r="JD18" s="65"/>
      <c r="JE18" s="65"/>
      <c r="JF18" s="65"/>
      <c r="JG18" s="65"/>
      <c r="JH18" s="65"/>
      <c r="JI18" s="65"/>
      <c r="JJ18" s="65"/>
      <c r="JK18" s="65"/>
      <c r="JL18" s="65"/>
      <c r="JM18" s="65"/>
      <c r="JN18" s="65"/>
      <c r="JO18" s="65"/>
      <c r="JP18" s="65"/>
      <c r="JQ18" s="65"/>
      <c r="JR18" s="65"/>
      <c r="JS18" s="65"/>
      <c r="JT18" s="65"/>
      <c r="JU18" s="65"/>
      <c r="JV18" s="65"/>
      <c r="JW18" s="65"/>
      <c r="JX18" s="65"/>
      <c r="JY18" s="65"/>
      <c r="JZ18" s="65"/>
      <c r="KA18" s="65"/>
      <c r="KB18" s="65"/>
      <c r="KC18" s="65"/>
      <c r="KD18" s="65"/>
      <c r="KE18" s="65"/>
      <c r="KF18" s="65"/>
      <c r="KG18" s="65"/>
      <c r="KH18" s="65"/>
      <c r="KI18" s="65"/>
      <c r="KJ18" s="65"/>
      <c r="KK18" s="65"/>
      <c r="KL18" s="65"/>
      <c r="KM18" s="65"/>
      <c r="KN18" s="65"/>
      <c r="KO18" s="65"/>
      <c r="KP18" s="65"/>
      <c r="KQ18" s="65"/>
      <c r="KR18" s="65"/>
      <c r="KS18" s="65"/>
      <c r="KT18" s="65"/>
      <c r="KU18" s="65"/>
      <c r="KV18" s="65"/>
      <c r="KW18" s="65"/>
      <c r="KX18" s="65"/>
      <c r="KY18" s="65"/>
      <c r="KZ18" s="65"/>
      <c r="LA18" s="65"/>
      <c r="LB18" s="65"/>
      <c r="LC18" s="65"/>
      <c r="LD18" s="65"/>
      <c r="LE18" s="65"/>
      <c r="LF18" s="65"/>
      <c r="LG18" s="65"/>
      <c r="LH18" s="65"/>
      <c r="LI18" s="65"/>
      <c r="LJ18" s="65"/>
      <c r="LK18" s="65"/>
      <c r="LL18" s="65"/>
      <c r="LM18" s="65"/>
      <c r="LN18" s="65"/>
      <c r="LO18" s="65"/>
      <c r="LP18" s="65"/>
      <c r="LQ18" s="65"/>
      <c r="LR18" s="65"/>
      <c r="LS18" s="65"/>
    </row>
    <row r="19" spans="1:331" s="122" customFormat="1" ht="18.75" customHeight="1">
      <c r="A19" s="51">
        <v>8</v>
      </c>
      <c r="B19" s="141">
        <v>9919020013</v>
      </c>
      <c r="C19" s="53" t="s">
        <v>538</v>
      </c>
      <c r="D19" s="433" t="s">
        <v>450</v>
      </c>
      <c r="E19" s="55" t="s">
        <v>344</v>
      </c>
      <c r="F19" s="56">
        <v>43511</v>
      </c>
      <c r="G19" s="143">
        <v>43511</v>
      </c>
      <c r="H19" s="56"/>
      <c r="I19" s="56"/>
      <c r="J19" s="57">
        <f t="shared" ca="1" si="6"/>
        <v>1</v>
      </c>
      <c r="K19" s="57">
        <f t="shared" ca="1" si="2"/>
        <v>10</v>
      </c>
      <c r="L19" s="58"/>
      <c r="M19" s="58"/>
      <c r="N19" s="55" t="s">
        <v>76</v>
      </c>
      <c r="O19" s="55" t="s">
        <v>36</v>
      </c>
      <c r="P19" s="55" t="s">
        <v>41</v>
      </c>
      <c r="Q19" s="56">
        <v>34934</v>
      </c>
      <c r="R19" s="131">
        <f t="shared" ca="1" si="3"/>
        <v>25</v>
      </c>
      <c r="S19" s="131">
        <f t="shared" ca="1" si="7"/>
        <v>4</v>
      </c>
      <c r="T19" s="51" t="s">
        <v>57</v>
      </c>
      <c r="U19" s="51" t="s">
        <v>539</v>
      </c>
      <c r="V19" s="55" t="s">
        <v>105</v>
      </c>
      <c r="W19" s="55" t="s">
        <v>59</v>
      </c>
      <c r="X19" s="55" t="s">
        <v>48</v>
      </c>
      <c r="Y19" s="55" t="s">
        <v>48</v>
      </c>
      <c r="Z19" s="55" t="s">
        <v>48</v>
      </c>
      <c r="AA19" s="55" t="s">
        <v>48</v>
      </c>
      <c r="AB19" s="55" t="s">
        <v>48</v>
      </c>
      <c r="AC19" s="55" t="s">
        <v>48</v>
      </c>
      <c r="AD19" s="55" t="s">
        <v>48</v>
      </c>
      <c r="AE19" s="55" t="s">
        <v>48</v>
      </c>
      <c r="AF19" s="66"/>
      <c r="AG19" s="66"/>
      <c r="AH19" s="66"/>
      <c r="AI19" s="70" t="s">
        <v>540</v>
      </c>
      <c r="AJ19" s="60" t="s">
        <v>541</v>
      </c>
      <c r="AK19" s="60" t="s">
        <v>541</v>
      </c>
      <c r="AL19" s="60"/>
      <c r="AM19" s="51"/>
      <c r="AN19" s="51" t="s">
        <v>48</v>
      </c>
      <c r="AO19" s="70" t="s">
        <v>542</v>
      </c>
      <c r="AP19" s="150" t="s">
        <v>538</v>
      </c>
      <c r="AQ19" s="139" t="s">
        <v>547</v>
      </c>
      <c r="AR19" s="51" t="s">
        <v>64</v>
      </c>
      <c r="AS19" s="55" t="s">
        <v>95</v>
      </c>
      <c r="AT19" s="237" t="s">
        <v>544</v>
      </c>
      <c r="CC19" s="65"/>
      <c r="CD19" s="65"/>
      <c r="CE19" s="65"/>
      <c r="CF19" s="65"/>
      <c r="CG19" s="65"/>
      <c r="CH19" s="65"/>
      <c r="CI19" s="65"/>
      <c r="CJ19" s="65"/>
      <c r="CK19" s="65"/>
      <c r="CL19" s="65"/>
      <c r="CM19" s="65"/>
      <c r="CN19" s="65"/>
      <c r="CO19" s="65"/>
      <c r="CP19" s="65"/>
      <c r="CQ19" s="65"/>
      <c r="CR19" s="65"/>
      <c r="CS19" s="65"/>
      <c r="CT19" s="65"/>
      <c r="CU19" s="65"/>
      <c r="CV19" s="65"/>
      <c r="CW19" s="65"/>
      <c r="CX19" s="65"/>
      <c r="CY19" s="65"/>
      <c r="CZ19" s="65"/>
      <c r="DA19" s="65"/>
      <c r="DB19" s="65"/>
      <c r="DC19" s="65"/>
      <c r="DD19" s="65"/>
      <c r="DE19" s="65"/>
      <c r="DF19" s="65"/>
      <c r="DG19" s="65"/>
      <c r="DH19" s="65"/>
      <c r="DI19" s="65"/>
      <c r="DJ19" s="65"/>
      <c r="DK19" s="65"/>
      <c r="DL19" s="65"/>
      <c r="DM19" s="65"/>
      <c r="DN19" s="65"/>
      <c r="DO19" s="65"/>
      <c r="DP19" s="65"/>
      <c r="DQ19" s="65"/>
      <c r="DR19" s="65"/>
      <c r="DS19" s="65"/>
      <c r="DT19" s="65"/>
      <c r="DU19" s="65"/>
      <c r="DV19" s="65"/>
      <c r="DW19" s="65"/>
      <c r="DX19" s="65"/>
      <c r="DY19" s="65"/>
      <c r="DZ19" s="65"/>
      <c r="EA19" s="65"/>
      <c r="EB19" s="65"/>
      <c r="EC19" s="65"/>
      <c r="ED19" s="65"/>
      <c r="EE19" s="65"/>
      <c r="EF19" s="65"/>
      <c r="EG19" s="65"/>
      <c r="EH19" s="65"/>
      <c r="EI19" s="65"/>
      <c r="EJ19" s="65"/>
      <c r="EK19" s="65"/>
      <c r="EL19" s="65"/>
      <c r="EM19" s="65"/>
      <c r="EN19" s="65"/>
      <c r="EO19" s="65"/>
      <c r="EP19" s="65"/>
      <c r="EQ19" s="65"/>
      <c r="ER19" s="65"/>
      <c r="ES19" s="65"/>
      <c r="ET19" s="65"/>
      <c r="EU19" s="65"/>
      <c r="EV19" s="65"/>
      <c r="EW19" s="65"/>
      <c r="EX19" s="65"/>
      <c r="EY19" s="65"/>
      <c r="EZ19" s="65"/>
      <c r="FA19" s="65"/>
      <c r="FB19" s="65"/>
      <c r="FC19" s="65"/>
      <c r="FD19" s="65"/>
      <c r="FE19" s="65"/>
      <c r="FF19" s="65"/>
      <c r="FG19" s="65"/>
      <c r="FH19" s="65"/>
      <c r="FI19" s="65"/>
      <c r="FJ19" s="65"/>
      <c r="FK19" s="65"/>
      <c r="FL19" s="65"/>
      <c r="FM19" s="65"/>
      <c r="FN19" s="65"/>
      <c r="FO19" s="65"/>
      <c r="FP19" s="65"/>
      <c r="FQ19" s="65"/>
      <c r="FR19" s="65"/>
      <c r="FS19" s="65"/>
      <c r="FT19" s="65"/>
      <c r="FU19" s="65"/>
      <c r="FV19" s="65"/>
      <c r="FW19" s="65"/>
      <c r="FX19" s="65"/>
      <c r="FY19" s="65"/>
      <c r="FZ19" s="65"/>
      <c r="GA19" s="65"/>
      <c r="GB19" s="65"/>
      <c r="GC19" s="65"/>
      <c r="GD19" s="65"/>
      <c r="GE19" s="65"/>
      <c r="GF19" s="65"/>
      <c r="GG19" s="65"/>
      <c r="GH19" s="65"/>
      <c r="GI19" s="65"/>
      <c r="GJ19" s="65"/>
      <c r="GK19" s="65"/>
      <c r="GL19" s="65"/>
      <c r="GM19" s="65"/>
      <c r="GN19" s="65"/>
      <c r="GO19" s="65"/>
      <c r="GP19" s="65"/>
      <c r="GQ19" s="65"/>
      <c r="GR19" s="65"/>
      <c r="GS19" s="65"/>
      <c r="GT19" s="65"/>
      <c r="GU19" s="65"/>
      <c r="GV19" s="65"/>
      <c r="GW19" s="65"/>
      <c r="GX19" s="65"/>
      <c r="GY19" s="65"/>
      <c r="GZ19" s="65"/>
      <c r="HA19" s="65"/>
      <c r="HB19" s="65"/>
      <c r="HC19" s="65"/>
      <c r="HD19" s="65"/>
      <c r="HE19" s="65"/>
      <c r="HF19" s="65"/>
      <c r="HG19" s="65"/>
      <c r="HH19" s="65"/>
      <c r="HI19" s="65"/>
      <c r="HJ19" s="65"/>
      <c r="HK19" s="65"/>
      <c r="HL19" s="65"/>
      <c r="HM19" s="65"/>
      <c r="HN19" s="65"/>
      <c r="HO19" s="65"/>
      <c r="HP19" s="65"/>
      <c r="HQ19" s="65"/>
      <c r="HR19" s="65"/>
      <c r="HS19" s="65"/>
      <c r="HT19" s="65"/>
      <c r="HU19" s="65"/>
      <c r="HV19" s="65"/>
      <c r="HW19" s="65"/>
      <c r="HX19" s="65"/>
      <c r="HY19" s="65"/>
      <c r="HZ19" s="65"/>
      <c r="IA19" s="65"/>
      <c r="IB19" s="65"/>
      <c r="IC19" s="65"/>
      <c r="ID19" s="65"/>
      <c r="IE19" s="65"/>
      <c r="IF19" s="65"/>
      <c r="IG19" s="65"/>
      <c r="IH19" s="65"/>
      <c r="II19" s="65"/>
      <c r="IJ19" s="65"/>
      <c r="IK19" s="65"/>
      <c r="IL19" s="65"/>
      <c r="IM19" s="65"/>
      <c r="IN19" s="65"/>
      <c r="IO19" s="65"/>
      <c r="IP19" s="65"/>
      <c r="IQ19" s="65"/>
      <c r="IR19" s="65"/>
      <c r="IS19" s="65"/>
      <c r="IT19" s="65"/>
      <c r="IU19" s="65"/>
      <c r="IV19" s="65"/>
      <c r="IW19" s="65"/>
      <c r="IX19" s="65"/>
      <c r="IY19" s="65"/>
      <c r="IZ19" s="65"/>
      <c r="JA19" s="65"/>
      <c r="JB19" s="65"/>
      <c r="JC19" s="65"/>
      <c r="JD19" s="65"/>
      <c r="JE19" s="65"/>
      <c r="JF19" s="65"/>
      <c r="JG19" s="65"/>
      <c r="JH19" s="65"/>
      <c r="JI19" s="65"/>
      <c r="JJ19" s="65"/>
      <c r="JK19" s="65"/>
      <c r="JL19" s="65"/>
      <c r="JM19" s="65"/>
      <c r="JN19" s="65"/>
      <c r="JO19" s="65"/>
      <c r="JP19" s="65"/>
      <c r="JQ19" s="65"/>
      <c r="JR19" s="65"/>
      <c r="JS19" s="65"/>
      <c r="JT19" s="65"/>
      <c r="JU19" s="65"/>
      <c r="JV19" s="65"/>
      <c r="JW19" s="65"/>
      <c r="JX19" s="65"/>
      <c r="JY19" s="65"/>
      <c r="JZ19" s="65"/>
      <c r="KA19" s="65"/>
      <c r="KB19" s="65"/>
      <c r="KC19" s="65"/>
      <c r="KD19" s="65"/>
      <c r="KE19" s="65"/>
      <c r="KF19" s="65"/>
      <c r="KG19" s="65"/>
      <c r="KH19" s="65"/>
      <c r="KI19" s="65"/>
      <c r="KJ19" s="65"/>
      <c r="KK19" s="65"/>
      <c r="KL19" s="65"/>
      <c r="KM19" s="65"/>
      <c r="KN19" s="65"/>
      <c r="KO19" s="65"/>
      <c r="KP19" s="65"/>
      <c r="KQ19" s="65"/>
      <c r="KR19" s="65"/>
      <c r="KS19" s="65"/>
      <c r="KT19" s="65"/>
      <c r="KU19" s="65"/>
      <c r="KV19" s="65"/>
      <c r="KW19" s="65"/>
      <c r="KX19" s="65"/>
      <c r="KY19" s="65"/>
      <c r="KZ19" s="65"/>
      <c r="LA19" s="65"/>
      <c r="LB19" s="65"/>
      <c r="LC19" s="65"/>
      <c r="LD19" s="65"/>
      <c r="LE19" s="65"/>
      <c r="LF19" s="65"/>
      <c r="LG19" s="65"/>
      <c r="LH19" s="65"/>
      <c r="LI19" s="65"/>
      <c r="LJ19" s="65"/>
      <c r="LK19" s="65"/>
      <c r="LL19" s="65"/>
      <c r="LM19" s="65"/>
      <c r="LN19" s="65"/>
      <c r="LO19" s="65"/>
      <c r="LP19" s="65"/>
      <c r="LQ19" s="65"/>
      <c r="LR19" s="65"/>
      <c r="LS19" s="65"/>
    </row>
    <row r="20" spans="1:331" s="122" customFormat="1" ht="18.75" customHeight="1">
      <c r="A20" s="51">
        <v>9</v>
      </c>
      <c r="B20" s="51" t="s">
        <v>451</v>
      </c>
      <c r="C20" s="53" t="s">
        <v>436</v>
      </c>
      <c r="D20" s="433" t="s">
        <v>67</v>
      </c>
      <c r="E20" s="55" t="s">
        <v>344</v>
      </c>
      <c r="F20" s="56">
        <v>43467</v>
      </c>
      <c r="G20" s="143">
        <v>43467</v>
      </c>
      <c r="H20" s="56"/>
      <c r="I20" s="56"/>
      <c r="J20" s="57">
        <f t="shared" ca="1" si="6"/>
        <v>2</v>
      </c>
      <c r="K20" s="57">
        <f t="shared" ca="1" si="2"/>
        <v>0</v>
      </c>
      <c r="L20" s="58"/>
      <c r="M20" s="58"/>
      <c r="N20" s="55" t="s">
        <v>76</v>
      </c>
      <c r="O20" s="55" t="s">
        <v>36</v>
      </c>
      <c r="P20" s="55" t="s">
        <v>37</v>
      </c>
      <c r="Q20" s="56">
        <v>35726</v>
      </c>
      <c r="R20" s="131">
        <f t="shared" ca="1" si="3"/>
        <v>23</v>
      </c>
      <c r="S20" s="131">
        <f t="shared" ca="1" si="7"/>
        <v>2</v>
      </c>
      <c r="T20" s="51" t="s">
        <v>467</v>
      </c>
      <c r="U20" s="51" t="s">
        <v>468</v>
      </c>
      <c r="V20" s="55" t="s">
        <v>469</v>
      </c>
      <c r="W20" s="55" t="s">
        <v>59</v>
      </c>
      <c r="X20" s="55" t="s">
        <v>48</v>
      </c>
      <c r="Y20" s="55" t="s">
        <v>48</v>
      </c>
      <c r="Z20" s="55" t="s">
        <v>48</v>
      </c>
      <c r="AA20" s="55" t="s">
        <v>48</v>
      </c>
      <c r="AB20" s="55" t="s">
        <v>48</v>
      </c>
      <c r="AC20" s="55" t="s">
        <v>48</v>
      </c>
      <c r="AD20" s="55" t="s">
        <v>48</v>
      </c>
      <c r="AE20" s="55" t="s">
        <v>48</v>
      </c>
      <c r="AF20" s="121"/>
      <c r="AG20" s="119"/>
      <c r="AH20" s="118"/>
      <c r="AI20" s="70" t="s">
        <v>561</v>
      </c>
      <c r="AJ20" s="60" t="s">
        <v>470</v>
      </c>
      <c r="AK20" s="60" t="s">
        <v>470</v>
      </c>
      <c r="AL20" s="60"/>
      <c r="AM20" s="71"/>
      <c r="AN20" s="51" t="s">
        <v>48</v>
      </c>
      <c r="AO20" s="70" t="s">
        <v>471</v>
      </c>
      <c r="AP20" s="63" t="s">
        <v>436</v>
      </c>
      <c r="AQ20" s="74" t="s">
        <v>642</v>
      </c>
      <c r="AR20" s="55" t="s">
        <v>64</v>
      </c>
      <c r="AS20" s="55" t="s">
        <v>95</v>
      </c>
      <c r="AT20" s="237" t="s">
        <v>472</v>
      </c>
      <c r="CC20" s="65"/>
      <c r="CD20" s="65"/>
      <c r="CE20" s="65"/>
      <c r="CF20" s="65"/>
      <c r="CG20" s="65"/>
      <c r="CH20" s="65"/>
      <c r="CI20" s="65"/>
      <c r="CJ20" s="65"/>
      <c r="CK20" s="65"/>
      <c r="CL20" s="65"/>
      <c r="CM20" s="65"/>
      <c r="CN20" s="65"/>
      <c r="CO20" s="65"/>
      <c r="CP20" s="65"/>
      <c r="CQ20" s="65"/>
      <c r="CR20" s="65"/>
      <c r="CS20" s="65"/>
      <c r="CT20" s="65"/>
      <c r="CU20" s="65"/>
      <c r="CV20" s="65"/>
      <c r="CW20" s="65"/>
      <c r="CX20" s="65"/>
      <c r="CY20" s="65"/>
      <c r="CZ20" s="65"/>
      <c r="DA20" s="65"/>
      <c r="DB20" s="65"/>
      <c r="DC20" s="65"/>
      <c r="DD20" s="65"/>
      <c r="DE20" s="65"/>
      <c r="DF20" s="65"/>
      <c r="DG20" s="65"/>
      <c r="DH20" s="65"/>
      <c r="DI20" s="65"/>
      <c r="DJ20" s="65"/>
      <c r="DK20" s="65"/>
      <c r="DL20" s="65"/>
      <c r="DM20" s="65"/>
      <c r="DN20" s="65"/>
      <c r="DO20" s="65"/>
      <c r="DP20" s="65"/>
      <c r="DQ20" s="65"/>
      <c r="DR20" s="65"/>
      <c r="DS20" s="65"/>
      <c r="DT20" s="65"/>
      <c r="DU20" s="65"/>
      <c r="DV20" s="65"/>
      <c r="DW20" s="65"/>
      <c r="DX20" s="65"/>
      <c r="DY20" s="65"/>
      <c r="DZ20" s="65"/>
      <c r="EA20" s="65"/>
      <c r="EB20" s="65"/>
      <c r="EC20" s="65"/>
      <c r="ED20" s="65"/>
      <c r="EE20" s="65"/>
      <c r="EF20" s="65"/>
      <c r="EG20" s="65"/>
      <c r="EH20" s="65"/>
      <c r="EI20" s="65"/>
      <c r="EJ20" s="65"/>
      <c r="EK20" s="65"/>
      <c r="EL20" s="65"/>
      <c r="EM20" s="65"/>
      <c r="EN20" s="65"/>
      <c r="EO20" s="65"/>
      <c r="EP20" s="65"/>
      <c r="EQ20" s="65"/>
      <c r="ER20" s="65"/>
      <c r="ES20" s="65"/>
      <c r="ET20" s="65"/>
      <c r="EU20" s="65"/>
      <c r="EV20" s="65"/>
      <c r="EW20" s="65"/>
      <c r="EX20" s="65"/>
      <c r="EY20" s="65"/>
      <c r="EZ20" s="65"/>
      <c r="FA20" s="65"/>
      <c r="FB20" s="65"/>
      <c r="FC20" s="65"/>
      <c r="FD20" s="65"/>
      <c r="FE20" s="65"/>
      <c r="FF20" s="65"/>
      <c r="FG20" s="65"/>
      <c r="FH20" s="65"/>
      <c r="FI20" s="65"/>
      <c r="FJ20" s="65"/>
      <c r="FK20" s="65"/>
      <c r="FL20" s="65"/>
      <c r="FM20" s="65"/>
      <c r="FN20" s="65"/>
      <c r="FO20" s="65"/>
      <c r="FP20" s="65"/>
      <c r="FQ20" s="65"/>
      <c r="FR20" s="65"/>
      <c r="FS20" s="65"/>
      <c r="FT20" s="65"/>
      <c r="FU20" s="65"/>
      <c r="FV20" s="65"/>
      <c r="FW20" s="65"/>
      <c r="FX20" s="65"/>
      <c r="FY20" s="65"/>
      <c r="FZ20" s="65"/>
      <c r="GA20" s="65"/>
      <c r="GB20" s="65"/>
      <c r="GC20" s="65"/>
      <c r="GD20" s="65"/>
      <c r="GE20" s="65"/>
      <c r="GF20" s="65"/>
      <c r="GG20" s="65"/>
      <c r="GH20" s="65"/>
      <c r="GI20" s="65"/>
      <c r="GJ20" s="65"/>
      <c r="GK20" s="65"/>
      <c r="GL20" s="65"/>
      <c r="GM20" s="65"/>
      <c r="GN20" s="65"/>
      <c r="GO20" s="65"/>
      <c r="GP20" s="65"/>
      <c r="GQ20" s="65"/>
      <c r="GR20" s="65"/>
      <c r="GS20" s="65"/>
      <c r="GT20" s="65"/>
      <c r="GU20" s="65"/>
      <c r="GV20" s="65"/>
      <c r="GW20" s="65"/>
      <c r="GX20" s="65"/>
      <c r="GY20" s="65"/>
      <c r="GZ20" s="65"/>
      <c r="HA20" s="65"/>
      <c r="HB20" s="65"/>
      <c r="HC20" s="65"/>
      <c r="HD20" s="65"/>
      <c r="HE20" s="65"/>
      <c r="HF20" s="65"/>
      <c r="HG20" s="65"/>
      <c r="HH20" s="65"/>
      <c r="HI20" s="65"/>
      <c r="HJ20" s="65"/>
      <c r="HK20" s="65"/>
      <c r="HL20" s="65"/>
      <c r="HM20" s="65"/>
      <c r="HN20" s="65"/>
      <c r="HO20" s="65"/>
      <c r="HP20" s="65"/>
      <c r="HQ20" s="65"/>
      <c r="HR20" s="65"/>
      <c r="HS20" s="65"/>
      <c r="HT20" s="65"/>
      <c r="HU20" s="65"/>
      <c r="HV20" s="65"/>
      <c r="HW20" s="65"/>
      <c r="HX20" s="65"/>
      <c r="HY20" s="65"/>
      <c r="HZ20" s="65"/>
      <c r="IA20" s="65"/>
      <c r="IB20" s="65"/>
      <c r="IC20" s="65"/>
      <c r="ID20" s="65"/>
      <c r="IE20" s="65"/>
      <c r="IF20" s="65"/>
      <c r="IG20" s="65"/>
      <c r="IH20" s="65"/>
      <c r="II20" s="65"/>
      <c r="IJ20" s="65"/>
      <c r="IK20" s="65"/>
      <c r="IL20" s="65"/>
      <c r="IM20" s="65"/>
      <c r="IN20" s="65"/>
      <c r="IO20" s="65"/>
      <c r="IP20" s="65"/>
      <c r="IQ20" s="65"/>
      <c r="IR20" s="65"/>
      <c r="IS20" s="65"/>
      <c r="IT20" s="65"/>
      <c r="IU20" s="65"/>
      <c r="IV20" s="65"/>
      <c r="IW20" s="65"/>
      <c r="IX20" s="65"/>
      <c r="IY20" s="65"/>
      <c r="IZ20" s="65"/>
      <c r="JA20" s="65"/>
      <c r="JB20" s="65"/>
      <c r="JC20" s="65"/>
      <c r="JD20" s="65"/>
      <c r="JE20" s="65"/>
      <c r="JF20" s="65"/>
      <c r="JG20" s="65"/>
      <c r="JH20" s="65"/>
      <c r="JI20" s="65"/>
      <c r="JJ20" s="65"/>
      <c r="JK20" s="65"/>
      <c r="JL20" s="65"/>
      <c r="JM20" s="65"/>
      <c r="JN20" s="65"/>
      <c r="JO20" s="65"/>
      <c r="JP20" s="65"/>
      <c r="JQ20" s="65"/>
      <c r="JR20" s="65"/>
      <c r="JS20" s="65"/>
      <c r="JT20" s="65"/>
      <c r="JU20" s="65"/>
      <c r="JV20" s="65"/>
      <c r="JW20" s="65"/>
      <c r="JX20" s="65"/>
      <c r="JY20" s="65"/>
      <c r="JZ20" s="65"/>
      <c r="KA20" s="65"/>
      <c r="KB20" s="65"/>
      <c r="KC20" s="65"/>
      <c r="KD20" s="65"/>
      <c r="KE20" s="65"/>
      <c r="KF20" s="65"/>
      <c r="KG20" s="65"/>
      <c r="KH20" s="65"/>
      <c r="KI20" s="65"/>
      <c r="KJ20" s="65"/>
      <c r="KK20" s="65"/>
      <c r="KL20" s="65"/>
      <c r="KM20" s="65"/>
      <c r="KN20" s="65"/>
      <c r="KO20" s="65"/>
      <c r="KP20" s="65"/>
      <c r="KQ20" s="65"/>
      <c r="KR20" s="65"/>
      <c r="KS20" s="65"/>
      <c r="KT20" s="65"/>
      <c r="KU20" s="65"/>
      <c r="KV20" s="65"/>
      <c r="KW20" s="65"/>
      <c r="KX20" s="65"/>
      <c r="KY20" s="65"/>
      <c r="KZ20" s="65"/>
      <c r="LA20" s="65"/>
      <c r="LB20" s="65"/>
      <c r="LC20" s="65"/>
      <c r="LD20" s="65"/>
      <c r="LE20" s="65"/>
      <c r="LF20" s="65"/>
      <c r="LG20" s="65"/>
      <c r="LH20" s="65"/>
      <c r="LI20" s="65"/>
      <c r="LJ20" s="65"/>
      <c r="LK20" s="65"/>
      <c r="LL20" s="65"/>
      <c r="LM20" s="65"/>
      <c r="LN20" s="65"/>
      <c r="LO20" s="65"/>
      <c r="LP20" s="65"/>
      <c r="LQ20" s="65"/>
      <c r="LR20" s="65"/>
      <c r="LS20" s="65"/>
    </row>
    <row r="21" spans="1:331" s="65" customFormat="1" ht="18.75" customHeight="1">
      <c r="A21" s="51">
        <v>10</v>
      </c>
      <c r="B21" s="52" t="s">
        <v>314</v>
      </c>
      <c r="C21" s="72" t="s">
        <v>88</v>
      </c>
      <c r="D21" s="433" t="s">
        <v>67</v>
      </c>
      <c r="E21" s="55" t="s">
        <v>344</v>
      </c>
      <c r="F21" s="56">
        <v>43202</v>
      </c>
      <c r="G21" s="143">
        <v>43202</v>
      </c>
      <c r="H21" s="143">
        <v>43567</v>
      </c>
      <c r="I21" s="56"/>
      <c r="J21" s="57">
        <f t="shared" ca="1" si="6"/>
        <v>2</v>
      </c>
      <c r="K21" s="57">
        <f t="shared" ca="1" si="2"/>
        <v>8</v>
      </c>
      <c r="L21" s="58"/>
      <c r="M21" s="58"/>
      <c r="N21" s="55" t="s">
        <v>35</v>
      </c>
      <c r="O21" s="55" t="s">
        <v>36</v>
      </c>
      <c r="P21" s="55" t="s">
        <v>41</v>
      </c>
      <c r="Q21" s="56">
        <v>33519</v>
      </c>
      <c r="R21" s="77">
        <f t="shared" ca="1" si="3"/>
        <v>29</v>
      </c>
      <c r="S21" s="77">
        <f t="shared" ca="1" si="7"/>
        <v>2</v>
      </c>
      <c r="T21" s="52" t="s">
        <v>57</v>
      </c>
      <c r="U21" s="52" t="s">
        <v>90</v>
      </c>
      <c r="V21" s="55" t="s">
        <v>48</v>
      </c>
      <c r="W21" s="55" t="s">
        <v>59</v>
      </c>
      <c r="X21" s="55" t="s">
        <v>48</v>
      </c>
      <c r="Y21" s="55" t="s">
        <v>48</v>
      </c>
      <c r="Z21" s="55" t="s">
        <v>48</v>
      </c>
      <c r="AA21" s="55" t="s">
        <v>48</v>
      </c>
      <c r="AB21" s="55" t="s">
        <v>48</v>
      </c>
      <c r="AC21" s="55" t="s">
        <v>48</v>
      </c>
      <c r="AD21" s="55" t="s">
        <v>48</v>
      </c>
      <c r="AE21" s="55" t="s">
        <v>48</v>
      </c>
      <c r="AF21" s="62"/>
      <c r="AG21" s="58"/>
      <c r="AH21" s="51"/>
      <c r="AI21" s="70" t="s">
        <v>91</v>
      </c>
      <c r="AJ21" s="60" t="s">
        <v>92</v>
      </c>
      <c r="AK21" s="60" t="s">
        <v>92</v>
      </c>
      <c r="AL21" s="60"/>
      <c r="AM21" s="51"/>
      <c r="AN21" s="51" t="s">
        <v>48</v>
      </c>
      <c r="AO21" s="63" t="s">
        <v>93</v>
      </c>
      <c r="AP21" s="84" t="s">
        <v>88</v>
      </c>
      <c r="AQ21" s="84" t="s">
        <v>935</v>
      </c>
      <c r="AR21" s="55" t="s">
        <v>64</v>
      </c>
      <c r="AS21" s="55" t="s">
        <v>95</v>
      </c>
      <c r="AT21" s="237" t="s">
        <v>96</v>
      </c>
    </row>
    <row r="22" spans="1:331" s="65" customFormat="1" ht="18.75" customHeight="1">
      <c r="A22" s="51">
        <v>11</v>
      </c>
      <c r="B22" s="52" t="s">
        <v>315</v>
      </c>
      <c r="C22" s="72" t="s">
        <v>98</v>
      </c>
      <c r="D22" s="433" t="s">
        <v>363</v>
      </c>
      <c r="E22" s="55" t="s">
        <v>344</v>
      </c>
      <c r="F22" s="56">
        <v>43202</v>
      </c>
      <c r="G22" s="143">
        <v>43202</v>
      </c>
      <c r="H22" s="143">
        <v>43567</v>
      </c>
      <c r="I22" s="56"/>
      <c r="J22" s="57">
        <f t="shared" ca="1" si="6"/>
        <v>2</v>
      </c>
      <c r="K22" s="57">
        <f t="shared" ca="1" si="2"/>
        <v>8</v>
      </c>
      <c r="L22" s="58"/>
      <c r="M22" s="58"/>
      <c r="N22" s="55" t="s">
        <v>76</v>
      </c>
      <c r="O22" s="55" t="s">
        <v>36</v>
      </c>
      <c r="P22" s="55" t="s">
        <v>41</v>
      </c>
      <c r="Q22" s="56">
        <v>34969</v>
      </c>
      <c r="R22" s="77">
        <f t="shared" ca="1" si="3"/>
        <v>25</v>
      </c>
      <c r="S22" s="77">
        <f t="shared" ca="1" si="7"/>
        <v>3</v>
      </c>
      <c r="T22" s="52" t="s">
        <v>68</v>
      </c>
      <c r="U22" s="52" t="s">
        <v>69</v>
      </c>
      <c r="V22" s="55" t="s">
        <v>44</v>
      </c>
      <c r="W22" s="55" t="s">
        <v>59</v>
      </c>
      <c r="X22" s="55" t="s">
        <v>48</v>
      </c>
      <c r="Y22" s="55" t="s">
        <v>48</v>
      </c>
      <c r="Z22" s="55" t="s">
        <v>48</v>
      </c>
      <c r="AA22" s="55" t="s">
        <v>48</v>
      </c>
      <c r="AB22" s="55" t="s">
        <v>48</v>
      </c>
      <c r="AC22" s="55" t="s">
        <v>48</v>
      </c>
      <c r="AD22" s="55" t="s">
        <v>48</v>
      </c>
      <c r="AE22" s="55" t="s">
        <v>48</v>
      </c>
      <c r="AF22" s="62"/>
      <c r="AG22" s="58"/>
      <c r="AH22" s="51"/>
      <c r="AI22" s="70" t="s">
        <v>234</v>
      </c>
      <c r="AJ22" s="60" t="s">
        <v>100</v>
      </c>
      <c r="AK22" s="60" t="s">
        <v>100</v>
      </c>
      <c r="AL22" s="60"/>
      <c r="AM22" s="51"/>
      <c r="AN22" s="51" t="s">
        <v>48</v>
      </c>
      <c r="AO22" s="63" t="s">
        <v>101</v>
      </c>
      <c r="AP22" s="84" t="s">
        <v>98</v>
      </c>
      <c r="AQ22" s="84" t="s">
        <v>948</v>
      </c>
      <c r="AR22" s="55" t="s">
        <v>64</v>
      </c>
      <c r="AS22" s="55" t="s">
        <v>95</v>
      </c>
      <c r="AT22" s="237" t="s">
        <v>102</v>
      </c>
    </row>
    <row r="23" spans="1:331" s="65" customFormat="1" ht="18.75" customHeight="1">
      <c r="A23" s="51">
        <v>12</v>
      </c>
      <c r="B23" s="51">
        <v>9918050033</v>
      </c>
      <c r="C23" s="53" t="s">
        <v>362</v>
      </c>
      <c r="D23" s="433" t="s">
        <v>363</v>
      </c>
      <c r="E23" s="55" t="s">
        <v>344</v>
      </c>
      <c r="F23" s="56">
        <v>43222</v>
      </c>
      <c r="G23" s="143">
        <v>43222</v>
      </c>
      <c r="H23" s="56">
        <v>43587</v>
      </c>
      <c r="I23" s="56"/>
      <c r="J23" s="57">
        <f t="shared" ca="1" si="6"/>
        <v>2</v>
      </c>
      <c r="K23" s="57">
        <f t="shared" ca="1" si="2"/>
        <v>8</v>
      </c>
      <c r="L23" s="58"/>
      <c r="M23" s="58"/>
      <c r="N23" s="55" t="s">
        <v>76</v>
      </c>
      <c r="O23" s="55" t="s">
        <v>36</v>
      </c>
      <c r="P23" s="55" t="s">
        <v>41</v>
      </c>
      <c r="Q23" s="56">
        <v>33553</v>
      </c>
      <c r="R23" s="77">
        <f t="shared" ca="1" si="3"/>
        <v>29</v>
      </c>
      <c r="S23" s="117">
        <f t="shared" ca="1" si="7"/>
        <v>1</v>
      </c>
      <c r="T23" s="51" t="s">
        <v>130</v>
      </c>
      <c r="U23" s="51" t="s">
        <v>371</v>
      </c>
      <c r="V23" s="55" t="s">
        <v>105</v>
      </c>
      <c r="W23" s="55" t="s">
        <v>45</v>
      </c>
      <c r="X23" s="51" t="s">
        <v>372</v>
      </c>
      <c r="Y23" s="58">
        <v>33482</v>
      </c>
      <c r="Z23" s="51" t="s">
        <v>373</v>
      </c>
      <c r="AA23" s="58">
        <v>42846</v>
      </c>
      <c r="AB23" s="77">
        <f ca="1">DATEDIF(AA23,$A$3,"Y")</f>
        <v>3</v>
      </c>
      <c r="AC23" s="55" t="s">
        <v>48</v>
      </c>
      <c r="AD23" s="55" t="s">
        <v>48</v>
      </c>
      <c r="AE23" s="55" t="s">
        <v>48</v>
      </c>
      <c r="AF23" s="71"/>
      <c r="AG23" s="71"/>
      <c r="AH23" s="71"/>
      <c r="AI23" s="63" t="s">
        <v>374</v>
      </c>
      <c r="AJ23" s="60" t="s">
        <v>375</v>
      </c>
      <c r="AK23" s="60" t="s">
        <v>375</v>
      </c>
      <c r="AL23" s="60"/>
      <c r="AM23" s="51"/>
      <c r="AN23" s="51" t="s">
        <v>48</v>
      </c>
      <c r="AO23" s="70" t="s">
        <v>376</v>
      </c>
      <c r="AP23" s="63" t="s">
        <v>362</v>
      </c>
      <c r="AQ23" s="57" t="s">
        <v>949</v>
      </c>
      <c r="AR23" s="51" t="s">
        <v>64</v>
      </c>
      <c r="AS23" s="55" t="s">
        <v>95</v>
      </c>
      <c r="AT23" s="238" t="s">
        <v>48</v>
      </c>
    </row>
    <row r="24" spans="1:331" s="65" customFormat="1" ht="18.75" customHeight="1">
      <c r="A24" s="51">
        <v>13</v>
      </c>
      <c r="B24" s="141">
        <v>9919030015</v>
      </c>
      <c r="C24" s="221" t="s">
        <v>570</v>
      </c>
      <c r="D24" s="433" t="s">
        <v>442</v>
      </c>
      <c r="E24" s="55" t="s">
        <v>344</v>
      </c>
      <c r="F24" s="56">
        <v>43535</v>
      </c>
      <c r="G24" s="143">
        <v>43535</v>
      </c>
      <c r="H24" s="56"/>
      <c r="I24" s="56"/>
      <c r="J24" s="57">
        <f t="shared" ca="1" si="6"/>
        <v>1</v>
      </c>
      <c r="K24" s="57">
        <f t="shared" ca="1" si="2"/>
        <v>9</v>
      </c>
      <c r="L24" s="222"/>
      <c r="M24" s="222"/>
      <c r="N24" s="55" t="s">
        <v>76</v>
      </c>
      <c r="O24" s="55" t="s">
        <v>36</v>
      </c>
      <c r="P24" s="55" t="s">
        <v>41</v>
      </c>
      <c r="Q24" s="56">
        <v>34251</v>
      </c>
      <c r="R24" s="77">
        <f t="shared" ca="1" si="3"/>
        <v>27</v>
      </c>
      <c r="S24" s="77">
        <f t="shared" ca="1" si="7"/>
        <v>2</v>
      </c>
      <c r="T24" s="222" t="s">
        <v>130</v>
      </c>
      <c r="U24" s="222" t="s">
        <v>571</v>
      </c>
      <c r="V24" s="222" t="s">
        <v>44</v>
      </c>
      <c r="W24" s="55" t="s">
        <v>59</v>
      </c>
      <c r="X24" s="55" t="s">
        <v>48</v>
      </c>
      <c r="Y24" s="55" t="s">
        <v>48</v>
      </c>
      <c r="Z24" s="55" t="s">
        <v>48</v>
      </c>
      <c r="AA24" s="55" t="s">
        <v>48</v>
      </c>
      <c r="AB24" s="55" t="s">
        <v>48</v>
      </c>
      <c r="AC24" s="55" t="s">
        <v>48</v>
      </c>
      <c r="AD24" s="55" t="s">
        <v>48</v>
      </c>
      <c r="AE24" s="55" t="s">
        <v>48</v>
      </c>
      <c r="AF24" s="222"/>
      <c r="AG24" s="222"/>
      <c r="AH24" s="222"/>
      <c r="AI24" s="223" t="s">
        <v>572</v>
      </c>
      <c r="AJ24" s="59" t="s">
        <v>575</v>
      </c>
      <c r="AK24" s="59" t="s">
        <v>575</v>
      </c>
      <c r="AL24" s="222"/>
      <c r="AM24" s="222"/>
      <c r="AN24" s="208" t="s">
        <v>48</v>
      </c>
      <c r="AO24" s="224" t="s">
        <v>573</v>
      </c>
      <c r="AP24" s="221" t="s">
        <v>570</v>
      </c>
      <c r="AQ24" s="222" t="s">
        <v>588</v>
      </c>
      <c r="AR24" s="51" t="s">
        <v>64</v>
      </c>
      <c r="AS24" s="55" t="s">
        <v>95</v>
      </c>
      <c r="AT24" s="239" t="s">
        <v>574</v>
      </c>
    </row>
    <row r="25" spans="1:331" s="122" customFormat="1" ht="18.75" customHeight="1">
      <c r="A25" s="51">
        <v>14</v>
      </c>
      <c r="B25" s="225" t="s">
        <v>504</v>
      </c>
      <c r="C25" s="106" t="s">
        <v>503</v>
      </c>
      <c r="D25" s="142" t="s">
        <v>209</v>
      </c>
      <c r="E25" s="142" t="s">
        <v>344</v>
      </c>
      <c r="F25" s="143">
        <v>43496</v>
      </c>
      <c r="G25" s="143">
        <v>43496</v>
      </c>
      <c r="H25" s="143"/>
      <c r="I25" s="143"/>
      <c r="J25" s="152">
        <f t="shared" ca="1" si="6"/>
        <v>1</v>
      </c>
      <c r="K25" s="152">
        <f t="shared" ca="1" si="2"/>
        <v>11</v>
      </c>
      <c r="L25" s="145"/>
      <c r="M25" s="145"/>
      <c r="N25" s="142" t="s">
        <v>35</v>
      </c>
      <c r="O25" s="142" t="s">
        <v>36</v>
      </c>
      <c r="P25" s="142" t="s">
        <v>41</v>
      </c>
      <c r="Q25" s="143">
        <v>31595</v>
      </c>
      <c r="R25" s="148">
        <f t="shared" ref="R25:R26" ca="1" si="8">DATEDIF(Q25,$A$3,"Y")</f>
        <v>34</v>
      </c>
      <c r="S25" s="148">
        <f t="shared" ref="S25:S26" ca="1" si="9">DATEDIF(Q25,$A$3,"YM")</f>
        <v>6</v>
      </c>
      <c r="T25" s="141" t="s">
        <v>68</v>
      </c>
      <c r="U25" s="142" t="s">
        <v>529</v>
      </c>
      <c r="V25" s="55" t="s">
        <v>48</v>
      </c>
      <c r="W25" s="55" t="s">
        <v>210</v>
      </c>
      <c r="X25" s="147" t="s">
        <v>530</v>
      </c>
      <c r="Y25" s="55" t="s">
        <v>48</v>
      </c>
      <c r="Z25" s="147" t="s">
        <v>531</v>
      </c>
      <c r="AA25" s="55" t="s">
        <v>48</v>
      </c>
      <c r="AB25" s="55" t="s">
        <v>48</v>
      </c>
      <c r="AC25" s="55" t="s">
        <v>48</v>
      </c>
      <c r="AD25" s="55" t="s">
        <v>48</v>
      </c>
      <c r="AE25" s="55" t="s">
        <v>48</v>
      </c>
      <c r="AF25" s="207"/>
      <c r="AG25" s="207"/>
      <c r="AH25" s="207"/>
      <c r="AI25" s="209" t="s">
        <v>560</v>
      </c>
      <c r="AJ25" s="153" t="s">
        <v>532</v>
      </c>
      <c r="AK25" s="153" t="s">
        <v>532</v>
      </c>
      <c r="AL25" s="149"/>
      <c r="AM25" s="141"/>
      <c r="AN25" s="211" t="s">
        <v>48</v>
      </c>
      <c r="AO25" s="154" t="s">
        <v>533</v>
      </c>
      <c r="AP25" s="158" t="s">
        <v>503</v>
      </c>
      <c r="AQ25" s="154" t="s">
        <v>546</v>
      </c>
      <c r="AR25" s="141" t="s">
        <v>64</v>
      </c>
      <c r="AS25" s="142" t="s">
        <v>95</v>
      </c>
      <c r="AT25" s="240" t="s">
        <v>534</v>
      </c>
    </row>
    <row r="26" spans="1:331" s="65" customFormat="1" ht="18.75" customHeight="1">
      <c r="A26" s="51">
        <v>15</v>
      </c>
      <c r="B26" s="55" t="s">
        <v>384</v>
      </c>
      <c r="C26" s="106" t="s">
        <v>382</v>
      </c>
      <c r="D26" s="55" t="s">
        <v>81</v>
      </c>
      <c r="E26" s="55" t="s">
        <v>344</v>
      </c>
      <c r="F26" s="56">
        <v>43299</v>
      </c>
      <c r="G26" s="143">
        <v>43299</v>
      </c>
      <c r="H26" s="143">
        <v>43664</v>
      </c>
      <c r="I26" s="56"/>
      <c r="J26" s="108">
        <f t="shared" ca="1" si="6"/>
        <v>2</v>
      </c>
      <c r="K26" s="108">
        <f t="shared" ca="1" si="2"/>
        <v>5</v>
      </c>
      <c r="L26" s="56"/>
      <c r="M26" s="56"/>
      <c r="N26" s="55" t="s">
        <v>76</v>
      </c>
      <c r="O26" s="55" t="s">
        <v>36</v>
      </c>
      <c r="P26" s="55" t="s">
        <v>41</v>
      </c>
      <c r="Q26" s="56">
        <v>25432</v>
      </c>
      <c r="R26" s="77">
        <f t="shared" ca="1" si="8"/>
        <v>51</v>
      </c>
      <c r="S26" s="77">
        <f t="shared" ca="1" si="9"/>
        <v>4</v>
      </c>
      <c r="T26" s="55" t="s">
        <v>184</v>
      </c>
      <c r="U26" s="55" t="s">
        <v>48</v>
      </c>
      <c r="V26" s="55" t="s">
        <v>48</v>
      </c>
      <c r="W26" s="55" t="s">
        <v>48</v>
      </c>
      <c r="X26" s="55" t="s">
        <v>48</v>
      </c>
      <c r="Y26" s="55" t="s">
        <v>48</v>
      </c>
      <c r="Z26" s="55" t="s">
        <v>48</v>
      </c>
      <c r="AA26" s="55" t="s">
        <v>48</v>
      </c>
      <c r="AB26" s="55" t="s">
        <v>48</v>
      </c>
      <c r="AC26" s="55" t="s">
        <v>48</v>
      </c>
      <c r="AD26" s="55" t="s">
        <v>48</v>
      </c>
      <c r="AE26" s="55" t="s">
        <v>48</v>
      </c>
      <c r="AF26" s="62"/>
      <c r="AG26" s="58"/>
      <c r="AH26" s="51"/>
      <c r="AI26" s="210" t="s">
        <v>385</v>
      </c>
      <c r="AJ26" s="59" t="s">
        <v>386</v>
      </c>
      <c r="AK26" s="59"/>
      <c r="AL26" s="60"/>
      <c r="AM26" s="51"/>
      <c r="AN26" s="208" t="s">
        <v>48</v>
      </c>
      <c r="AO26" s="103" t="s">
        <v>387</v>
      </c>
      <c r="AP26" s="74" t="s">
        <v>382</v>
      </c>
      <c r="AQ26" s="74" t="s">
        <v>905</v>
      </c>
      <c r="AR26" s="55" t="s">
        <v>64</v>
      </c>
      <c r="AS26" s="55" t="s">
        <v>95</v>
      </c>
      <c r="AT26" s="226"/>
    </row>
    <row r="27" spans="1:331" s="18" customFormat="1" ht="18.75" customHeight="1">
      <c r="A27" s="51">
        <v>16</v>
      </c>
      <c r="B27" s="51" t="s">
        <v>428</v>
      </c>
      <c r="C27" s="53" t="s">
        <v>396</v>
      </c>
      <c r="D27" s="433" t="s">
        <v>450</v>
      </c>
      <c r="E27" s="51" t="s">
        <v>344</v>
      </c>
      <c r="F27" s="56">
        <v>43407</v>
      </c>
      <c r="G27" s="143">
        <v>43407</v>
      </c>
      <c r="H27" s="56"/>
      <c r="I27" s="56"/>
      <c r="J27" s="57">
        <f ca="1">DATEDIF(F27,$A$3,"Y")</f>
        <v>2</v>
      </c>
      <c r="K27" s="57">
        <f ca="1">DATEDIF(F27,$A$3,"YM")</f>
        <v>2</v>
      </c>
      <c r="L27" s="58"/>
      <c r="M27" s="58"/>
      <c r="N27" s="55" t="s">
        <v>76</v>
      </c>
      <c r="O27" s="55" t="s">
        <v>36</v>
      </c>
      <c r="P27" s="55" t="s">
        <v>399</v>
      </c>
      <c r="Q27" s="56">
        <v>34813</v>
      </c>
      <c r="R27" s="77">
        <f t="shared" ref="R27:R34" ca="1" si="10">DATEDIF(Q27,$A$3,"Y")</f>
        <v>25</v>
      </c>
      <c r="S27" s="77">
        <f t="shared" ref="S27:S38" ca="1" si="11">DATEDIF(Q27,$A$3,"YM")</f>
        <v>8</v>
      </c>
      <c r="T27" s="51" t="s">
        <v>57</v>
      </c>
      <c r="U27" s="51" t="s">
        <v>397</v>
      </c>
      <c r="V27" s="55" t="s">
        <v>44</v>
      </c>
      <c r="W27" s="55" t="s">
        <v>350</v>
      </c>
      <c r="X27" s="56" t="s">
        <v>535</v>
      </c>
      <c r="Y27" s="66">
        <v>34823</v>
      </c>
      <c r="Z27" s="55" t="s">
        <v>48</v>
      </c>
      <c r="AA27" s="55" t="s">
        <v>48</v>
      </c>
      <c r="AB27" s="55" t="s">
        <v>48</v>
      </c>
      <c r="AC27" s="55" t="s">
        <v>48</v>
      </c>
      <c r="AD27" s="55" t="s">
        <v>48</v>
      </c>
      <c r="AE27" s="55" t="s">
        <v>48</v>
      </c>
      <c r="AF27" s="66"/>
      <c r="AG27" s="66"/>
      <c r="AH27" s="66"/>
      <c r="AI27" s="70" t="s">
        <v>420</v>
      </c>
      <c r="AJ27" s="60" t="s">
        <v>536</v>
      </c>
      <c r="AK27" s="60" t="s">
        <v>422</v>
      </c>
      <c r="AL27" s="60"/>
      <c r="AM27" s="51"/>
      <c r="AN27" s="51" t="s">
        <v>48</v>
      </c>
      <c r="AO27" s="70" t="s">
        <v>537</v>
      </c>
      <c r="AP27" s="74" t="s">
        <v>424</v>
      </c>
      <c r="AQ27" s="103" t="s">
        <v>936</v>
      </c>
      <c r="AR27" s="51" t="s">
        <v>64</v>
      </c>
      <c r="AS27" s="55" t="s">
        <v>95</v>
      </c>
      <c r="AT27" s="87" t="s">
        <v>426</v>
      </c>
      <c r="CC27" s="65"/>
      <c r="CD27" s="65"/>
      <c r="CE27" s="65"/>
      <c r="CF27" s="65"/>
      <c r="CG27" s="65"/>
      <c r="CH27" s="65"/>
      <c r="CI27" s="65"/>
      <c r="CJ27" s="65"/>
      <c r="CK27" s="65"/>
      <c r="CL27" s="65"/>
      <c r="CM27" s="65"/>
      <c r="CN27" s="65"/>
      <c r="CO27" s="65"/>
      <c r="CP27" s="65"/>
      <c r="CQ27" s="65"/>
      <c r="CR27" s="65"/>
      <c r="CS27" s="65"/>
      <c r="CT27" s="65"/>
      <c r="CU27" s="65"/>
      <c r="CV27" s="65"/>
      <c r="CW27" s="65"/>
      <c r="CX27" s="65"/>
      <c r="CY27" s="65"/>
      <c r="CZ27" s="65"/>
      <c r="DA27" s="65"/>
      <c r="DB27" s="65"/>
      <c r="DC27" s="65"/>
      <c r="DD27" s="65"/>
      <c r="DE27" s="65"/>
      <c r="DF27" s="65"/>
      <c r="DG27" s="65"/>
      <c r="DH27" s="65"/>
      <c r="DI27" s="65"/>
      <c r="DJ27" s="65"/>
      <c r="DK27" s="65"/>
      <c r="DL27" s="65"/>
      <c r="DM27" s="65"/>
      <c r="DN27" s="65"/>
      <c r="DO27" s="65"/>
      <c r="DP27" s="65"/>
      <c r="DQ27" s="65"/>
      <c r="DR27" s="65"/>
      <c r="DS27" s="65"/>
      <c r="DT27" s="65"/>
      <c r="DU27" s="65"/>
      <c r="DV27" s="65"/>
      <c r="DW27" s="65"/>
      <c r="DX27" s="65"/>
      <c r="DY27" s="65"/>
      <c r="DZ27" s="65"/>
      <c r="EA27" s="65"/>
      <c r="EB27" s="65"/>
      <c r="EC27" s="65"/>
      <c r="ED27" s="65"/>
      <c r="EE27" s="65"/>
      <c r="EF27" s="65"/>
      <c r="EG27" s="65"/>
      <c r="EH27" s="65"/>
      <c r="EI27" s="65"/>
      <c r="EJ27" s="65"/>
      <c r="EK27" s="65"/>
      <c r="EL27" s="65"/>
      <c r="EM27" s="65"/>
      <c r="EN27" s="65"/>
      <c r="EO27" s="65"/>
      <c r="EP27" s="65"/>
      <c r="EQ27" s="65"/>
      <c r="ER27" s="65"/>
      <c r="ES27" s="65"/>
      <c r="ET27" s="65"/>
      <c r="EU27" s="65"/>
      <c r="EV27" s="65"/>
      <c r="EW27" s="65"/>
      <c r="EX27" s="65"/>
      <c r="EY27" s="65"/>
      <c r="EZ27" s="65"/>
      <c r="FA27" s="65"/>
      <c r="FB27" s="65"/>
      <c r="FC27" s="65"/>
      <c r="FD27" s="65"/>
      <c r="FE27" s="65"/>
      <c r="FF27" s="65"/>
      <c r="FG27" s="65"/>
      <c r="FH27" s="65"/>
      <c r="FI27" s="65"/>
      <c r="FJ27" s="65"/>
      <c r="FK27" s="65"/>
      <c r="FL27" s="65"/>
      <c r="FM27" s="65"/>
      <c r="FN27" s="65"/>
      <c r="FO27" s="65"/>
      <c r="FP27" s="65"/>
      <c r="FQ27" s="65"/>
      <c r="FR27" s="65"/>
      <c r="FS27" s="65"/>
      <c r="FT27" s="65"/>
      <c r="FU27" s="65"/>
      <c r="FV27" s="65"/>
      <c r="FW27" s="65"/>
      <c r="FX27" s="65"/>
      <c r="FY27" s="65"/>
      <c r="FZ27" s="65"/>
      <c r="GA27" s="65"/>
      <c r="GB27" s="65"/>
      <c r="GC27" s="65"/>
      <c r="GD27" s="65"/>
      <c r="GE27" s="65"/>
      <c r="GF27" s="65"/>
      <c r="GG27" s="65"/>
      <c r="GH27" s="65"/>
      <c r="GI27" s="65"/>
      <c r="GJ27" s="65"/>
      <c r="GK27" s="65"/>
      <c r="GL27" s="65"/>
      <c r="GM27" s="65"/>
      <c r="GN27" s="65"/>
      <c r="GO27" s="65"/>
      <c r="GP27" s="65"/>
      <c r="GQ27" s="65"/>
      <c r="GR27" s="65"/>
      <c r="GS27" s="65"/>
      <c r="GT27" s="65"/>
      <c r="GU27" s="65"/>
      <c r="GV27" s="65"/>
      <c r="GW27" s="65"/>
      <c r="GX27" s="65"/>
      <c r="GY27" s="65"/>
      <c r="GZ27" s="65"/>
      <c r="HA27" s="65"/>
      <c r="HB27" s="65"/>
      <c r="HC27" s="65"/>
      <c r="HD27" s="65"/>
      <c r="HE27" s="65"/>
      <c r="HF27" s="65"/>
      <c r="HG27" s="65"/>
      <c r="HH27" s="65"/>
      <c r="HI27" s="65"/>
      <c r="HJ27" s="65"/>
      <c r="HK27" s="65"/>
      <c r="HL27" s="65"/>
      <c r="HM27" s="65"/>
      <c r="HN27" s="65"/>
      <c r="HO27" s="65"/>
      <c r="HP27" s="65"/>
      <c r="HQ27" s="65"/>
      <c r="HR27" s="65"/>
      <c r="HS27" s="65"/>
      <c r="HT27" s="65"/>
      <c r="HU27" s="65"/>
      <c r="HV27" s="65"/>
      <c r="HW27" s="65"/>
      <c r="HX27" s="65"/>
      <c r="HY27" s="65"/>
      <c r="HZ27" s="65"/>
      <c r="IA27" s="65"/>
      <c r="IB27" s="65"/>
      <c r="IC27" s="65"/>
      <c r="ID27" s="65"/>
      <c r="IE27" s="65"/>
      <c r="IF27" s="65"/>
      <c r="IG27" s="65"/>
      <c r="IH27" s="65"/>
      <c r="II27" s="65"/>
      <c r="IJ27" s="65"/>
      <c r="IK27" s="65"/>
      <c r="IL27" s="65"/>
      <c r="IM27" s="65"/>
      <c r="IN27" s="65"/>
      <c r="IO27" s="65"/>
      <c r="IP27" s="65"/>
      <c r="IQ27" s="65"/>
      <c r="IR27" s="65"/>
      <c r="IS27" s="65"/>
      <c r="IT27" s="65"/>
      <c r="IU27" s="65"/>
      <c r="IV27" s="65"/>
      <c r="IW27" s="65"/>
      <c r="IX27" s="65"/>
      <c r="IY27" s="65"/>
      <c r="IZ27" s="65"/>
      <c r="JA27" s="65"/>
      <c r="JB27" s="65"/>
      <c r="JC27" s="65"/>
      <c r="JD27" s="65"/>
      <c r="JE27" s="65"/>
      <c r="JF27" s="65"/>
      <c r="JG27" s="65"/>
      <c r="JH27" s="65"/>
      <c r="JI27" s="65"/>
      <c r="JJ27" s="65"/>
      <c r="JK27" s="65"/>
      <c r="JL27" s="65"/>
      <c r="JM27" s="65"/>
      <c r="JN27" s="65"/>
      <c r="JO27" s="65"/>
      <c r="JP27" s="65"/>
      <c r="JQ27" s="65"/>
      <c r="JR27" s="65"/>
      <c r="JS27" s="65"/>
      <c r="JT27" s="65"/>
      <c r="JU27" s="65"/>
      <c r="JV27" s="65"/>
      <c r="JW27" s="65"/>
      <c r="JX27" s="65"/>
      <c r="JY27" s="65"/>
      <c r="JZ27" s="65"/>
      <c r="KA27" s="65"/>
      <c r="KB27" s="65"/>
      <c r="KC27" s="65"/>
      <c r="KD27" s="65"/>
      <c r="KE27" s="65"/>
      <c r="KF27" s="65"/>
      <c r="KG27" s="65"/>
      <c r="KH27" s="65"/>
      <c r="KI27" s="65"/>
      <c r="KJ27" s="65"/>
      <c r="KK27" s="65"/>
      <c r="KL27" s="65"/>
      <c r="KM27" s="65"/>
      <c r="KN27" s="65"/>
      <c r="KO27" s="65"/>
      <c r="KP27" s="65"/>
      <c r="KQ27" s="65"/>
      <c r="KR27" s="65"/>
      <c r="KS27" s="65"/>
      <c r="KT27" s="65"/>
      <c r="KU27" s="65"/>
      <c r="KV27" s="65"/>
      <c r="KW27" s="65"/>
      <c r="KX27" s="65"/>
      <c r="KY27" s="65"/>
      <c r="KZ27" s="65"/>
      <c r="LA27" s="65"/>
      <c r="LB27" s="65"/>
      <c r="LC27" s="65"/>
      <c r="LD27" s="65"/>
      <c r="LE27" s="65"/>
      <c r="LF27" s="65"/>
      <c r="LG27" s="65"/>
      <c r="LH27" s="65"/>
      <c r="LI27" s="65"/>
      <c r="LJ27" s="65"/>
      <c r="LK27" s="65"/>
      <c r="LL27" s="65"/>
      <c r="LM27" s="65"/>
      <c r="LN27" s="65"/>
      <c r="LO27" s="65"/>
      <c r="LP27" s="65"/>
      <c r="LQ27" s="65"/>
      <c r="LR27" s="65"/>
      <c r="LS27" s="65"/>
    </row>
    <row r="28" spans="1:331" s="65" customFormat="1" ht="18.75" customHeight="1">
      <c r="A28" s="51">
        <v>17</v>
      </c>
      <c r="B28" s="227" t="s">
        <v>616</v>
      </c>
      <c r="C28" s="221" t="s">
        <v>617</v>
      </c>
      <c r="D28" s="433" t="s">
        <v>987</v>
      </c>
      <c r="E28" s="55" t="s">
        <v>344</v>
      </c>
      <c r="F28" s="56">
        <v>43591</v>
      </c>
      <c r="G28" s="56">
        <v>43591</v>
      </c>
      <c r="H28" s="222"/>
      <c r="I28" s="222"/>
      <c r="J28" s="57">
        <f ca="1">DATEDIF(F28,$A$3,"Y")</f>
        <v>1</v>
      </c>
      <c r="K28" s="57">
        <f ca="1">DATEDIF(F28,$A$3,"YM")</f>
        <v>8</v>
      </c>
      <c r="L28" s="222"/>
      <c r="M28" s="222"/>
      <c r="N28" s="55" t="s">
        <v>35</v>
      </c>
      <c r="O28" s="55" t="s">
        <v>36</v>
      </c>
      <c r="P28" s="222" t="s">
        <v>618</v>
      </c>
      <c r="Q28" s="56">
        <v>35621</v>
      </c>
      <c r="R28" s="77">
        <f ca="1">DATEDIF(Q28,$A$3,"Y")</f>
        <v>23</v>
      </c>
      <c r="S28" s="77">
        <f ca="1">DATEDIF(Q28,$A$3,"YM")</f>
        <v>5</v>
      </c>
      <c r="T28" s="222" t="s">
        <v>619</v>
      </c>
      <c r="U28" s="222" t="s">
        <v>620</v>
      </c>
      <c r="V28" s="55" t="s">
        <v>48</v>
      </c>
      <c r="W28" s="55" t="s">
        <v>59</v>
      </c>
      <c r="X28" s="55" t="s">
        <v>48</v>
      </c>
      <c r="Y28" s="55" t="s">
        <v>48</v>
      </c>
      <c r="Z28" s="55" t="s">
        <v>48</v>
      </c>
      <c r="AA28" s="55" t="s">
        <v>48</v>
      </c>
      <c r="AB28" s="55" t="s">
        <v>48</v>
      </c>
      <c r="AC28" s="55" t="s">
        <v>48</v>
      </c>
      <c r="AD28" s="55" t="s">
        <v>48</v>
      </c>
      <c r="AE28" s="55" t="s">
        <v>48</v>
      </c>
      <c r="AF28" s="222"/>
      <c r="AG28" s="222"/>
      <c r="AH28" s="222"/>
      <c r="AI28" s="224" t="s">
        <v>621</v>
      </c>
      <c r="AJ28" s="221" t="s">
        <v>622</v>
      </c>
      <c r="AK28" s="221" t="s">
        <v>623</v>
      </c>
      <c r="AL28" s="222"/>
      <c r="AM28" s="222"/>
      <c r="AN28" s="51" t="s">
        <v>48</v>
      </c>
      <c r="AO28" s="224" t="s">
        <v>624</v>
      </c>
      <c r="AP28" s="222" t="s">
        <v>617</v>
      </c>
      <c r="AQ28" s="222" t="s">
        <v>628</v>
      </c>
      <c r="AR28" s="51" t="s">
        <v>64</v>
      </c>
      <c r="AS28" s="55" t="s">
        <v>95</v>
      </c>
      <c r="AT28" s="239" t="s">
        <v>625</v>
      </c>
    </row>
    <row r="29" spans="1:331" s="18" customFormat="1" ht="18.75" customHeight="1">
      <c r="A29" s="51">
        <v>18</v>
      </c>
      <c r="B29" s="183" t="s">
        <v>887</v>
      </c>
      <c r="C29" s="53" t="s">
        <v>885</v>
      </c>
      <c r="D29" s="211" t="s">
        <v>450</v>
      </c>
      <c r="E29" s="51" t="s">
        <v>344</v>
      </c>
      <c r="F29" s="56">
        <v>43741</v>
      </c>
      <c r="G29" s="56">
        <v>43741</v>
      </c>
      <c r="H29" s="58"/>
      <c r="I29" s="58"/>
      <c r="J29" s="57">
        <f t="shared" ref="J29:J35" ca="1" si="12">DATEDIF(F29,$A$3,"Y")</f>
        <v>1</v>
      </c>
      <c r="K29" s="57">
        <f t="shared" ref="K29:K35" ca="1" si="13">DATEDIF(F29,$A$3,"YM")</f>
        <v>3</v>
      </c>
      <c r="L29" s="58"/>
      <c r="M29" s="58"/>
      <c r="N29" s="141" t="s">
        <v>35</v>
      </c>
      <c r="O29" s="51" t="s">
        <v>888</v>
      </c>
      <c r="P29" s="51" t="s">
        <v>41</v>
      </c>
      <c r="Q29" s="58">
        <v>35150</v>
      </c>
      <c r="R29" s="77">
        <f t="shared" ca="1" si="10"/>
        <v>24</v>
      </c>
      <c r="S29" s="77">
        <f t="shared" ca="1" si="11"/>
        <v>9</v>
      </c>
      <c r="T29" s="51" t="s">
        <v>619</v>
      </c>
      <c r="U29" s="51" t="s">
        <v>450</v>
      </c>
      <c r="V29" s="51" t="s">
        <v>44</v>
      </c>
      <c r="W29" s="51" t="s">
        <v>59</v>
      </c>
      <c r="X29" s="51" t="s">
        <v>48</v>
      </c>
      <c r="Y29" s="51" t="s">
        <v>48</v>
      </c>
      <c r="Z29" s="51" t="s">
        <v>48</v>
      </c>
      <c r="AA29" s="51" t="s">
        <v>48</v>
      </c>
      <c r="AB29" s="51" t="s">
        <v>48</v>
      </c>
      <c r="AC29" s="51" t="s">
        <v>48</v>
      </c>
      <c r="AD29" s="51" t="s">
        <v>48</v>
      </c>
      <c r="AE29" s="51" t="s">
        <v>48</v>
      </c>
      <c r="AF29" s="249"/>
      <c r="AG29" s="249"/>
      <c r="AH29" s="249"/>
      <c r="AI29" s="70" t="s">
        <v>889</v>
      </c>
      <c r="AJ29" s="60" t="s">
        <v>890</v>
      </c>
      <c r="AK29" s="60" t="s">
        <v>890</v>
      </c>
      <c r="AL29" s="60"/>
      <c r="AM29" s="51"/>
      <c r="AN29" s="51" t="s">
        <v>48</v>
      </c>
      <c r="AO29" s="70" t="s">
        <v>891</v>
      </c>
      <c r="AP29" s="63" t="s">
        <v>885</v>
      </c>
      <c r="AQ29" s="70" t="s">
        <v>904</v>
      </c>
      <c r="AR29" s="51" t="s">
        <v>64</v>
      </c>
      <c r="AS29" s="51" t="s">
        <v>95</v>
      </c>
      <c r="AT29" s="87"/>
      <c r="CC29" s="65"/>
      <c r="CD29" s="65"/>
      <c r="CE29" s="65"/>
      <c r="CF29" s="65"/>
      <c r="CG29" s="65"/>
      <c r="CH29" s="65"/>
      <c r="CI29" s="65"/>
      <c r="CJ29" s="65"/>
      <c r="CK29" s="65"/>
      <c r="CL29" s="65"/>
      <c r="CM29" s="65"/>
      <c r="CN29" s="65"/>
      <c r="CO29" s="65"/>
      <c r="CP29" s="65"/>
      <c r="CQ29" s="65"/>
      <c r="CR29" s="65"/>
      <c r="CS29" s="65"/>
      <c r="CT29" s="65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  <c r="DL29" s="65"/>
      <c r="DM29" s="65"/>
      <c r="DN29" s="65"/>
      <c r="DO29" s="65"/>
      <c r="DP29" s="65"/>
      <c r="DQ29" s="65"/>
      <c r="DR29" s="65"/>
      <c r="DS29" s="65"/>
      <c r="DT29" s="65"/>
      <c r="DU29" s="65"/>
      <c r="DV29" s="65"/>
      <c r="DW29" s="65"/>
      <c r="DX29" s="65"/>
      <c r="DY29" s="65"/>
      <c r="DZ29" s="65"/>
      <c r="EA29" s="65"/>
      <c r="EB29" s="65"/>
      <c r="EC29" s="65"/>
      <c r="ED29" s="65"/>
      <c r="EE29" s="65"/>
      <c r="EF29" s="65"/>
      <c r="EG29" s="65"/>
      <c r="EH29" s="65"/>
      <c r="EI29" s="65"/>
      <c r="EJ29" s="65"/>
      <c r="EK29" s="65"/>
      <c r="EL29" s="65"/>
      <c r="EM29" s="65"/>
      <c r="EN29" s="65"/>
      <c r="EO29" s="65"/>
      <c r="EP29" s="65"/>
      <c r="EQ29" s="65"/>
      <c r="ER29" s="65"/>
      <c r="ES29" s="65"/>
      <c r="ET29" s="65"/>
      <c r="EU29" s="65"/>
      <c r="EV29" s="65"/>
      <c r="EW29" s="65"/>
      <c r="EX29" s="65"/>
      <c r="EY29" s="65"/>
      <c r="EZ29" s="65"/>
      <c r="FA29" s="65"/>
      <c r="FB29" s="65"/>
      <c r="FC29" s="65"/>
      <c r="FD29" s="65"/>
      <c r="FE29" s="65"/>
      <c r="FF29" s="65"/>
      <c r="FG29" s="65"/>
      <c r="FH29" s="65"/>
      <c r="FI29" s="65"/>
      <c r="FJ29" s="65"/>
      <c r="FK29" s="65"/>
      <c r="FL29" s="65"/>
      <c r="FM29" s="65"/>
      <c r="FN29" s="65"/>
      <c r="FO29" s="65"/>
      <c r="FP29" s="65"/>
      <c r="FQ29" s="65"/>
      <c r="FR29" s="65"/>
      <c r="FS29" s="65"/>
      <c r="FT29" s="65"/>
      <c r="FU29" s="65"/>
      <c r="FV29" s="65"/>
      <c r="FW29" s="65"/>
      <c r="FX29" s="65"/>
      <c r="FY29" s="65"/>
      <c r="FZ29" s="65"/>
      <c r="GA29" s="65"/>
      <c r="GB29" s="65"/>
      <c r="GC29" s="65"/>
      <c r="GD29" s="65"/>
      <c r="GE29" s="65"/>
      <c r="GF29" s="65"/>
      <c r="GG29" s="65"/>
      <c r="GH29" s="65"/>
      <c r="GI29" s="65"/>
      <c r="GJ29" s="65"/>
      <c r="GK29" s="65"/>
      <c r="GL29" s="65"/>
      <c r="GM29" s="65"/>
      <c r="GN29" s="65"/>
      <c r="GO29" s="65"/>
      <c r="GP29" s="65"/>
      <c r="GQ29" s="65"/>
      <c r="GR29" s="65"/>
      <c r="GS29" s="65"/>
      <c r="GT29" s="65"/>
      <c r="GU29" s="65"/>
      <c r="GV29" s="65"/>
      <c r="GW29" s="65"/>
      <c r="GX29" s="65"/>
      <c r="GY29" s="65"/>
      <c r="GZ29" s="65"/>
      <c r="HA29" s="65"/>
      <c r="HB29" s="65"/>
      <c r="HC29" s="65"/>
      <c r="HD29" s="65"/>
      <c r="HE29" s="65"/>
      <c r="HF29" s="65"/>
      <c r="HG29" s="65"/>
      <c r="HH29" s="65"/>
      <c r="HI29" s="65"/>
      <c r="HJ29" s="65"/>
      <c r="HK29" s="65"/>
      <c r="HL29" s="65"/>
      <c r="HM29" s="65"/>
      <c r="HN29" s="65"/>
      <c r="HO29" s="65"/>
      <c r="HP29" s="65"/>
      <c r="HQ29" s="65"/>
      <c r="HR29" s="65"/>
      <c r="HS29" s="65"/>
      <c r="HT29" s="65"/>
      <c r="HU29" s="65"/>
      <c r="HV29" s="65"/>
      <c r="HW29" s="65"/>
      <c r="HX29" s="65"/>
      <c r="HY29" s="65"/>
      <c r="HZ29" s="65"/>
      <c r="IA29" s="65"/>
      <c r="IB29" s="65"/>
      <c r="IC29" s="65"/>
      <c r="ID29" s="65"/>
      <c r="IE29" s="65"/>
      <c r="IF29" s="65"/>
      <c r="IG29" s="65"/>
      <c r="IH29" s="65"/>
      <c r="II29" s="65"/>
      <c r="IJ29" s="65"/>
      <c r="IK29" s="65"/>
      <c r="IL29" s="65"/>
      <c r="IM29" s="65"/>
      <c r="IN29" s="65"/>
      <c r="IO29" s="65"/>
      <c r="IP29" s="65"/>
      <c r="IQ29" s="65"/>
      <c r="IR29" s="65"/>
      <c r="IS29" s="65"/>
      <c r="IT29" s="65"/>
      <c r="IU29" s="65"/>
      <c r="IV29" s="65"/>
      <c r="IW29" s="65"/>
      <c r="IX29" s="65"/>
      <c r="IY29" s="65"/>
      <c r="IZ29" s="65"/>
      <c r="JA29" s="65"/>
      <c r="JB29" s="65"/>
      <c r="JC29" s="65"/>
      <c r="JD29" s="65"/>
      <c r="JE29" s="65"/>
      <c r="JF29" s="65"/>
      <c r="JG29" s="65"/>
      <c r="JH29" s="65"/>
      <c r="JI29" s="65"/>
      <c r="JJ29" s="65"/>
      <c r="JK29" s="65"/>
      <c r="JL29" s="65"/>
      <c r="JM29" s="65"/>
      <c r="JN29" s="65"/>
      <c r="JO29" s="65"/>
      <c r="JP29" s="65"/>
      <c r="JQ29" s="65"/>
      <c r="JR29" s="65"/>
      <c r="JS29" s="65"/>
      <c r="JT29" s="65"/>
      <c r="JU29" s="65"/>
      <c r="JV29" s="65"/>
      <c r="JW29" s="65"/>
      <c r="JX29" s="65"/>
      <c r="JY29" s="65"/>
      <c r="JZ29" s="65"/>
      <c r="KA29" s="65"/>
      <c r="KB29" s="65"/>
      <c r="KC29" s="65"/>
      <c r="KD29" s="65"/>
      <c r="KE29" s="65"/>
      <c r="KF29" s="65"/>
      <c r="KG29" s="65"/>
      <c r="KH29" s="65"/>
      <c r="KI29" s="65"/>
      <c r="KJ29" s="65"/>
      <c r="KK29" s="65"/>
      <c r="KL29" s="65"/>
      <c r="KM29" s="65"/>
      <c r="KN29" s="65"/>
      <c r="KO29" s="65"/>
      <c r="KP29" s="65"/>
      <c r="KQ29" s="65"/>
      <c r="KR29" s="65"/>
      <c r="KS29" s="65"/>
      <c r="KT29" s="65"/>
      <c r="KU29" s="65"/>
      <c r="KV29" s="65"/>
      <c r="KW29" s="65"/>
      <c r="KX29" s="65"/>
      <c r="KY29" s="65"/>
      <c r="KZ29" s="65"/>
      <c r="LA29" s="65"/>
      <c r="LB29" s="65"/>
      <c r="LC29" s="65"/>
      <c r="LD29" s="65"/>
      <c r="LE29" s="65"/>
      <c r="LF29" s="65"/>
      <c r="LG29" s="65"/>
      <c r="LH29" s="65"/>
      <c r="LI29" s="65"/>
      <c r="LJ29" s="65"/>
      <c r="LK29" s="65"/>
      <c r="LL29" s="65"/>
      <c r="LM29" s="65"/>
      <c r="LN29" s="65"/>
      <c r="LO29" s="65"/>
      <c r="LP29" s="65"/>
      <c r="LQ29" s="65"/>
      <c r="LR29" s="65"/>
      <c r="LS29" s="65"/>
    </row>
    <row r="30" spans="1:331" s="18" customFormat="1" ht="18.75" customHeight="1">
      <c r="A30" s="51">
        <v>19</v>
      </c>
      <c r="B30" s="183" t="s">
        <v>895</v>
      </c>
      <c r="C30" s="72" t="s">
        <v>892</v>
      </c>
      <c r="D30" s="289" t="s">
        <v>893</v>
      </c>
      <c r="E30" s="52" t="s">
        <v>344</v>
      </c>
      <c r="F30" s="162">
        <v>43750</v>
      </c>
      <c r="G30" s="162">
        <v>43750</v>
      </c>
      <c r="H30" s="124"/>
      <c r="I30" s="124"/>
      <c r="J30" s="192">
        <f t="shared" ca="1" si="12"/>
        <v>1</v>
      </c>
      <c r="K30" s="192">
        <f t="shared" ca="1" si="13"/>
        <v>2</v>
      </c>
      <c r="L30" s="124"/>
      <c r="M30" s="124"/>
      <c r="N30" s="164" t="s">
        <v>76</v>
      </c>
      <c r="O30" s="164" t="s">
        <v>36</v>
      </c>
      <c r="P30" s="52" t="s">
        <v>41</v>
      </c>
      <c r="Q30" s="124">
        <v>36926</v>
      </c>
      <c r="R30" s="165">
        <f t="shared" ca="1" si="10"/>
        <v>19</v>
      </c>
      <c r="S30" s="165">
        <f t="shared" ca="1" si="11"/>
        <v>11</v>
      </c>
      <c r="T30" s="52" t="s">
        <v>152</v>
      </c>
      <c r="U30" s="52" t="s">
        <v>896</v>
      </c>
      <c r="V30" s="52" t="s">
        <v>44</v>
      </c>
      <c r="W30" s="52" t="s">
        <v>59</v>
      </c>
      <c r="X30" s="52" t="s">
        <v>48</v>
      </c>
      <c r="Y30" s="52" t="s">
        <v>48</v>
      </c>
      <c r="Z30" s="52" t="s">
        <v>48</v>
      </c>
      <c r="AA30" s="52" t="s">
        <v>48</v>
      </c>
      <c r="AB30" s="52" t="s">
        <v>48</v>
      </c>
      <c r="AC30" s="52" t="s">
        <v>48</v>
      </c>
      <c r="AD30" s="52" t="s">
        <v>48</v>
      </c>
      <c r="AE30" s="52" t="s">
        <v>48</v>
      </c>
      <c r="AF30" s="267"/>
      <c r="AG30" s="267"/>
      <c r="AH30" s="267"/>
      <c r="AI30" s="268" t="s">
        <v>897</v>
      </c>
      <c r="AJ30" s="166" t="s">
        <v>898</v>
      </c>
      <c r="AK30" s="166" t="s">
        <v>898</v>
      </c>
      <c r="AL30" s="166"/>
      <c r="AM30" s="52"/>
      <c r="AN30" s="52" t="s">
        <v>48</v>
      </c>
      <c r="AO30" s="268" t="s">
        <v>899</v>
      </c>
      <c r="AP30" s="84" t="s">
        <v>892</v>
      </c>
      <c r="AQ30" s="268" t="s">
        <v>903</v>
      </c>
      <c r="AR30" s="52" t="s">
        <v>64</v>
      </c>
      <c r="AS30" s="52" t="s">
        <v>95</v>
      </c>
      <c r="AT30" s="269"/>
      <c r="CC30" s="65"/>
      <c r="CD30" s="65"/>
      <c r="CE30" s="65"/>
      <c r="CF30" s="65"/>
      <c r="CG30" s="65"/>
      <c r="CH30" s="65"/>
      <c r="CI30" s="65"/>
      <c r="CJ30" s="65"/>
      <c r="CK30" s="65"/>
      <c r="CL30" s="65"/>
      <c r="CM30" s="65"/>
      <c r="CN30" s="65"/>
      <c r="CO30" s="65"/>
      <c r="CP30" s="65"/>
      <c r="CQ30" s="65"/>
      <c r="CR30" s="65"/>
      <c r="CS30" s="65"/>
      <c r="CT30" s="65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  <c r="DL30" s="65"/>
      <c r="DM30" s="65"/>
      <c r="DN30" s="65"/>
      <c r="DO30" s="65"/>
      <c r="DP30" s="65"/>
      <c r="DQ30" s="65"/>
      <c r="DR30" s="65"/>
      <c r="DS30" s="65"/>
      <c r="DT30" s="65"/>
      <c r="DU30" s="65"/>
      <c r="DV30" s="65"/>
      <c r="DW30" s="65"/>
      <c r="DX30" s="65"/>
      <c r="DY30" s="65"/>
      <c r="DZ30" s="65"/>
      <c r="EA30" s="65"/>
      <c r="EB30" s="65"/>
      <c r="EC30" s="65"/>
      <c r="ED30" s="65"/>
      <c r="EE30" s="65"/>
      <c r="EF30" s="65"/>
      <c r="EG30" s="65"/>
      <c r="EH30" s="65"/>
      <c r="EI30" s="65"/>
      <c r="EJ30" s="65"/>
      <c r="EK30" s="65"/>
      <c r="EL30" s="65"/>
      <c r="EM30" s="65"/>
      <c r="EN30" s="65"/>
      <c r="EO30" s="65"/>
      <c r="EP30" s="65"/>
      <c r="EQ30" s="65"/>
      <c r="ER30" s="65"/>
      <c r="ES30" s="65"/>
      <c r="ET30" s="65"/>
      <c r="EU30" s="65"/>
      <c r="EV30" s="65"/>
      <c r="EW30" s="65"/>
      <c r="EX30" s="65"/>
      <c r="EY30" s="65"/>
      <c r="EZ30" s="65"/>
      <c r="FA30" s="65"/>
      <c r="FB30" s="65"/>
      <c r="FC30" s="65"/>
      <c r="FD30" s="65"/>
      <c r="FE30" s="65"/>
      <c r="FF30" s="65"/>
      <c r="FG30" s="65"/>
      <c r="FH30" s="65"/>
      <c r="FI30" s="65"/>
      <c r="FJ30" s="65"/>
      <c r="FK30" s="65"/>
      <c r="FL30" s="65"/>
      <c r="FM30" s="65"/>
      <c r="FN30" s="65"/>
      <c r="FO30" s="65"/>
      <c r="FP30" s="65"/>
      <c r="FQ30" s="65"/>
      <c r="FR30" s="65"/>
      <c r="FS30" s="65"/>
      <c r="FT30" s="65"/>
      <c r="FU30" s="65"/>
      <c r="FV30" s="65"/>
      <c r="FW30" s="65"/>
      <c r="FX30" s="65"/>
      <c r="FY30" s="65"/>
      <c r="FZ30" s="65"/>
      <c r="GA30" s="65"/>
      <c r="GB30" s="65"/>
      <c r="GC30" s="65"/>
      <c r="GD30" s="65"/>
      <c r="GE30" s="65"/>
      <c r="GF30" s="65"/>
      <c r="GG30" s="65"/>
      <c r="GH30" s="65"/>
      <c r="GI30" s="65"/>
      <c r="GJ30" s="65"/>
      <c r="GK30" s="65"/>
      <c r="GL30" s="65"/>
      <c r="GM30" s="65"/>
      <c r="GN30" s="65"/>
      <c r="GO30" s="65"/>
      <c r="GP30" s="65"/>
      <c r="GQ30" s="65"/>
      <c r="GR30" s="65"/>
      <c r="GS30" s="65"/>
      <c r="GT30" s="65"/>
      <c r="GU30" s="65"/>
      <c r="GV30" s="65"/>
      <c r="GW30" s="65"/>
      <c r="GX30" s="65"/>
      <c r="GY30" s="65"/>
      <c r="GZ30" s="65"/>
      <c r="HA30" s="65"/>
      <c r="HB30" s="65"/>
      <c r="HC30" s="65"/>
      <c r="HD30" s="65"/>
      <c r="HE30" s="65"/>
      <c r="HF30" s="65"/>
      <c r="HG30" s="65"/>
      <c r="HH30" s="65"/>
      <c r="HI30" s="65"/>
      <c r="HJ30" s="65"/>
      <c r="HK30" s="65"/>
      <c r="HL30" s="65"/>
      <c r="HM30" s="65"/>
      <c r="HN30" s="65"/>
      <c r="HO30" s="65"/>
      <c r="HP30" s="65"/>
      <c r="HQ30" s="65"/>
      <c r="HR30" s="65"/>
      <c r="HS30" s="65"/>
      <c r="HT30" s="65"/>
      <c r="HU30" s="65"/>
      <c r="HV30" s="65"/>
      <c r="HW30" s="65"/>
      <c r="HX30" s="65"/>
      <c r="HY30" s="65"/>
      <c r="HZ30" s="65"/>
      <c r="IA30" s="65"/>
      <c r="IB30" s="65"/>
      <c r="IC30" s="65"/>
      <c r="ID30" s="65"/>
      <c r="IE30" s="65"/>
      <c r="IF30" s="65"/>
      <c r="IG30" s="65"/>
      <c r="IH30" s="65"/>
      <c r="II30" s="65"/>
      <c r="IJ30" s="65"/>
      <c r="IK30" s="65"/>
      <c r="IL30" s="65"/>
      <c r="IM30" s="65"/>
      <c r="IN30" s="65"/>
      <c r="IO30" s="65"/>
      <c r="IP30" s="65"/>
      <c r="IQ30" s="65"/>
      <c r="IR30" s="65"/>
      <c r="IS30" s="65"/>
      <c r="IT30" s="65"/>
      <c r="IU30" s="65"/>
      <c r="IV30" s="65"/>
      <c r="IW30" s="65"/>
      <c r="IX30" s="65"/>
      <c r="IY30" s="65"/>
      <c r="IZ30" s="65"/>
      <c r="JA30" s="65"/>
      <c r="JB30" s="65"/>
      <c r="JC30" s="65"/>
      <c r="JD30" s="65"/>
      <c r="JE30" s="65"/>
      <c r="JF30" s="65"/>
      <c r="JG30" s="65"/>
      <c r="JH30" s="65"/>
      <c r="JI30" s="65"/>
      <c r="JJ30" s="65"/>
      <c r="JK30" s="65"/>
      <c r="JL30" s="65"/>
      <c r="JM30" s="65"/>
      <c r="JN30" s="65"/>
      <c r="JO30" s="65"/>
      <c r="JP30" s="65"/>
      <c r="JQ30" s="65"/>
      <c r="JR30" s="65"/>
      <c r="JS30" s="65"/>
      <c r="JT30" s="65"/>
      <c r="JU30" s="65"/>
      <c r="JV30" s="65"/>
      <c r="JW30" s="65"/>
      <c r="JX30" s="65"/>
      <c r="JY30" s="65"/>
      <c r="JZ30" s="65"/>
      <c r="KA30" s="65"/>
      <c r="KB30" s="65"/>
      <c r="KC30" s="65"/>
      <c r="KD30" s="65"/>
      <c r="KE30" s="65"/>
      <c r="KF30" s="65"/>
      <c r="KG30" s="65"/>
      <c r="KH30" s="65"/>
      <c r="KI30" s="65"/>
      <c r="KJ30" s="65"/>
      <c r="KK30" s="65"/>
      <c r="KL30" s="65"/>
      <c r="KM30" s="65"/>
      <c r="KN30" s="65"/>
      <c r="KO30" s="65"/>
      <c r="KP30" s="65"/>
      <c r="KQ30" s="65"/>
      <c r="KR30" s="65"/>
      <c r="KS30" s="65"/>
      <c r="KT30" s="65"/>
      <c r="KU30" s="65"/>
      <c r="KV30" s="65"/>
      <c r="KW30" s="65"/>
      <c r="KX30" s="65"/>
      <c r="KY30" s="65"/>
      <c r="KZ30" s="65"/>
      <c r="LA30" s="65"/>
      <c r="LB30" s="65"/>
      <c r="LC30" s="65"/>
      <c r="LD30" s="65"/>
      <c r="LE30" s="65"/>
      <c r="LF30" s="65"/>
      <c r="LG30" s="65"/>
      <c r="LH30" s="65"/>
      <c r="LI30" s="65"/>
      <c r="LJ30" s="65"/>
      <c r="LK30" s="65"/>
      <c r="LL30" s="65"/>
      <c r="LM30" s="65"/>
      <c r="LN30" s="65"/>
      <c r="LO30" s="65"/>
      <c r="LP30" s="65"/>
      <c r="LQ30" s="65"/>
      <c r="LR30" s="65"/>
      <c r="LS30" s="65"/>
    </row>
    <row r="31" spans="1:331" s="18" customFormat="1" ht="18.75" customHeight="1">
      <c r="A31" s="51">
        <v>20</v>
      </c>
      <c r="B31" s="183" t="s">
        <v>924</v>
      </c>
      <c r="C31" s="72" t="s">
        <v>920</v>
      </c>
      <c r="D31" s="433" t="s">
        <v>788</v>
      </c>
      <c r="E31" s="51" t="s">
        <v>344</v>
      </c>
      <c r="F31" s="58">
        <v>43770</v>
      </c>
      <c r="G31" s="58">
        <v>43770</v>
      </c>
      <c r="H31" s="58"/>
      <c r="I31" s="58"/>
      <c r="J31" s="57">
        <f t="shared" ca="1" si="12"/>
        <v>1</v>
      </c>
      <c r="K31" s="57">
        <f t="shared" ca="1" si="13"/>
        <v>2</v>
      </c>
      <c r="L31" s="58"/>
      <c r="M31" s="58"/>
      <c r="N31" s="51" t="s">
        <v>76</v>
      </c>
      <c r="O31" s="51" t="s">
        <v>36</v>
      </c>
      <c r="P31" s="51" t="s">
        <v>41</v>
      </c>
      <c r="Q31" s="58">
        <v>35439</v>
      </c>
      <c r="R31" s="77">
        <f t="shared" ca="1" si="10"/>
        <v>23</v>
      </c>
      <c r="S31" s="77">
        <f t="shared" ca="1" si="11"/>
        <v>11</v>
      </c>
      <c r="T31" s="51" t="s">
        <v>916</v>
      </c>
      <c r="U31" s="51" t="s">
        <v>161</v>
      </c>
      <c r="V31" s="51"/>
      <c r="W31" s="51" t="s">
        <v>59</v>
      </c>
      <c r="X31" s="51"/>
      <c r="Y31" s="51"/>
      <c r="Z31" s="51"/>
      <c r="AA31" s="51"/>
      <c r="AB31" s="51"/>
      <c r="AC31" s="51"/>
      <c r="AD31" s="51"/>
      <c r="AE31" s="51"/>
      <c r="AF31" s="249"/>
      <c r="AG31" s="249"/>
      <c r="AH31" s="249"/>
      <c r="AI31" s="70" t="s">
        <v>917</v>
      </c>
      <c r="AJ31" s="60" t="s">
        <v>918</v>
      </c>
      <c r="AK31" s="60" t="s">
        <v>918</v>
      </c>
      <c r="AL31" s="60"/>
      <c r="AM31" s="51"/>
      <c r="AN31" s="51"/>
      <c r="AO31" s="70" t="s">
        <v>919</v>
      </c>
      <c r="AP31" s="63" t="s">
        <v>920</v>
      </c>
      <c r="AQ31" s="70" t="s">
        <v>983</v>
      </c>
      <c r="AR31" s="51" t="s">
        <v>64</v>
      </c>
      <c r="AS31" s="51" t="s">
        <v>95</v>
      </c>
      <c r="AT31" s="87" t="s">
        <v>921</v>
      </c>
      <c r="CC31" s="65"/>
      <c r="CD31" s="65"/>
      <c r="CE31" s="65"/>
      <c r="CF31" s="65"/>
      <c r="CG31" s="65"/>
      <c r="CH31" s="65"/>
      <c r="CI31" s="65"/>
      <c r="CJ31" s="65"/>
      <c r="CK31" s="65"/>
      <c r="CL31" s="65"/>
      <c r="CM31" s="65"/>
      <c r="CN31" s="65"/>
      <c r="CO31" s="65"/>
      <c r="CP31" s="65"/>
      <c r="CQ31" s="65"/>
      <c r="CR31" s="65"/>
      <c r="CS31" s="65"/>
      <c r="CT31" s="65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  <c r="DL31" s="65"/>
      <c r="DM31" s="65"/>
      <c r="DN31" s="65"/>
      <c r="DO31" s="65"/>
      <c r="DP31" s="65"/>
      <c r="DQ31" s="65"/>
      <c r="DR31" s="65"/>
      <c r="DS31" s="65"/>
      <c r="DT31" s="65"/>
      <c r="DU31" s="65"/>
      <c r="DV31" s="65"/>
      <c r="DW31" s="65"/>
      <c r="DX31" s="65"/>
      <c r="DY31" s="65"/>
      <c r="DZ31" s="65"/>
      <c r="EA31" s="65"/>
      <c r="EB31" s="65"/>
      <c r="EC31" s="65"/>
      <c r="ED31" s="65"/>
      <c r="EE31" s="65"/>
      <c r="EF31" s="65"/>
      <c r="EG31" s="65"/>
      <c r="EH31" s="65"/>
      <c r="EI31" s="65"/>
      <c r="EJ31" s="65"/>
      <c r="EK31" s="65"/>
      <c r="EL31" s="65"/>
      <c r="EM31" s="65"/>
      <c r="EN31" s="65"/>
      <c r="EO31" s="65"/>
      <c r="EP31" s="65"/>
      <c r="EQ31" s="65"/>
      <c r="ER31" s="65"/>
      <c r="ES31" s="65"/>
      <c r="ET31" s="65"/>
      <c r="EU31" s="65"/>
      <c r="EV31" s="65"/>
      <c r="EW31" s="65"/>
      <c r="EX31" s="65"/>
      <c r="EY31" s="65"/>
      <c r="EZ31" s="65"/>
      <c r="FA31" s="65"/>
      <c r="FB31" s="65"/>
      <c r="FC31" s="65"/>
      <c r="FD31" s="65"/>
      <c r="FE31" s="65"/>
      <c r="FF31" s="65"/>
      <c r="FG31" s="65"/>
      <c r="FH31" s="65"/>
      <c r="FI31" s="65"/>
      <c r="FJ31" s="65"/>
      <c r="FK31" s="65"/>
      <c r="FL31" s="65"/>
      <c r="FM31" s="65"/>
      <c r="FN31" s="65"/>
      <c r="FO31" s="65"/>
      <c r="FP31" s="65"/>
      <c r="FQ31" s="65"/>
      <c r="FR31" s="65"/>
      <c r="FS31" s="65"/>
      <c r="FT31" s="65"/>
      <c r="FU31" s="65"/>
      <c r="FV31" s="65"/>
      <c r="FW31" s="65"/>
      <c r="FX31" s="65"/>
      <c r="FY31" s="65"/>
      <c r="FZ31" s="65"/>
      <c r="GA31" s="65"/>
      <c r="GB31" s="65"/>
      <c r="GC31" s="65"/>
      <c r="GD31" s="65"/>
      <c r="GE31" s="65"/>
      <c r="GF31" s="65"/>
      <c r="GG31" s="65"/>
      <c r="GH31" s="65"/>
      <c r="GI31" s="65"/>
      <c r="GJ31" s="65"/>
      <c r="GK31" s="65"/>
      <c r="GL31" s="65"/>
      <c r="GM31" s="65"/>
      <c r="GN31" s="65"/>
      <c r="GO31" s="65"/>
      <c r="GP31" s="65"/>
      <c r="GQ31" s="65"/>
      <c r="GR31" s="65"/>
      <c r="GS31" s="65"/>
      <c r="GT31" s="65"/>
      <c r="GU31" s="65"/>
      <c r="GV31" s="65"/>
      <c r="GW31" s="65"/>
      <c r="GX31" s="65"/>
      <c r="GY31" s="65"/>
      <c r="GZ31" s="65"/>
      <c r="HA31" s="65"/>
      <c r="HB31" s="65"/>
      <c r="HC31" s="65"/>
      <c r="HD31" s="65"/>
      <c r="HE31" s="65"/>
      <c r="HF31" s="65"/>
      <c r="HG31" s="65"/>
      <c r="HH31" s="65"/>
      <c r="HI31" s="65"/>
      <c r="HJ31" s="65"/>
      <c r="HK31" s="65"/>
      <c r="HL31" s="65"/>
      <c r="HM31" s="65"/>
      <c r="HN31" s="65"/>
      <c r="HO31" s="65"/>
      <c r="HP31" s="65"/>
      <c r="HQ31" s="65"/>
      <c r="HR31" s="65"/>
      <c r="HS31" s="65"/>
      <c r="HT31" s="65"/>
      <c r="HU31" s="65"/>
      <c r="HV31" s="65"/>
      <c r="HW31" s="65"/>
      <c r="HX31" s="65"/>
      <c r="HY31" s="65"/>
      <c r="HZ31" s="65"/>
      <c r="IA31" s="65"/>
      <c r="IB31" s="65"/>
      <c r="IC31" s="65"/>
      <c r="ID31" s="65"/>
      <c r="IE31" s="65"/>
      <c r="IF31" s="65"/>
      <c r="IG31" s="65"/>
      <c r="IH31" s="65"/>
      <c r="II31" s="65"/>
      <c r="IJ31" s="65"/>
      <c r="IK31" s="65"/>
      <c r="IL31" s="65"/>
      <c r="IM31" s="65"/>
      <c r="IN31" s="65"/>
      <c r="IO31" s="65"/>
      <c r="IP31" s="65"/>
      <c r="IQ31" s="65"/>
      <c r="IR31" s="65"/>
      <c r="IS31" s="65"/>
      <c r="IT31" s="65"/>
      <c r="IU31" s="65"/>
      <c r="IV31" s="65"/>
      <c r="IW31" s="65"/>
      <c r="IX31" s="65"/>
      <c r="IY31" s="65"/>
      <c r="IZ31" s="65"/>
      <c r="JA31" s="65"/>
      <c r="JB31" s="65"/>
      <c r="JC31" s="65"/>
      <c r="JD31" s="65"/>
      <c r="JE31" s="65"/>
      <c r="JF31" s="65"/>
      <c r="JG31" s="65"/>
      <c r="JH31" s="65"/>
      <c r="JI31" s="65"/>
      <c r="JJ31" s="65"/>
      <c r="JK31" s="65"/>
      <c r="JL31" s="65"/>
      <c r="JM31" s="65"/>
      <c r="JN31" s="65"/>
      <c r="JO31" s="65"/>
      <c r="JP31" s="65"/>
      <c r="JQ31" s="65"/>
      <c r="JR31" s="65"/>
      <c r="JS31" s="65"/>
      <c r="JT31" s="65"/>
      <c r="JU31" s="65"/>
      <c r="JV31" s="65"/>
      <c r="JW31" s="65"/>
      <c r="JX31" s="65"/>
      <c r="JY31" s="65"/>
      <c r="JZ31" s="65"/>
      <c r="KA31" s="65"/>
      <c r="KB31" s="65"/>
      <c r="KC31" s="65"/>
      <c r="KD31" s="65"/>
      <c r="KE31" s="65"/>
      <c r="KF31" s="65"/>
      <c r="KG31" s="65"/>
      <c r="KH31" s="65"/>
      <c r="KI31" s="65"/>
      <c r="KJ31" s="65"/>
      <c r="KK31" s="65"/>
      <c r="KL31" s="65"/>
      <c r="KM31" s="65"/>
      <c r="KN31" s="65"/>
      <c r="KO31" s="65"/>
      <c r="KP31" s="65"/>
      <c r="KQ31" s="65"/>
      <c r="KR31" s="65"/>
      <c r="KS31" s="65"/>
      <c r="KT31" s="65"/>
      <c r="KU31" s="65"/>
      <c r="KV31" s="65"/>
      <c r="KW31" s="65"/>
      <c r="KX31" s="65"/>
      <c r="KY31" s="65"/>
      <c r="KZ31" s="65"/>
      <c r="LA31" s="65"/>
      <c r="LB31" s="65"/>
      <c r="LC31" s="65"/>
      <c r="LD31" s="65"/>
      <c r="LE31" s="65"/>
      <c r="LF31" s="65"/>
      <c r="LG31" s="65"/>
      <c r="LH31" s="65"/>
      <c r="LI31" s="65"/>
      <c r="LJ31" s="65"/>
      <c r="LK31" s="65"/>
      <c r="LL31" s="65"/>
      <c r="LM31" s="65"/>
      <c r="LN31" s="65"/>
      <c r="LO31" s="65"/>
      <c r="LP31" s="65"/>
      <c r="LQ31" s="65"/>
      <c r="LR31" s="65"/>
      <c r="LS31" s="65"/>
    </row>
    <row r="32" spans="1:331" s="18" customFormat="1" ht="18.75" customHeight="1">
      <c r="A32" s="51">
        <v>21</v>
      </c>
      <c r="B32" s="274">
        <v>9919110052</v>
      </c>
      <c r="C32" s="53" t="s">
        <v>965</v>
      </c>
      <c r="D32" s="433" t="s">
        <v>966</v>
      </c>
      <c r="E32" s="51" t="s">
        <v>344</v>
      </c>
      <c r="F32" s="58">
        <v>43794</v>
      </c>
      <c r="G32" s="58">
        <v>43794</v>
      </c>
      <c r="H32" s="58"/>
      <c r="I32" s="58"/>
      <c r="J32" s="57">
        <f t="shared" ca="1" si="12"/>
        <v>1</v>
      </c>
      <c r="K32" s="57">
        <f t="shared" ca="1" si="13"/>
        <v>1</v>
      </c>
      <c r="L32" s="58"/>
      <c r="M32" s="58"/>
      <c r="N32" s="51" t="s">
        <v>76</v>
      </c>
      <c r="O32" s="51" t="s">
        <v>36</v>
      </c>
      <c r="P32" s="51" t="s">
        <v>197</v>
      </c>
      <c r="Q32" s="58">
        <v>35755</v>
      </c>
      <c r="R32" s="77">
        <f t="shared" ca="1" si="10"/>
        <v>23</v>
      </c>
      <c r="S32" s="77">
        <f t="shared" ca="1" si="11"/>
        <v>1</v>
      </c>
      <c r="T32" s="51" t="s">
        <v>130</v>
      </c>
      <c r="U32" s="51" t="s">
        <v>967</v>
      </c>
      <c r="V32" s="51" t="s">
        <v>459</v>
      </c>
      <c r="W32" s="51" t="s">
        <v>59</v>
      </c>
      <c r="X32" s="51"/>
      <c r="Y32" s="51"/>
      <c r="Z32" s="51"/>
      <c r="AA32" s="51"/>
      <c r="AB32" s="51"/>
      <c r="AC32" s="51"/>
      <c r="AD32" s="51"/>
      <c r="AE32" s="51"/>
      <c r="AF32" s="249"/>
      <c r="AG32" s="249"/>
      <c r="AH32" s="249"/>
      <c r="AI32" s="70" t="s">
        <v>968</v>
      </c>
      <c r="AJ32" s="60" t="s">
        <v>969</v>
      </c>
      <c r="AK32" s="60" t="s">
        <v>970</v>
      </c>
      <c r="AL32" s="60"/>
      <c r="AM32" s="51"/>
      <c r="AN32" s="51"/>
      <c r="AO32" s="70" t="s">
        <v>971</v>
      </c>
      <c r="AP32" s="63" t="s">
        <v>965</v>
      </c>
      <c r="AQ32" s="70" t="s">
        <v>984</v>
      </c>
      <c r="AR32" s="51" t="s">
        <v>64</v>
      </c>
      <c r="AS32" s="51" t="s">
        <v>95</v>
      </c>
      <c r="AT32" s="87" t="s">
        <v>972</v>
      </c>
      <c r="CC32" s="65"/>
      <c r="CD32" s="65"/>
      <c r="CE32" s="65"/>
      <c r="CF32" s="65"/>
      <c r="CG32" s="65"/>
      <c r="CH32" s="65"/>
      <c r="CI32" s="65"/>
      <c r="CJ32" s="65"/>
      <c r="CK32" s="65"/>
      <c r="CL32" s="65"/>
      <c r="CM32" s="65"/>
      <c r="CN32" s="65"/>
      <c r="CO32" s="65"/>
      <c r="CP32" s="65"/>
      <c r="CQ32" s="65"/>
      <c r="CR32" s="65"/>
      <c r="CS32" s="65"/>
      <c r="CT32" s="65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  <c r="DL32" s="65"/>
      <c r="DM32" s="65"/>
      <c r="DN32" s="65"/>
      <c r="DO32" s="65"/>
      <c r="DP32" s="65"/>
      <c r="DQ32" s="65"/>
      <c r="DR32" s="65"/>
      <c r="DS32" s="65"/>
      <c r="DT32" s="65"/>
      <c r="DU32" s="65"/>
      <c r="DV32" s="65"/>
      <c r="DW32" s="65"/>
      <c r="DX32" s="65"/>
      <c r="DY32" s="65"/>
      <c r="DZ32" s="65"/>
      <c r="EA32" s="65"/>
      <c r="EB32" s="65"/>
      <c r="EC32" s="65"/>
      <c r="ED32" s="65"/>
      <c r="EE32" s="65"/>
      <c r="EF32" s="65"/>
      <c r="EG32" s="65"/>
      <c r="EH32" s="65"/>
      <c r="EI32" s="65"/>
      <c r="EJ32" s="65"/>
      <c r="EK32" s="65"/>
      <c r="EL32" s="65"/>
      <c r="EM32" s="65"/>
      <c r="EN32" s="65"/>
      <c r="EO32" s="65"/>
      <c r="EP32" s="65"/>
      <c r="EQ32" s="65"/>
      <c r="ER32" s="65"/>
      <c r="ES32" s="65"/>
      <c r="ET32" s="65"/>
      <c r="EU32" s="65"/>
      <c r="EV32" s="65"/>
      <c r="EW32" s="65"/>
      <c r="EX32" s="65"/>
      <c r="EY32" s="65"/>
      <c r="EZ32" s="65"/>
      <c r="FA32" s="65"/>
      <c r="FB32" s="65"/>
      <c r="FC32" s="65"/>
      <c r="FD32" s="65"/>
      <c r="FE32" s="65"/>
      <c r="FF32" s="65"/>
      <c r="FG32" s="65"/>
      <c r="FH32" s="65"/>
      <c r="FI32" s="65"/>
      <c r="FJ32" s="65"/>
      <c r="FK32" s="65"/>
      <c r="FL32" s="65"/>
      <c r="FM32" s="65"/>
      <c r="FN32" s="65"/>
      <c r="FO32" s="65"/>
      <c r="FP32" s="65"/>
      <c r="FQ32" s="65"/>
      <c r="FR32" s="65"/>
      <c r="FS32" s="65"/>
      <c r="FT32" s="65"/>
      <c r="FU32" s="65"/>
      <c r="FV32" s="65"/>
      <c r="FW32" s="65"/>
      <c r="FX32" s="65"/>
      <c r="FY32" s="65"/>
      <c r="FZ32" s="65"/>
      <c r="GA32" s="65"/>
      <c r="GB32" s="65"/>
      <c r="GC32" s="65"/>
      <c r="GD32" s="65"/>
      <c r="GE32" s="65"/>
      <c r="GF32" s="65"/>
      <c r="GG32" s="65"/>
      <c r="GH32" s="65"/>
      <c r="GI32" s="65"/>
      <c r="GJ32" s="65"/>
      <c r="GK32" s="65"/>
      <c r="GL32" s="65"/>
      <c r="GM32" s="65"/>
      <c r="GN32" s="65"/>
      <c r="GO32" s="65"/>
      <c r="GP32" s="65"/>
      <c r="GQ32" s="65"/>
      <c r="GR32" s="65"/>
      <c r="GS32" s="65"/>
      <c r="GT32" s="65"/>
      <c r="GU32" s="65"/>
      <c r="GV32" s="65"/>
      <c r="GW32" s="65"/>
      <c r="GX32" s="65"/>
      <c r="GY32" s="65"/>
      <c r="GZ32" s="65"/>
      <c r="HA32" s="65"/>
      <c r="HB32" s="65"/>
      <c r="HC32" s="65"/>
      <c r="HD32" s="65"/>
      <c r="HE32" s="65"/>
      <c r="HF32" s="65"/>
      <c r="HG32" s="65"/>
      <c r="HH32" s="65"/>
      <c r="HI32" s="65"/>
      <c r="HJ32" s="65"/>
      <c r="HK32" s="65"/>
      <c r="HL32" s="65"/>
      <c r="HM32" s="65"/>
      <c r="HN32" s="65"/>
      <c r="HO32" s="65"/>
      <c r="HP32" s="65"/>
      <c r="HQ32" s="65"/>
      <c r="HR32" s="65"/>
      <c r="HS32" s="65"/>
      <c r="HT32" s="65"/>
      <c r="HU32" s="65"/>
      <c r="HV32" s="65"/>
      <c r="HW32" s="65"/>
      <c r="HX32" s="65"/>
      <c r="HY32" s="65"/>
      <c r="HZ32" s="65"/>
      <c r="IA32" s="65"/>
      <c r="IB32" s="65"/>
      <c r="IC32" s="65"/>
      <c r="ID32" s="65"/>
      <c r="IE32" s="65"/>
      <c r="IF32" s="65"/>
      <c r="IG32" s="65"/>
      <c r="IH32" s="65"/>
      <c r="II32" s="65"/>
      <c r="IJ32" s="65"/>
      <c r="IK32" s="65"/>
      <c r="IL32" s="65"/>
      <c r="IM32" s="65"/>
      <c r="IN32" s="65"/>
      <c r="IO32" s="65"/>
      <c r="IP32" s="65"/>
      <c r="IQ32" s="65"/>
      <c r="IR32" s="65"/>
      <c r="IS32" s="65"/>
      <c r="IT32" s="65"/>
      <c r="IU32" s="65"/>
      <c r="IV32" s="65"/>
      <c r="IW32" s="65"/>
      <c r="IX32" s="65"/>
      <c r="IY32" s="65"/>
      <c r="IZ32" s="65"/>
      <c r="JA32" s="65"/>
      <c r="JB32" s="65"/>
      <c r="JC32" s="65"/>
      <c r="JD32" s="65"/>
      <c r="JE32" s="65"/>
      <c r="JF32" s="65"/>
      <c r="JG32" s="65"/>
      <c r="JH32" s="65"/>
      <c r="JI32" s="65"/>
      <c r="JJ32" s="65"/>
      <c r="JK32" s="65"/>
      <c r="JL32" s="65"/>
      <c r="JM32" s="65"/>
      <c r="JN32" s="65"/>
      <c r="JO32" s="65"/>
      <c r="JP32" s="65"/>
      <c r="JQ32" s="65"/>
      <c r="JR32" s="65"/>
      <c r="JS32" s="65"/>
      <c r="JT32" s="65"/>
      <c r="JU32" s="65"/>
      <c r="JV32" s="65"/>
      <c r="JW32" s="65"/>
      <c r="JX32" s="65"/>
      <c r="JY32" s="65"/>
      <c r="JZ32" s="65"/>
      <c r="KA32" s="65"/>
      <c r="KB32" s="65"/>
      <c r="KC32" s="65"/>
      <c r="KD32" s="65"/>
      <c r="KE32" s="65"/>
      <c r="KF32" s="65"/>
      <c r="KG32" s="65"/>
      <c r="KH32" s="65"/>
      <c r="KI32" s="65"/>
      <c r="KJ32" s="65"/>
      <c r="KK32" s="65"/>
      <c r="KL32" s="65"/>
      <c r="KM32" s="65"/>
      <c r="KN32" s="65"/>
      <c r="KO32" s="65"/>
      <c r="KP32" s="65"/>
      <c r="KQ32" s="65"/>
      <c r="KR32" s="65"/>
      <c r="KS32" s="65"/>
      <c r="KT32" s="65"/>
      <c r="KU32" s="65"/>
      <c r="KV32" s="65"/>
      <c r="KW32" s="65"/>
      <c r="KX32" s="65"/>
      <c r="KY32" s="65"/>
      <c r="KZ32" s="65"/>
      <c r="LA32" s="65"/>
      <c r="LB32" s="65"/>
      <c r="LC32" s="65"/>
      <c r="LD32" s="65"/>
      <c r="LE32" s="65"/>
      <c r="LF32" s="65"/>
      <c r="LG32" s="65"/>
      <c r="LH32" s="65"/>
      <c r="LI32" s="65"/>
      <c r="LJ32" s="65"/>
      <c r="LK32" s="65"/>
      <c r="LL32" s="65"/>
      <c r="LM32" s="65"/>
      <c r="LN32" s="65"/>
      <c r="LO32" s="65"/>
      <c r="LP32" s="65"/>
      <c r="LQ32" s="65"/>
      <c r="LR32" s="65"/>
      <c r="LS32" s="65"/>
    </row>
    <row r="33" spans="1:331" s="18" customFormat="1" ht="18.75" customHeight="1">
      <c r="A33" s="51">
        <v>22</v>
      </c>
      <c r="B33" s="275" t="s">
        <v>982</v>
      </c>
      <c r="C33" s="53" t="s">
        <v>976</v>
      </c>
      <c r="D33" s="433" t="s">
        <v>446</v>
      </c>
      <c r="E33" s="51" t="s">
        <v>344</v>
      </c>
      <c r="F33" s="58">
        <v>43795</v>
      </c>
      <c r="G33" s="58">
        <v>43795</v>
      </c>
      <c r="H33" s="58"/>
      <c r="I33" s="58"/>
      <c r="J33" s="57">
        <f t="shared" ca="1" si="12"/>
        <v>1</v>
      </c>
      <c r="K33" s="57">
        <f t="shared" ca="1" si="13"/>
        <v>1</v>
      </c>
      <c r="L33" s="58"/>
      <c r="M33" s="58"/>
      <c r="N33" s="51" t="s">
        <v>35</v>
      </c>
      <c r="O33" s="51" t="s">
        <v>36</v>
      </c>
      <c r="P33" s="51" t="s">
        <v>41</v>
      </c>
      <c r="Q33" s="58">
        <v>34246</v>
      </c>
      <c r="R33" s="77">
        <f t="shared" ca="1" si="10"/>
        <v>27</v>
      </c>
      <c r="S33" s="77">
        <f t="shared" ca="1" si="11"/>
        <v>3</v>
      </c>
      <c r="T33" s="51" t="s">
        <v>977</v>
      </c>
      <c r="U33" s="51" t="s">
        <v>446</v>
      </c>
      <c r="V33" s="51"/>
      <c r="W33" s="51" t="s">
        <v>59</v>
      </c>
      <c r="X33" s="51"/>
      <c r="Y33" s="51"/>
      <c r="Z33" s="51"/>
      <c r="AA33" s="51"/>
      <c r="AB33" s="51"/>
      <c r="AC33" s="51"/>
      <c r="AD33" s="51"/>
      <c r="AE33" s="51"/>
      <c r="AF33" s="249"/>
      <c r="AG33" s="249"/>
      <c r="AH33" s="249"/>
      <c r="AI33" s="70" t="s">
        <v>978</v>
      </c>
      <c r="AJ33" s="60" t="s">
        <v>979</v>
      </c>
      <c r="AK33" s="60" t="s">
        <v>979</v>
      </c>
      <c r="AL33" s="60"/>
      <c r="AM33" s="51"/>
      <c r="AN33" s="51"/>
      <c r="AO33" s="70" t="s">
        <v>980</v>
      </c>
      <c r="AP33" s="63" t="s">
        <v>976</v>
      </c>
      <c r="AQ33" s="70" t="s">
        <v>985</v>
      </c>
      <c r="AR33" s="51" t="s">
        <v>64</v>
      </c>
      <c r="AS33" s="51" t="s">
        <v>95</v>
      </c>
      <c r="AT33" s="87" t="s">
        <v>981</v>
      </c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5"/>
      <c r="DN33" s="65"/>
      <c r="DO33" s="65"/>
      <c r="DP33" s="65"/>
      <c r="DQ33" s="65"/>
      <c r="DR33" s="65"/>
      <c r="DS33" s="65"/>
      <c r="DT33" s="65"/>
      <c r="DU33" s="65"/>
      <c r="DV33" s="65"/>
      <c r="DW33" s="65"/>
      <c r="DX33" s="65"/>
      <c r="DY33" s="65"/>
      <c r="DZ33" s="65"/>
      <c r="EA33" s="65"/>
      <c r="EB33" s="65"/>
      <c r="EC33" s="65"/>
      <c r="ED33" s="65"/>
      <c r="EE33" s="65"/>
      <c r="EF33" s="65"/>
      <c r="EG33" s="65"/>
      <c r="EH33" s="65"/>
      <c r="EI33" s="65"/>
      <c r="EJ33" s="65"/>
      <c r="EK33" s="65"/>
      <c r="EL33" s="65"/>
      <c r="EM33" s="65"/>
      <c r="EN33" s="65"/>
      <c r="EO33" s="65"/>
      <c r="EP33" s="65"/>
      <c r="EQ33" s="65"/>
      <c r="ER33" s="65"/>
      <c r="ES33" s="65"/>
      <c r="ET33" s="65"/>
      <c r="EU33" s="65"/>
      <c r="EV33" s="65"/>
      <c r="EW33" s="65"/>
      <c r="EX33" s="65"/>
      <c r="EY33" s="65"/>
      <c r="EZ33" s="65"/>
      <c r="FA33" s="65"/>
      <c r="FB33" s="65"/>
      <c r="FC33" s="65"/>
      <c r="FD33" s="65"/>
      <c r="FE33" s="65"/>
      <c r="FF33" s="65"/>
      <c r="FG33" s="65"/>
      <c r="FH33" s="65"/>
      <c r="FI33" s="65"/>
      <c r="FJ33" s="65"/>
      <c r="FK33" s="65"/>
      <c r="FL33" s="65"/>
      <c r="FM33" s="65"/>
      <c r="FN33" s="65"/>
      <c r="FO33" s="65"/>
      <c r="FP33" s="65"/>
      <c r="FQ33" s="65"/>
      <c r="FR33" s="65"/>
      <c r="FS33" s="65"/>
      <c r="FT33" s="65"/>
      <c r="FU33" s="65"/>
      <c r="FV33" s="65"/>
      <c r="FW33" s="65"/>
      <c r="FX33" s="65"/>
      <c r="FY33" s="65"/>
      <c r="FZ33" s="65"/>
      <c r="GA33" s="65"/>
      <c r="GB33" s="65"/>
      <c r="GC33" s="65"/>
      <c r="GD33" s="65"/>
      <c r="GE33" s="65"/>
      <c r="GF33" s="65"/>
      <c r="GG33" s="65"/>
      <c r="GH33" s="65"/>
      <c r="GI33" s="65"/>
      <c r="GJ33" s="65"/>
      <c r="GK33" s="65"/>
      <c r="GL33" s="65"/>
      <c r="GM33" s="65"/>
      <c r="GN33" s="65"/>
      <c r="GO33" s="65"/>
      <c r="GP33" s="65"/>
      <c r="GQ33" s="65"/>
      <c r="GR33" s="65"/>
      <c r="GS33" s="65"/>
      <c r="GT33" s="65"/>
      <c r="GU33" s="65"/>
      <c r="GV33" s="65"/>
      <c r="GW33" s="65"/>
      <c r="GX33" s="65"/>
      <c r="GY33" s="65"/>
      <c r="GZ33" s="65"/>
      <c r="HA33" s="65"/>
      <c r="HB33" s="65"/>
      <c r="HC33" s="65"/>
      <c r="HD33" s="65"/>
      <c r="HE33" s="65"/>
      <c r="HF33" s="65"/>
      <c r="HG33" s="65"/>
      <c r="HH33" s="65"/>
      <c r="HI33" s="65"/>
      <c r="HJ33" s="65"/>
      <c r="HK33" s="65"/>
      <c r="HL33" s="65"/>
      <c r="HM33" s="65"/>
      <c r="HN33" s="65"/>
      <c r="HO33" s="65"/>
      <c r="HP33" s="65"/>
      <c r="HQ33" s="65"/>
      <c r="HR33" s="65"/>
      <c r="HS33" s="65"/>
      <c r="HT33" s="65"/>
      <c r="HU33" s="65"/>
      <c r="HV33" s="65"/>
      <c r="HW33" s="65"/>
      <c r="HX33" s="65"/>
      <c r="HY33" s="65"/>
      <c r="HZ33" s="65"/>
      <c r="IA33" s="65"/>
      <c r="IB33" s="65"/>
      <c r="IC33" s="65"/>
      <c r="ID33" s="65"/>
      <c r="IE33" s="65"/>
      <c r="IF33" s="65"/>
      <c r="IG33" s="65"/>
      <c r="IH33" s="65"/>
      <c r="II33" s="65"/>
      <c r="IJ33" s="65"/>
      <c r="IK33" s="65"/>
      <c r="IL33" s="65"/>
      <c r="IM33" s="65"/>
      <c r="IN33" s="65"/>
      <c r="IO33" s="65"/>
      <c r="IP33" s="65"/>
      <c r="IQ33" s="65"/>
      <c r="IR33" s="65"/>
      <c r="IS33" s="65"/>
      <c r="IT33" s="65"/>
      <c r="IU33" s="65"/>
      <c r="IV33" s="65"/>
      <c r="IW33" s="65"/>
      <c r="IX33" s="65"/>
      <c r="IY33" s="65"/>
      <c r="IZ33" s="65"/>
      <c r="JA33" s="65"/>
      <c r="JB33" s="65"/>
      <c r="JC33" s="65"/>
      <c r="JD33" s="65"/>
      <c r="JE33" s="65"/>
      <c r="JF33" s="65"/>
      <c r="JG33" s="65"/>
      <c r="JH33" s="65"/>
      <c r="JI33" s="65"/>
      <c r="JJ33" s="65"/>
      <c r="JK33" s="65"/>
      <c r="JL33" s="65"/>
      <c r="JM33" s="65"/>
      <c r="JN33" s="65"/>
      <c r="JO33" s="65"/>
      <c r="JP33" s="65"/>
      <c r="JQ33" s="65"/>
      <c r="JR33" s="65"/>
      <c r="JS33" s="65"/>
      <c r="JT33" s="65"/>
      <c r="JU33" s="65"/>
      <c r="JV33" s="65"/>
      <c r="JW33" s="65"/>
      <c r="JX33" s="65"/>
      <c r="JY33" s="65"/>
      <c r="JZ33" s="65"/>
      <c r="KA33" s="65"/>
      <c r="KB33" s="65"/>
      <c r="KC33" s="65"/>
      <c r="KD33" s="65"/>
      <c r="KE33" s="65"/>
      <c r="KF33" s="65"/>
      <c r="KG33" s="65"/>
      <c r="KH33" s="65"/>
      <c r="KI33" s="65"/>
      <c r="KJ33" s="65"/>
      <c r="KK33" s="65"/>
      <c r="KL33" s="65"/>
      <c r="KM33" s="65"/>
      <c r="KN33" s="65"/>
      <c r="KO33" s="65"/>
      <c r="KP33" s="65"/>
      <c r="KQ33" s="65"/>
      <c r="KR33" s="65"/>
      <c r="KS33" s="65"/>
      <c r="KT33" s="65"/>
      <c r="KU33" s="65"/>
      <c r="KV33" s="65"/>
      <c r="KW33" s="65"/>
      <c r="KX33" s="65"/>
      <c r="KY33" s="65"/>
      <c r="KZ33" s="65"/>
      <c r="LA33" s="65"/>
      <c r="LB33" s="65"/>
      <c r="LC33" s="65"/>
      <c r="LD33" s="65"/>
      <c r="LE33" s="65"/>
      <c r="LF33" s="65"/>
      <c r="LG33" s="65"/>
      <c r="LH33" s="65"/>
      <c r="LI33" s="65"/>
      <c r="LJ33" s="65"/>
      <c r="LK33" s="65"/>
      <c r="LL33" s="65"/>
      <c r="LM33" s="65"/>
      <c r="LN33" s="65"/>
      <c r="LO33" s="65"/>
      <c r="LP33" s="65"/>
      <c r="LQ33" s="65"/>
      <c r="LR33" s="65"/>
      <c r="LS33" s="65"/>
    </row>
    <row r="34" spans="1:331" s="18" customFormat="1" ht="18.75" customHeight="1">
      <c r="A34" s="51">
        <v>23</v>
      </c>
      <c r="B34" s="275" t="str">
        <f>NIK!$B$110</f>
        <v>9919120062</v>
      </c>
      <c r="C34" s="53" t="s">
        <v>1070</v>
      </c>
      <c r="D34" s="433" t="s">
        <v>1071</v>
      </c>
      <c r="E34" s="51" t="s">
        <v>344</v>
      </c>
      <c r="F34" s="58">
        <v>43813</v>
      </c>
      <c r="G34" s="58">
        <v>43813</v>
      </c>
      <c r="H34" s="58"/>
      <c r="I34" s="58"/>
      <c r="J34" s="57">
        <f t="shared" ca="1" si="12"/>
        <v>1</v>
      </c>
      <c r="K34" s="57">
        <f t="shared" ca="1" si="13"/>
        <v>0</v>
      </c>
      <c r="L34" s="58"/>
      <c r="M34" s="58"/>
      <c r="N34" s="51" t="s">
        <v>76</v>
      </c>
      <c r="O34" s="51" t="s">
        <v>36</v>
      </c>
      <c r="P34" s="51" t="s">
        <v>41</v>
      </c>
      <c r="Q34" s="58">
        <v>34875</v>
      </c>
      <c r="R34" s="77">
        <f t="shared" ca="1" si="10"/>
        <v>25</v>
      </c>
      <c r="S34" s="77">
        <f t="shared" ca="1" si="11"/>
        <v>6</v>
      </c>
      <c r="T34" s="51" t="s">
        <v>130</v>
      </c>
      <c r="U34" s="51" t="s">
        <v>1072</v>
      </c>
      <c r="V34" s="51" t="s">
        <v>105</v>
      </c>
      <c r="W34" s="51" t="s">
        <v>59</v>
      </c>
      <c r="X34" s="51"/>
      <c r="Y34" s="51"/>
      <c r="Z34" s="51"/>
      <c r="AA34" s="51"/>
      <c r="AB34" s="51"/>
      <c r="AC34" s="51"/>
      <c r="AD34" s="51"/>
      <c r="AE34" s="51"/>
      <c r="AF34" s="249"/>
      <c r="AG34" s="249"/>
      <c r="AH34" s="249"/>
      <c r="AI34" s="70" t="s">
        <v>1073</v>
      </c>
      <c r="AJ34" s="60" t="s">
        <v>1074</v>
      </c>
      <c r="AK34" s="60" t="s">
        <v>1074</v>
      </c>
      <c r="AL34" s="60"/>
      <c r="AM34" s="51"/>
      <c r="AN34" s="51"/>
      <c r="AO34" s="70" t="s">
        <v>1075</v>
      </c>
      <c r="AP34" s="63" t="s">
        <v>1070</v>
      </c>
      <c r="AQ34" s="70" t="s">
        <v>1127</v>
      </c>
      <c r="AR34" s="51" t="s">
        <v>64</v>
      </c>
      <c r="AS34" s="51" t="s">
        <v>95</v>
      </c>
      <c r="AT34" s="87" t="s">
        <v>1076</v>
      </c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5"/>
      <c r="DX34" s="65"/>
      <c r="DY34" s="65"/>
      <c r="DZ34" s="65"/>
      <c r="EA34" s="65"/>
      <c r="EB34" s="65"/>
      <c r="EC34" s="65"/>
      <c r="ED34" s="65"/>
      <c r="EE34" s="65"/>
      <c r="EF34" s="65"/>
      <c r="EG34" s="65"/>
      <c r="EH34" s="65"/>
      <c r="EI34" s="65"/>
      <c r="EJ34" s="65"/>
      <c r="EK34" s="65"/>
      <c r="EL34" s="65"/>
      <c r="EM34" s="65"/>
      <c r="EN34" s="65"/>
      <c r="EO34" s="65"/>
      <c r="EP34" s="65"/>
      <c r="EQ34" s="65"/>
      <c r="ER34" s="65"/>
      <c r="ES34" s="65"/>
      <c r="ET34" s="65"/>
      <c r="EU34" s="65"/>
      <c r="EV34" s="65"/>
      <c r="EW34" s="65"/>
      <c r="EX34" s="65"/>
      <c r="EY34" s="65"/>
      <c r="EZ34" s="65"/>
      <c r="FA34" s="65"/>
      <c r="FB34" s="65"/>
      <c r="FC34" s="65"/>
      <c r="FD34" s="65"/>
      <c r="FE34" s="65"/>
      <c r="FF34" s="65"/>
      <c r="FG34" s="65"/>
      <c r="FH34" s="65"/>
      <c r="FI34" s="65"/>
      <c r="FJ34" s="65"/>
      <c r="FK34" s="65"/>
      <c r="FL34" s="65"/>
      <c r="FM34" s="65"/>
      <c r="FN34" s="65"/>
      <c r="FO34" s="65"/>
      <c r="FP34" s="65"/>
      <c r="FQ34" s="65"/>
      <c r="FR34" s="65"/>
      <c r="FS34" s="65"/>
      <c r="FT34" s="65"/>
      <c r="FU34" s="65"/>
      <c r="FV34" s="65"/>
      <c r="FW34" s="65"/>
      <c r="FX34" s="65"/>
      <c r="FY34" s="65"/>
      <c r="FZ34" s="65"/>
      <c r="GA34" s="65"/>
      <c r="GB34" s="65"/>
      <c r="GC34" s="65"/>
      <c r="GD34" s="65"/>
      <c r="GE34" s="65"/>
      <c r="GF34" s="65"/>
      <c r="GG34" s="65"/>
      <c r="GH34" s="65"/>
      <c r="GI34" s="65"/>
      <c r="GJ34" s="65"/>
      <c r="GK34" s="65"/>
      <c r="GL34" s="65"/>
      <c r="GM34" s="65"/>
      <c r="GN34" s="65"/>
      <c r="GO34" s="65"/>
      <c r="GP34" s="65"/>
      <c r="GQ34" s="65"/>
      <c r="GR34" s="65"/>
      <c r="GS34" s="65"/>
      <c r="GT34" s="65"/>
      <c r="GU34" s="65"/>
      <c r="GV34" s="65"/>
      <c r="GW34" s="65"/>
      <c r="GX34" s="65"/>
      <c r="GY34" s="65"/>
      <c r="GZ34" s="65"/>
      <c r="HA34" s="65"/>
      <c r="HB34" s="65"/>
      <c r="HC34" s="65"/>
      <c r="HD34" s="65"/>
      <c r="HE34" s="65"/>
      <c r="HF34" s="65"/>
      <c r="HG34" s="65"/>
      <c r="HH34" s="65"/>
      <c r="HI34" s="65"/>
      <c r="HJ34" s="65"/>
      <c r="HK34" s="65"/>
      <c r="HL34" s="65"/>
      <c r="HM34" s="65"/>
      <c r="HN34" s="65"/>
      <c r="HO34" s="65"/>
      <c r="HP34" s="65"/>
      <c r="HQ34" s="65"/>
      <c r="HR34" s="65"/>
      <c r="HS34" s="65"/>
      <c r="HT34" s="65"/>
      <c r="HU34" s="65"/>
      <c r="HV34" s="65"/>
      <c r="HW34" s="65"/>
      <c r="HX34" s="65"/>
      <c r="HY34" s="65"/>
      <c r="HZ34" s="65"/>
      <c r="IA34" s="65"/>
      <c r="IB34" s="65"/>
      <c r="IC34" s="65"/>
      <c r="ID34" s="65"/>
      <c r="IE34" s="65"/>
      <c r="IF34" s="65"/>
      <c r="IG34" s="65"/>
      <c r="IH34" s="65"/>
      <c r="II34" s="65"/>
      <c r="IJ34" s="65"/>
      <c r="IK34" s="65"/>
      <c r="IL34" s="65"/>
      <c r="IM34" s="65"/>
      <c r="IN34" s="65"/>
      <c r="IO34" s="65"/>
      <c r="IP34" s="65"/>
      <c r="IQ34" s="65"/>
      <c r="IR34" s="65"/>
      <c r="IS34" s="65"/>
      <c r="IT34" s="65"/>
      <c r="IU34" s="65"/>
      <c r="IV34" s="65"/>
      <c r="IW34" s="65"/>
      <c r="IX34" s="65"/>
      <c r="IY34" s="65"/>
      <c r="IZ34" s="65"/>
      <c r="JA34" s="65"/>
      <c r="JB34" s="65"/>
      <c r="JC34" s="65"/>
      <c r="JD34" s="65"/>
      <c r="JE34" s="65"/>
      <c r="JF34" s="65"/>
      <c r="JG34" s="65"/>
      <c r="JH34" s="65"/>
      <c r="JI34" s="65"/>
      <c r="JJ34" s="65"/>
      <c r="JK34" s="65"/>
      <c r="JL34" s="65"/>
      <c r="JM34" s="65"/>
      <c r="JN34" s="65"/>
      <c r="JO34" s="65"/>
      <c r="JP34" s="65"/>
      <c r="JQ34" s="65"/>
      <c r="JR34" s="65"/>
      <c r="JS34" s="65"/>
      <c r="JT34" s="65"/>
      <c r="JU34" s="65"/>
      <c r="JV34" s="65"/>
      <c r="JW34" s="65"/>
      <c r="JX34" s="65"/>
      <c r="JY34" s="65"/>
      <c r="JZ34" s="65"/>
      <c r="KA34" s="65"/>
      <c r="KB34" s="65"/>
      <c r="KC34" s="65"/>
      <c r="KD34" s="65"/>
      <c r="KE34" s="65"/>
      <c r="KF34" s="65"/>
      <c r="KG34" s="65"/>
      <c r="KH34" s="65"/>
      <c r="KI34" s="65"/>
      <c r="KJ34" s="65"/>
      <c r="KK34" s="65"/>
      <c r="KL34" s="65"/>
      <c r="KM34" s="65"/>
      <c r="KN34" s="65"/>
      <c r="KO34" s="65"/>
      <c r="KP34" s="65"/>
      <c r="KQ34" s="65"/>
      <c r="KR34" s="65"/>
      <c r="KS34" s="65"/>
      <c r="KT34" s="65"/>
      <c r="KU34" s="65"/>
      <c r="KV34" s="65"/>
      <c r="KW34" s="65"/>
      <c r="KX34" s="65"/>
      <c r="KY34" s="65"/>
      <c r="KZ34" s="65"/>
      <c r="LA34" s="65"/>
      <c r="LB34" s="65"/>
      <c r="LC34" s="65"/>
      <c r="LD34" s="65"/>
      <c r="LE34" s="65"/>
      <c r="LF34" s="65"/>
      <c r="LG34" s="65"/>
      <c r="LH34" s="65"/>
      <c r="LI34" s="65"/>
      <c r="LJ34" s="65"/>
      <c r="LK34" s="65"/>
      <c r="LL34" s="65"/>
      <c r="LM34" s="65"/>
      <c r="LN34" s="65"/>
      <c r="LO34" s="65"/>
      <c r="LP34" s="65"/>
      <c r="LQ34" s="65"/>
      <c r="LR34" s="65"/>
      <c r="LS34" s="65"/>
    </row>
    <row r="35" spans="1:331" s="18" customFormat="1" ht="18.75" customHeight="1">
      <c r="A35" s="51">
        <v>24</v>
      </c>
      <c r="B35" s="318" t="str">
        <f>NIK!$B$117</f>
        <v>9919120069</v>
      </c>
      <c r="C35" s="72" t="s">
        <v>1106</v>
      </c>
      <c r="D35" s="52" t="s">
        <v>1071</v>
      </c>
      <c r="E35" s="52" t="s">
        <v>344</v>
      </c>
      <c r="F35" s="124">
        <v>43820</v>
      </c>
      <c r="G35" s="124">
        <v>43820</v>
      </c>
      <c r="H35" s="124"/>
      <c r="I35" s="124"/>
      <c r="J35" s="192">
        <f t="shared" ca="1" si="12"/>
        <v>1</v>
      </c>
      <c r="K35" s="192">
        <f t="shared" ca="1" si="13"/>
        <v>0</v>
      </c>
      <c r="L35" s="124"/>
      <c r="M35" s="124"/>
      <c r="N35" s="52" t="s">
        <v>76</v>
      </c>
      <c r="O35" s="52" t="s">
        <v>36</v>
      </c>
      <c r="P35" s="52" t="s">
        <v>455</v>
      </c>
      <c r="Q35" s="124">
        <v>35391</v>
      </c>
      <c r="R35" s="165">
        <f t="shared" ref="R35" ca="1" si="14">DATEDIF(Q35,$A$3,"Y")</f>
        <v>24</v>
      </c>
      <c r="S35" s="165">
        <f t="shared" ca="1" si="11"/>
        <v>1</v>
      </c>
      <c r="T35" s="52" t="s">
        <v>130</v>
      </c>
      <c r="U35" s="52" t="s">
        <v>1107</v>
      </c>
      <c r="V35" s="52" t="s">
        <v>44</v>
      </c>
      <c r="W35" s="52" t="s">
        <v>59</v>
      </c>
      <c r="X35" s="52"/>
      <c r="Y35" s="52"/>
      <c r="Z35" s="52"/>
      <c r="AA35" s="52"/>
      <c r="AB35" s="52"/>
      <c r="AC35" s="52"/>
      <c r="AD35" s="52"/>
      <c r="AE35" s="52"/>
      <c r="AF35" s="267"/>
      <c r="AG35" s="267"/>
      <c r="AH35" s="267"/>
      <c r="AI35" s="268" t="s">
        <v>1108</v>
      </c>
      <c r="AJ35" s="166" t="s">
        <v>1109</v>
      </c>
      <c r="AK35" s="315" t="s">
        <v>1110</v>
      </c>
      <c r="AL35" s="166"/>
      <c r="AM35" s="52"/>
      <c r="AN35" s="52"/>
      <c r="AO35" s="268" t="s">
        <v>1111</v>
      </c>
      <c r="AP35" s="84" t="s">
        <v>1106</v>
      </c>
      <c r="AQ35" s="268"/>
      <c r="AR35" s="52" t="s">
        <v>64</v>
      </c>
      <c r="AS35" s="52" t="s">
        <v>95</v>
      </c>
      <c r="AT35" s="317" t="s">
        <v>1112</v>
      </c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65"/>
      <c r="CO35" s="65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5"/>
      <c r="DN35" s="65"/>
      <c r="DO35" s="65"/>
      <c r="DP35" s="65"/>
      <c r="DQ35" s="65"/>
      <c r="DR35" s="65"/>
      <c r="DS35" s="65"/>
      <c r="DT35" s="65"/>
      <c r="DU35" s="65"/>
      <c r="DV35" s="65"/>
      <c r="DW35" s="65"/>
      <c r="DX35" s="65"/>
      <c r="DY35" s="65"/>
      <c r="DZ35" s="65"/>
      <c r="EA35" s="65"/>
      <c r="EB35" s="65"/>
      <c r="EC35" s="65"/>
      <c r="ED35" s="65"/>
      <c r="EE35" s="65"/>
      <c r="EF35" s="65"/>
      <c r="EG35" s="65"/>
      <c r="EH35" s="65"/>
      <c r="EI35" s="65"/>
      <c r="EJ35" s="65"/>
      <c r="EK35" s="65"/>
      <c r="EL35" s="65"/>
      <c r="EM35" s="65"/>
      <c r="EN35" s="65"/>
      <c r="EO35" s="65"/>
      <c r="EP35" s="65"/>
      <c r="EQ35" s="65"/>
      <c r="ER35" s="65"/>
      <c r="ES35" s="65"/>
      <c r="ET35" s="65"/>
      <c r="EU35" s="65"/>
      <c r="EV35" s="65"/>
      <c r="EW35" s="65"/>
      <c r="EX35" s="65"/>
      <c r="EY35" s="65"/>
      <c r="EZ35" s="65"/>
      <c r="FA35" s="65"/>
      <c r="FB35" s="65"/>
      <c r="FC35" s="65"/>
      <c r="FD35" s="65"/>
      <c r="FE35" s="65"/>
      <c r="FF35" s="65"/>
      <c r="FG35" s="65"/>
      <c r="FH35" s="65"/>
      <c r="FI35" s="65"/>
      <c r="FJ35" s="65"/>
      <c r="FK35" s="65"/>
      <c r="FL35" s="65"/>
      <c r="FM35" s="65"/>
      <c r="FN35" s="65"/>
      <c r="FO35" s="65"/>
      <c r="FP35" s="65"/>
      <c r="FQ35" s="65"/>
      <c r="FR35" s="65"/>
      <c r="FS35" s="65"/>
      <c r="FT35" s="65"/>
      <c r="FU35" s="65"/>
      <c r="FV35" s="65"/>
      <c r="FW35" s="65"/>
      <c r="FX35" s="65"/>
      <c r="FY35" s="65"/>
      <c r="FZ35" s="65"/>
      <c r="GA35" s="65"/>
      <c r="GB35" s="65"/>
      <c r="GC35" s="65"/>
      <c r="GD35" s="65"/>
      <c r="GE35" s="65"/>
      <c r="GF35" s="65"/>
      <c r="GG35" s="65"/>
      <c r="GH35" s="65"/>
      <c r="GI35" s="65"/>
      <c r="GJ35" s="65"/>
      <c r="GK35" s="65"/>
      <c r="GL35" s="65"/>
      <c r="GM35" s="65"/>
      <c r="GN35" s="65"/>
      <c r="GO35" s="65"/>
      <c r="GP35" s="65"/>
      <c r="GQ35" s="65"/>
      <c r="GR35" s="65"/>
      <c r="GS35" s="65"/>
      <c r="GT35" s="65"/>
      <c r="GU35" s="65"/>
      <c r="GV35" s="65"/>
      <c r="GW35" s="65"/>
      <c r="GX35" s="65"/>
      <c r="GY35" s="65"/>
      <c r="GZ35" s="65"/>
      <c r="HA35" s="65"/>
      <c r="HB35" s="65"/>
      <c r="HC35" s="65"/>
      <c r="HD35" s="65"/>
      <c r="HE35" s="65"/>
      <c r="HF35" s="65"/>
      <c r="HG35" s="65"/>
      <c r="HH35" s="65"/>
      <c r="HI35" s="65"/>
      <c r="HJ35" s="65"/>
      <c r="HK35" s="65"/>
      <c r="HL35" s="65"/>
      <c r="HM35" s="65"/>
      <c r="HN35" s="65"/>
      <c r="HO35" s="65"/>
      <c r="HP35" s="65"/>
      <c r="HQ35" s="65"/>
      <c r="HR35" s="65"/>
      <c r="HS35" s="65"/>
      <c r="HT35" s="65"/>
      <c r="HU35" s="65"/>
      <c r="HV35" s="65"/>
      <c r="HW35" s="65"/>
      <c r="HX35" s="65"/>
      <c r="HY35" s="65"/>
      <c r="HZ35" s="65"/>
      <c r="IA35" s="65"/>
      <c r="IB35" s="65"/>
      <c r="IC35" s="65"/>
      <c r="ID35" s="65"/>
      <c r="IE35" s="65"/>
      <c r="IF35" s="65"/>
      <c r="IG35" s="65"/>
      <c r="IH35" s="65"/>
      <c r="II35" s="65"/>
      <c r="IJ35" s="65"/>
      <c r="IK35" s="65"/>
      <c r="IL35" s="65"/>
      <c r="IM35" s="65"/>
      <c r="IN35" s="65"/>
      <c r="IO35" s="65"/>
      <c r="IP35" s="65"/>
      <c r="IQ35" s="65"/>
      <c r="IR35" s="65"/>
      <c r="IS35" s="65"/>
      <c r="IT35" s="65"/>
      <c r="IU35" s="65"/>
      <c r="IV35" s="65"/>
      <c r="IW35" s="65"/>
      <c r="IX35" s="65"/>
      <c r="IY35" s="65"/>
      <c r="IZ35" s="65"/>
      <c r="JA35" s="65"/>
      <c r="JB35" s="65"/>
      <c r="JC35" s="65"/>
      <c r="JD35" s="65"/>
      <c r="JE35" s="65"/>
      <c r="JF35" s="65"/>
      <c r="JG35" s="65"/>
      <c r="JH35" s="65"/>
      <c r="JI35" s="65"/>
      <c r="JJ35" s="65"/>
      <c r="JK35" s="65"/>
      <c r="JL35" s="65"/>
      <c r="JM35" s="65"/>
      <c r="JN35" s="65"/>
      <c r="JO35" s="65"/>
      <c r="JP35" s="65"/>
      <c r="JQ35" s="65"/>
      <c r="JR35" s="65"/>
      <c r="JS35" s="65"/>
      <c r="JT35" s="65"/>
      <c r="JU35" s="65"/>
      <c r="JV35" s="65"/>
      <c r="JW35" s="65"/>
      <c r="JX35" s="65"/>
      <c r="JY35" s="65"/>
      <c r="JZ35" s="65"/>
      <c r="KA35" s="65"/>
      <c r="KB35" s="65"/>
      <c r="KC35" s="65"/>
      <c r="KD35" s="65"/>
      <c r="KE35" s="65"/>
      <c r="KF35" s="65"/>
      <c r="KG35" s="65"/>
      <c r="KH35" s="65"/>
      <c r="KI35" s="65"/>
      <c r="KJ35" s="65"/>
      <c r="KK35" s="65"/>
      <c r="KL35" s="65"/>
      <c r="KM35" s="65"/>
      <c r="KN35" s="65"/>
      <c r="KO35" s="65"/>
      <c r="KP35" s="65"/>
      <c r="KQ35" s="65"/>
      <c r="KR35" s="65"/>
      <c r="KS35" s="65"/>
      <c r="KT35" s="65"/>
      <c r="KU35" s="65"/>
      <c r="KV35" s="65"/>
      <c r="KW35" s="65"/>
      <c r="KX35" s="65"/>
      <c r="KY35" s="65"/>
      <c r="KZ35" s="65"/>
      <c r="LA35" s="65"/>
      <c r="LB35" s="65"/>
      <c r="LC35" s="65"/>
      <c r="LD35" s="65"/>
      <c r="LE35" s="65"/>
      <c r="LF35" s="65"/>
      <c r="LG35" s="65"/>
      <c r="LH35" s="65"/>
      <c r="LI35" s="65"/>
      <c r="LJ35" s="65"/>
      <c r="LK35" s="65"/>
      <c r="LL35" s="65"/>
      <c r="LM35" s="65"/>
      <c r="LN35" s="65"/>
      <c r="LO35" s="65"/>
      <c r="LP35" s="65"/>
      <c r="LQ35" s="65"/>
      <c r="LR35" s="65"/>
      <c r="LS35" s="65"/>
    </row>
    <row r="36" spans="1:331" s="18" customFormat="1" ht="18.75" customHeight="1">
      <c r="A36" s="51">
        <v>25</v>
      </c>
      <c r="B36" s="275" t="str">
        <f>NIK!$B$118</f>
        <v>9919120070</v>
      </c>
      <c r="C36" s="53" t="s">
        <v>1113</v>
      </c>
      <c r="D36" s="433" t="s">
        <v>1071</v>
      </c>
      <c r="E36" s="51" t="s">
        <v>344</v>
      </c>
      <c r="F36" s="58">
        <v>43820</v>
      </c>
      <c r="G36" s="58">
        <v>43820</v>
      </c>
      <c r="H36" s="58"/>
      <c r="I36" s="58"/>
      <c r="J36" s="57">
        <f t="shared" ref="J36" ca="1" si="15">DATEDIF(F36,$A$3,"Y")</f>
        <v>1</v>
      </c>
      <c r="K36" s="57">
        <f t="shared" ref="K36" ca="1" si="16">DATEDIF(F36,$A$3,"YM")</f>
        <v>0</v>
      </c>
      <c r="L36" s="58"/>
      <c r="M36" s="58"/>
      <c r="N36" s="51" t="s">
        <v>76</v>
      </c>
      <c r="O36" s="51" t="s">
        <v>36</v>
      </c>
      <c r="P36" s="51" t="s">
        <v>41</v>
      </c>
      <c r="Q36" s="58">
        <v>34871</v>
      </c>
      <c r="R36" s="77">
        <f t="shared" ref="R36:R38" ca="1" si="17">DATEDIF(Q36,$A$3,"Y")</f>
        <v>25</v>
      </c>
      <c r="S36" s="77">
        <f t="shared" ca="1" si="11"/>
        <v>6</v>
      </c>
      <c r="T36" s="51" t="s">
        <v>130</v>
      </c>
      <c r="U36" s="51" t="s">
        <v>90</v>
      </c>
      <c r="V36" s="51" t="s">
        <v>224</v>
      </c>
      <c r="W36" s="51" t="s">
        <v>59</v>
      </c>
      <c r="X36" s="51"/>
      <c r="Y36" s="51"/>
      <c r="Z36" s="51"/>
      <c r="AA36" s="51"/>
      <c r="AB36" s="51"/>
      <c r="AC36" s="51"/>
      <c r="AD36" s="51"/>
      <c r="AE36" s="51"/>
      <c r="AF36" s="249"/>
      <c r="AG36" s="249"/>
      <c r="AH36" s="249"/>
      <c r="AI36" s="70" t="s">
        <v>1114</v>
      </c>
      <c r="AJ36" s="60" t="s">
        <v>1115</v>
      </c>
      <c r="AK36" s="60" t="s">
        <v>1115</v>
      </c>
      <c r="AL36" s="60"/>
      <c r="AM36" s="51"/>
      <c r="AN36" s="51"/>
      <c r="AO36" s="70" t="s">
        <v>1116</v>
      </c>
      <c r="AP36" s="63" t="s">
        <v>1113</v>
      </c>
      <c r="AQ36" s="70"/>
      <c r="AR36" s="51" t="s">
        <v>64</v>
      </c>
      <c r="AS36" s="51" t="s">
        <v>95</v>
      </c>
      <c r="AT36" s="87" t="s">
        <v>1117</v>
      </c>
      <c r="CC36" s="65"/>
      <c r="CD36" s="65"/>
      <c r="CE36" s="65"/>
      <c r="CF36" s="65"/>
      <c r="CG36" s="65"/>
      <c r="CH36" s="65"/>
      <c r="CI36" s="65"/>
      <c r="CJ36" s="65"/>
      <c r="CK36" s="65"/>
      <c r="CL36" s="65"/>
      <c r="CM36" s="65"/>
      <c r="CN36" s="65"/>
      <c r="CO36" s="65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5"/>
      <c r="DA36" s="65"/>
      <c r="DB36" s="65"/>
      <c r="DC36" s="65"/>
      <c r="DD36" s="65"/>
      <c r="DE36" s="65"/>
      <c r="DF36" s="65"/>
      <c r="DG36" s="65"/>
      <c r="DH36" s="65"/>
      <c r="DI36" s="65"/>
      <c r="DJ36" s="65"/>
      <c r="DK36" s="65"/>
      <c r="DL36" s="65"/>
      <c r="DM36" s="65"/>
      <c r="DN36" s="65"/>
      <c r="DO36" s="65"/>
      <c r="DP36" s="65"/>
      <c r="DQ36" s="65"/>
      <c r="DR36" s="65"/>
      <c r="DS36" s="65"/>
      <c r="DT36" s="65"/>
      <c r="DU36" s="65"/>
      <c r="DV36" s="65"/>
      <c r="DW36" s="65"/>
      <c r="DX36" s="65"/>
      <c r="DY36" s="65"/>
      <c r="DZ36" s="65"/>
      <c r="EA36" s="65"/>
      <c r="EB36" s="65"/>
      <c r="EC36" s="65"/>
      <c r="ED36" s="65"/>
      <c r="EE36" s="65"/>
      <c r="EF36" s="65"/>
      <c r="EG36" s="65"/>
      <c r="EH36" s="65"/>
      <c r="EI36" s="65"/>
      <c r="EJ36" s="65"/>
      <c r="EK36" s="65"/>
      <c r="EL36" s="65"/>
      <c r="EM36" s="65"/>
      <c r="EN36" s="65"/>
      <c r="EO36" s="65"/>
      <c r="EP36" s="65"/>
      <c r="EQ36" s="65"/>
      <c r="ER36" s="65"/>
      <c r="ES36" s="65"/>
      <c r="ET36" s="65"/>
      <c r="EU36" s="65"/>
      <c r="EV36" s="65"/>
      <c r="EW36" s="65"/>
      <c r="EX36" s="65"/>
      <c r="EY36" s="65"/>
      <c r="EZ36" s="65"/>
      <c r="FA36" s="65"/>
      <c r="FB36" s="65"/>
      <c r="FC36" s="65"/>
      <c r="FD36" s="65"/>
      <c r="FE36" s="65"/>
      <c r="FF36" s="65"/>
      <c r="FG36" s="65"/>
      <c r="FH36" s="65"/>
      <c r="FI36" s="65"/>
      <c r="FJ36" s="65"/>
      <c r="FK36" s="65"/>
      <c r="FL36" s="65"/>
      <c r="FM36" s="65"/>
      <c r="FN36" s="65"/>
      <c r="FO36" s="65"/>
      <c r="FP36" s="65"/>
      <c r="FQ36" s="65"/>
      <c r="FR36" s="65"/>
      <c r="FS36" s="65"/>
      <c r="FT36" s="65"/>
      <c r="FU36" s="65"/>
      <c r="FV36" s="65"/>
      <c r="FW36" s="65"/>
      <c r="FX36" s="65"/>
      <c r="FY36" s="65"/>
      <c r="FZ36" s="65"/>
      <c r="GA36" s="65"/>
      <c r="GB36" s="65"/>
      <c r="GC36" s="65"/>
      <c r="GD36" s="65"/>
      <c r="GE36" s="65"/>
      <c r="GF36" s="65"/>
      <c r="GG36" s="65"/>
      <c r="GH36" s="65"/>
      <c r="GI36" s="65"/>
      <c r="GJ36" s="65"/>
      <c r="GK36" s="65"/>
      <c r="GL36" s="65"/>
      <c r="GM36" s="65"/>
      <c r="GN36" s="65"/>
      <c r="GO36" s="65"/>
      <c r="GP36" s="65"/>
      <c r="GQ36" s="65"/>
      <c r="GR36" s="65"/>
      <c r="GS36" s="65"/>
      <c r="GT36" s="65"/>
      <c r="GU36" s="65"/>
      <c r="GV36" s="65"/>
      <c r="GW36" s="65"/>
      <c r="GX36" s="65"/>
      <c r="GY36" s="65"/>
      <c r="GZ36" s="65"/>
      <c r="HA36" s="65"/>
      <c r="HB36" s="65"/>
      <c r="HC36" s="65"/>
      <c r="HD36" s="65"/>
      <c r="HE36" s="65"/>
      <c r="HF36" s="65"/>
      <c r="HG36" s="65"/>
      <c r="HH36" s="65"/>
      <c r="HI36" s="65"/>
      <c r="HJ36" s="65"/>
      <c r="HK36" s="65"/>
      <c r="HL36" s="65"/>
      <c r="HM36" s="65"/>
      <c r="HN36" s="65"/>
      <c r="HO36" s="65"/>
      <c r="HP36" s="65"/>
      <c r="HQ36" s="65"/>
      <c r="HR36" s="65"/>
      <c r="HS36" s="65"/>
      <c r="HT36" s="65"/>
      <c r="HU36" s="65"/>
      <c r="HV36" s="65"/>
      <c r="HW36" s="65"/>
      <c r="HX36" s="65"/>
      <c r="HY36" s="65"/>
      <c r="HZ36" s="65"/>
      <c r="IA36" s="65"/>
      <c r="IB36" s="65"/>
      <c r="IC36" s="65"/>
      <c r="ID36" s="65"/>
      <c r="IE36" s="65"/>
      <c r="IF36" s="65"/>
      <c r="IG36" s="65"/>
      <c r="IH36" s="65"/>
      <c r="II36" s="65"/>
      <c r="IJ36" s="65"/>
      <c r="IK36" s="65"/>
      <c r="IL36" s="65"/>
      <c r="IM36" s="65"/>
      <c r="IN36" s="65"/>
      <c r="IO36" s="65"/>
      <c r="IP36" s="65"/>
      <c r="IQ36" s="65"/>
      <c r="IR36" s="65"/>
      <c r="IS36" s="65"/>
      <c r="IT36" s="65"/>
      <c r="IU36" s="65"/>
      <c r="IV36" s="65"/>
      <c r="IW36" s="65"/>
      <c r="IX36" s="65"/>
      <c r="IY36" s="65"/>
      <c r="IZ36" s="65"/>
      <c r="JA36" s="65"/>
      <c r="JB36" s="65"/>
      <c r="JC36" s="65"/>
      <c r="JD36" s="65"/>
      <c r="JE36" s="65"/>
      <c r="JF36" s="65"/>
      <c r="JG36" s="65"/>
      <c r="JH36" s="65"/>
      <c r="JI36" s="65"/>
      <c r="JJ36" s="65"/>
      <c r="JK36" s="65"/>
      <c r="JL36" s="65"/>
      <c r="JM36" s="65"/>
      <c r="JN36" s="65"/>
      <c r="JO36" s="65"/>
      <c r="JP36" s="65"/>
      <c r="JQ36" s="65"/>
      <c r="JR36" s="65"/>
      <c r="JS36" s="65"/>
      <c r="JT36" s="65"/>
      <c r="JU36" s="65"/>
      <c r="JV36" s="65"/>
      <c r="JW36" s="65"/>
      <c r="JX36" s="65"/>
      <c r="JY36" s="65"/>
      <c r="JZ36" s="65"/>
      <c r="KA36" s="65"/>
      <c r="KB36" s="65"/>
      <c r="KC36" s="65"/>
      <c r="KD36" s="65"/>
      <c r="KE36" s="65"/>
      <c r="KF36" s="65"/>
      <c r="KG36" s="65"/>
      <c r="KH36" s="65"/>
      <c r="KI36" s="65"/>
      <c r="KJ36" s="65"/>
      <c r="KK36" s="65"/>
      <c r="KL36" s="65"/>
      <c r="KM36" s="65"/>
      <c r="KN36" s="65"/>
      <c r="KO36" s="65"/>
      <c r="KP36" s="65"/>
      <c r="KQ36" s="65"/>
      <c r="KR36" s="65"/>
      <c r="KS36" s="65"/>
      <c r="KT36" s="65"/>
      <c r="KU36" s="65"/>
      <c r="KV36" s="65"/>
      <c r="KW36" s="65"/>
      <c r="KX36" s="65"/>
      <c r="KY36" s="65"/>
      <c r="KZ36" s="65"/>
      <c r="LA36" s="65"/>
      <c r="LB36" s="65"/>
      <c r="LC36" s="65"/>
      <c r="LD36" s="65"/>
      <c r="LE36" s="65"/>
      <c r="LF36" s="65"/>
      <c r="LG36" s="65"/>
      <c r="LH36" s="65"/>
      <c r="LI36" s="65"/>
      <c r="LJ36" s="65"/>
      <c r="LK36" s="65"/>
      <c r="LL36" s="65"/>
      <c r="LM36" s="65"/>
      <c r="LN36" s="65"/>
      <c r="LO36" s="65"/>
      <c r="LP36" s="65"/>
      <c r="LQ36" s="65"/>
      <c r="LR36" s="65"/>
      <c r="LS36" s="65"/>
    </row>
    <row r="37" spans="1:331" s="18" customFormat="1" ht="18.75" customHeight="1">
      <c r="A37" s="51">
        <v>26</v>
      </c>
      <c r="B37" s="275" t="str">
        <f>NIK!$B$119</f>
        <v>9919120071</v>
      </c>
      <c r="C37" s="53" t="s">
        <v>1118</v>
      </c>
      <c r="D37" s="433" t="s">
        <v>1071</v>
      </c>
      <c r="E37" s="51" t="s">
        <v>344</v>
      </c>
      <c r="F37" s="58">
        <v>43820</v>
      </c>
      <c r="G37" s="58">
        <v>43820</v>
      </c>
      <c r="H37" s="58"/>
      <c r="I37" s="58"/>
      <c r="J37" s="57">
        <f t="shared" ref="J37:J38" ca="1" si="18">DATEDIF(F37,$A$3,"Y")</f>
        <v>1</v>
      </c>
      <c r="K37" s="57">
        <f t="shared" ref="K37:K38" ca="1" si="19">DATEDIF(F37,$A$3,"YM")</f>
        <v>0</v>
      </c>
      <c r="L37" s="58"/>
      <c r="M37" s="58"/>
      <c r="N37" s="51" t="s">
        <v>76</v>
      </c>
      <c r="O37" s="51" t="s">
        <v>36</v>
      </c>
      <c r="P37" s="51" t="s">
        <v>41</v>
      </c>
      <c r="Q37" s="58">
        <v>34614</v>
      </c>
      <c r="R37" s="77">
        <f t="shared" ca="1" si="17"/>
        <v>26</v>
      </c>
      <c r="S37" s="77">
        <f t="shared" ca="1" si="11"/>
        <v>2</v>
      </c>
      <c r="T37" s="51" t="s">
        <v>130</v>
      </c>
      <c r="U37" s="51" t="s">
        <v>1119</v>
      </c>
      <c r="V37" s="51"/>
      <c r="W37" s="51" t="s">
        <v>59</v>
      </c>
      <c r="X37" s="51"/>
      <c r="Y37" s="51"/>
      <c r="Z37" s="51"/>
      <c r="AA37" s="51"/>
      <c r="AB37" s="51"/>
      <c r="AC37" s="51"/>
      <c r="AD37" s="51"/>
      <c r="AE37" s="51"/>
      <c r="AF37" s="249"/>
      <c r="AG37" s="249"/>
      <c r="AH37" s="249"/>
      <c r="AI37" s="70" t="s">
        <v>1120</v>
      </c>
      <c r="AJ37" s="60" t="s">
        <v>1121</v>
      </c>
      <c r="AK37" s="60" t="s">
        <v>1121</v>
      </c>
      <c r="AL37" s="60"/>
      <c r="AM37" s="51"/>
      <c r="AN37" s="51"/>
      <c r="AO37" s="70" t="s">
        <v>1122</v>
      </c>
      <c r="AP37" s="63" t="s">
        <v>1118</v>
      </c>
      <c r="AQ37" s="70"/>
      <c r="AR37" s="51" t="s">
        <v>64</v>
      </c>
      <c r="AS37" s="51" t="s">
        <v>95</v>
      </c>
      <c r="AT37" s="87" t="s">
        <v>1123</v>
      </c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65"/>
      <c r="CO37" s="65"/>
      <c r="CP37" s="65"/>
      <c r="CQ37" s="65"/>
      <c r="CR37" s="65"/>
      <c r="CS37" s="65"/>
      <c r="CT37" s="65"/>
      <c r="CU37" s="65"/>
      <c r="CV37" s="65"/>
      <c r="CW37" s="65"/>
      <c r="CX37" s="65"/>
      <c r="CY37" s="65"/>
      <c r="CZ37" s="65"/>
      <c r="DA37" s="65"/>
      <c r="DB37" s="65"/>
      <c r="DC37" s="65"/>
      <c r="DD37" s="65"/>
      <c r="DE37" s="65"/>
      <c r="DF37" s="65"/>
      <c r="DG37" s="65"/>
      <c r="DH37" s="65"/>
      <c r="DI37" s="65"/>
      <c r="DJ37" s="65"/>
      <c r="DK37" s="65"/>
      <c r="DL37" s="65"/>
      <c r="DM37" s="65"/>
      <c r="DN37" s="65"/>
      <c r="DO37" s="65"/>
      <c r="DP37" s="65"/>
      <c r="DQ37" s="65"/>
      <c r="DR37" s="65"/>
      <c r="DS37" s="65"/>
      <c r="DT37" s="65"/>
      <c r="DU37" s="65"/>
      <c r="DV37" s="65"/>
      <c r="DW37" s="65"/>
      <c r="DX37" s="65"/>
      <c r="DY37" s="65"/>
      <c r="DZ37" s="65"/>
      <c r="EA37" s="65"/>
      <c r="EB37" s="65"/>
      <c r="EC37" s="65"/>
      <c r="ED37" s="65"/>
      <c r="EE37" s="65"/>
      <c r="EF37" s="65"/>
      <c r="EG37" s="65"/>
      <c r="EH37" s="65"/>
      <c r="EI37" s="65"/>
      <c r="EJ37" s="65"/>
      <c r="EK37" s="65"/>
      <c r="EL37" s="65"/>
      <c r="EM37" s="65"/>
      <c r="EN37" s="65"/>
      <c r="EO37" s="65"/>
      <c r="EP37" s="65"/>
      <c r="EQ37" s="65"/>
      <c r="ER37" s="65"/>
      <c r="ES37" s="65"/>
      <c r="ET37" s="65"/>
      <c r="EU37" s="65"/>
      <c r="EV37" s="65"/>
      <c r="EW37" s="65"/>
      <c r="EX37" s="65"/>
      <c r="EY37" s="65"/>
      <c r="EZ37" s="65"/>
      <c r="FA37" s="65"/>
      <c r="FB37" s="65"/>
      <c r="FC37" s="65"/>
      <c r="FD37" s="65"/>
      <c r="FE37" s="65"/>
      <c r="FF37" s="65"/>
      <c r="FG37" s="65"/>
      <c r="FH37" s="65"/>
      <c r="FI37" s="65"/>
      <c r="FJ37" s="65"/>
      <c r="FK37" s="65"/>
      <c r="FL37" s="65"/>
      <c r="FM37" s="65"/>
      <c r="FN37" s="65"/>
      <c r="FO37" s="65"/>
      <c r="FP37" s="65"/>
      <c r="FQ37" s="65"/>
      <c r="FR37" s="65"/>
      <c r="FS37" s="65"/>
      <c r="FT37" s="65"/>
      <c r="FU37" s="65"/>
      <c r="FV37" s="65"/>
      <c r="FW37" s="65"/>
      <c r="FX37" s="65"/>
      <c r="FY37" s="65"/>
      <c r="FZ37" s="65"/>
      <c r="GA37" s="65"/>
      <c r="GB37" s="65"/>
      <c r="GC37" s="65"/>
      <c r="GD37" s="65"/>
      <c r="GE37" s="65"/>
      <c r="GF37" s="65"/>
      <c r="GG37" s="65"/>
      <c r="GH37" s="65"/>
      <c r="GI37" s="65"/>
      <c r="GJ37" s="65"/>
      <c r="GK37" s="65"/>
      <c r="GL37" s="65"/>
      <c r="GM37" s="65"/>
      <c r="GN37" s="65"/>
      <c r="GO37" s="65"/>
      <c r="GP37" s="65"/>
      <c r="GQ37" s="65"/>
      <c r="GR37" s="65"/>
      <c r="GS37" s="65"/>
      <c r="GT37" s="65"/>
      <c r="GU37" s="65"/>
      <c r="GV37" s="65"/>
      <c r="GW37" s="65"/>
      <c r="GX37" s="65"/>
      <c r="GY37" s="65"/>
      <c r="GZ37" s="65"/>
      <c r="HA37" s="65"/>
      <c r="HB37" s="65"/>
      <c r="HC37" s="65"/>
      <c r="HD37" s="65"/>
      <c r="HE37" s="65"/>
      <c r="HF37" s="65"/>
      <c r="HG37" s="65"/>
      <c r="HH37" s="65"/>
      <c r="HI37" s="65"/>
      <c r="HJ37" s="65"/>
      <c r="HK37" s="65"/>
      <c r="HL37" s="65"/>
      <c r="HM37" s="65"/>
      <c r="HN37" s="65"/>
      <c r="HO37" s="65"/>
      <c r="HP37" s="65"/>
      <c r="HQ37" s="65"/>
      <c r="HR37" s="65"/>
      <c r="HS37" s="65"/>
      <c r="HT37" s="65"/>
      <c r="HU37" s="65"/>
      <c r="HV37" s="65"/>
      <c r="HW37" s="65"/>
      <c r="HX37" s="65"/>
      <c r="HY37" s="65"/>
      <c r="HZ37" s="65"/>
      <c r="IA37" s="65"/>
      <c r="IB37" s="65"/>
      <c r="IC37" s="65"/>
      <c r="ID37" s="65"/>
      <c r="IE37" s="65"/>
      <c r="IF37" s="65"/>
      <c r="IG37" s="65"/>
      <c r="IH37" s="65"/>
      <c r="II37" s="65"/>
      <c r="IJ37" s="65"/>
      <c r="IK37" s="65"/>
      <c r="IL37" s="65"/>
      <c r="IM37" s="65"/>
      <c r="IN37" s="65"/>
      <c r="IO37" s="65"/>
      <c r="IP37" s="65"/>
      <c r="IQ37" s="65"/>
      <c r="IR37" s="65"/>
      <c r="IS37" s="65"/>
      <c r="IT37" s="65"/>
      <c r="IU37" s="65"/>
      <c r="IV37" s="65"/>
      <c r="IW37" s="65"/>
      <c r="IX37" s="65"/>
      <c r="IY37" s="65"/>
      <c r="IZ37" s="65"/>
      <c r="JA37" s="65"/>
      <c r="JB37" s="65"/>
      <c r="JC37" s="65"/>
      <c r="JD37" s="65"/>
      <c r="JE37" s="65"/>
      <c r="JF37" s="65"/>
      <c r="JG37" s="65"/>
      <c r="JH37" s="65"/>
      <c r="JI37" s="65"/>
      <c r="JJ37" s="65"/>
      <c r="JK37" s="65"/>
      <c r="JL37" s="65"/>
      <c r="JM37" s="65"/>
      <c r="JN37" s="65"/>
      <c r="JO37" s="65"/>
      <c r="JP37" s="65"/>
      <c r="JQ37" s="65"/>
      <c r="JR37" s="65"/>
      <c r="JS37" s="65"/>
      <c r="JT37" s="65"/>
      <c r="JU37" s="65"/>
      <c r="JV37" s="65"/>
      <c r="JW37" s="65"/>
      <c r="JX37" s="65"/>
      <c r="JY37" s="65"/>
      <c r="JZ37" s="65"/>
      <c r="KA37" s="65"/>
      <c r="KB37" s="65"/>
      <c r="KC37" s="65"/>
      <c r="KD37" s="65"/>
      <c r="KE37" s="65"/>
      <c r="KF37" s="65"/>
      <c r="KG37" s="65"/>
      <c r="KH37" s="65"/>
      <c r="KI37" s="65"/>
      <c r="KJ37" s="65"/>
      <c r="KK37" s="65"/>
      <c r="KL37" s="65"/>
      <c r="KM37" s="65"/>
      <c r="KN37" s="65"/>
      <c r="KO37" s="65"/>
      <c r="KP37" s="65"/>
      <c r="KQ37" s="65"/>
      <c r="KR37" s="65"/>
      <c r="KS37" s="65"/>
      <c r="KT37" s="65"/>
      <c r="KU37" s="65"/>
      <c r="KV37" s="65"/>
      <c r="KW37" s="65"/>
      <c r="KX37" s="65"/>
      <c r="KY37" s="65"/>
      <c r="KZ37" s="65"/>
      <c r="LA37" s="65"/>
      <c r="LB37" s="65"/>
      <c r="LC37" s="65"/>
      <c r="LD37" s="65"/>
      <c r="LE37" s="65"/>
      <c r="LF37" s="65"/>
      <c r="LG37" s="65"/>
      <c r="LH37" s="65"/>
      <c r="LI37" s="65"/>
      <c r="LJ37" s="65"/>
      <c r="LK37" s="65"/>
      <c r="LL37" s="65"/>
      <c r="LM37" s="65"/>
      <c r="LN37" s="65"/>
      <c r="LO37" s="65"/>
      <c r="LP37" s="65"/>
      <c r="LQ37" s="65"/>
      <c r="LR37" s="65"/>
      <c r="LS37" s="65"/>
    </row>
    <row r="38" spans="1:331" s="18" customFormat="1" ht="18.75" customHeight="1">
      <c r="A38" s="51">
        <v>27</v>
      </c>
      <c r="B38" s="275" t="str">
        <f>NIK!$B$120</f>
        <v>9919120072</v>
      </c>
      <c r="C38" s="53" t="s">
        <v>1128</v>
      </c>
      <c r="D38" s="433" t="s">
        <v>446</v>
      </c>
      <c r="E38" s="51" t="s">
        <v>344</v>
      </c>
      <c r="F38" s="58">
        <v>43823</v>
      </c>
      <c r="G38" s="58">
        <v>43823</v>
      </c>
      <c r="H38" s="58"/>
      <c r="I38" s="58"/>
      <c r="J38" s="57">
        <f t="shared" ca="1" si="18"/>
        <v>1</v>
      </c>
      <c r="K38" s="57">
        <f t="shared" ca="1" si="19"/>
        <v>0</v>
      </c>
      <c r="L38" s="58"/>
      <c r="M38" s="58"/>
      <c r="N38" s="51" t="s">
        <v>35</v>
      </c>
      <c r="O38" s="51" t="s">
        <v>36</v>
      </c>
      <c r="P38" s="51" t="s">
        <v>41</v>
      </c>
      <c r="Q38" s="58">
        <v>35506</v>
      </c>
      <c r="R38" s="77">
        <f t="shared" ca="1" si="17"/>
        <v>23</v>
      </c>
      <c r="S38" s="77">
        <f t="shared" ca="1" si="11"/>
        <v>9</v>
      </c>
      <c r="T38" s="51" t="s">
        <v>130</v>
      </c>
      <c r="U38" s="51" t="s">
        <v>161</v>
      </c>
      <c r="V38" s="51"/>
      <c r="W38" s="51" t="s">
        <v>59</v>
      </c>
      <c r="X38" s="51"/>
      <c r="Y38" s="51"/>
      <c r="Z38" s="51"/>
      <c r="AA38" s="51"/>
      <c r="AB38" s="51"/>
      <c r="AC38" s="51"/>
      <c r="AD38" s="51"/>
      <c r="AE38" s="51"/>
      <c r="AF38" s="249"/>
      <c r="AG38" s="249"/>
      <c r="AH38" s="249"/>
      <c r="AI38" s="70" t="s">
        <v>1129</v>
      </c>
      <c r="AJ38" s="60" t="s">
        <v>1130</v>
      </c>
      <c r="AK38" s="60" t="s">
        <v>1131</v>
      </c>
      <c r="AL38" s="60"/>
      <c r="AM38" s="51"/>
      <c r="AN38" s="51"/>
      <c r="AO38" s="70" t="s">
        <v>1132</v>
      </c>
      <c r="AP38" s="63" t="s">
        <v>1128</v>
      </c>
      <c r="AQ38" s="70"/>
      <c r="AR38" s="51" t="s">
        <v>64</v>
      </c>
      <c r="AS38" s="51" t="s">
        <v>95</v>
      </c>
      <c r="AT38" s="87" t="s">
        <v>1133</v>
      </c>
      <c r="CC38" s="65"/>
      <c r="CD38" s="65"/>
      <c r="CE38" s="65"/>
      <c r="CF38" s="65"/>
      <c r="CG38" s="65"/>
      <c r="CH38" s="65"/>
      <c r="CI38" s="65"/>
      <c r="CJ38" s="65"/>
      <c r="CK38" s="65"/>
      <c r="CL38" s="65"/>
      <c r="CM38" s="65"/>
      <c r="CN38" s="65"/>
      <c r="CO38" s="65"/>
      <c r="CP38" s="65"/>
      <c r="CQ38" s="65"/>
      <c r="CR38" s="65"/>
      <c r="CS38" s="65"/>
      <c r="CT38" s="65"/>
      <c r="CU38" s="65"/>
      <c r="CV38" s="65"/>
      <c r="CW38" s="65"/>
      <c r="CX38" s="65"/>
      <c r="CY38" s="65"/>
      <c r="CZ38" s="65"/>
      <c r="DA38" s="65"/>
      <c r="DB38" s="65"/>
      <c r="DC38" s="65"/>
      <c r="DD38" s="65"/>
      <c r="DE38" s="65"/>
      <c r="DF38" s="65"/>
      <c r="DG38" s="65"/>
      <c r="DH38" s="65"/>
      <c r="DI38" s="65"/>
      <c r="DJ38" s="65"/>
      <c r="DK38" s="65"/>
      <c r="DL38" s="65"/>
      <c r="DM38" s="65"/>
      <c r="DN38" s="65"/>
      <c r="DO38" s="65"/>
      <c r="DP38" s="65"/>
      <c r="DQ38" s="65"/>
      <c r="DR38" s="65"/>
      <c r="DS38" s="65"/>
      <c r="DT38" s="65"/>
      <c r="DU38" s="65"/>
      <c r="DV38" s="65"/>
      <c r="DW38" s="65"/>
      <c r="DX38" s="65"/>
      <c r="DY38" s="65"/>
      <c r="DZ38" s="65"/>
      <c r="EA38" s="65"/>
      <c r="EB38" s="65"/>
      <c r="EC38" s="65"/>
      <c r="ED38" s="65"/>
      <c r="EE38" s="65"/>
      <c r="EF38" s="65"/>
      <c r="EG38" s="65"/>
      <c r="EH38" s="65"/>
      <c r="EI38" s="65"/>
      <c r="EJ38" s="65"/>
      <c r="EK38" s="65"/>
      <c r="EL38" s="65"/>
      <c r="EM38" s="65"/>
      <c r="EN38" s="65"/>
      <c r="EO38" s="65"/>
      <c r="EP38" s="65"/>
      <c r="EQ38" s="65"/>
      <c r="ER38" s="65"/>
      <c r="ES38" s="65"/>
      <c r="ET38" s="65"/>
      <c r="EU38" s="65"/>
      <c r="EV38" s="65"/>
      <c r="EW38" s="65"/>
      <c r="EX38" s="65"/>
      <c r="EY38" s="65"/>
      <c r="EZ38" s="65"/>
      <c r="FA38" s="65"/>
      <c r="FB38" s="65"/>
      <c r="FC38" s="65"/>
      <c r="FD38" s="65"/>
      <c r="FE38" s="65"/>
      <c r="FF38" s="65"/>
      <c r="FG38" s="65"/>
      <c r="FH38" s="65"/>
      <c r="FI38" s="65"/>
      <c r="FJ38" s="65"/>
      <c r="FK38" s="65"/>
      <c r="FL38" s="65"/>
      <c r="FM38" s="65"/>
      <c r="FN38" s="65"/>
      <c r="FO38" s="65"/>
      <c r="FP38" s="65"/>
      <c r="FQ38" s="65"/>
      <c r="FR38" s="65"/>
      <c r="FS38" s="65"/>
      <c r="FT38" s="65"/>
      <c r="FU38" s="65"/>
      <c r="FV38" s="65"/>
      <c r="FW38" s="65"/>
      <c r="FX38" s="65"/>
      <c r="FY38" s="65"/>
      <c r="FZ38" s="65"/>
      <c r="GA38" s="65"/>
      <c r="GB38" s="65"/>
      <c r="GC38" s="65"/>
      <c r="GD38" s="65"/>
      <c r="GE38" s="65"/>
      <c r="GF38" s="65"/>
      <c r="GG38" s="65"/>
      <c r="GH38" s="65"/>
      <c r="GI38" s="65"/>
      <c r="GJ38" s="65"/>
      <c r="GK38" s="65"/>
      <c r="GL38" s="65"/>
      <c r="GM38" s="65"/>
      <c r="GN38" s="65"/>
      <c r="GO38" s="65"/>
      <c r="GP38" s="65"/>
      <c r="GQ38" s="65"/>
      <c r="GR38" s="65"/>
      <c r="GS38" s="65"/>
      <c r="GT38" s="65"/>
      <c r="GU38" s="65"/>
      <c r="GV38" s="65"/>
      <c r="GW38" s="65"/>
      <c r="GX38" s="65"/>
      <c r="GY38" s="65"/>
      <c r="GZ38" s="65"/>
      <c r="HA38" s="65"/>
      <c r="HB38" s="65"/>
      <c r="HC38" s="65"/>
      <c r="HD38" s="65"/>
      <c r="HE38" s="65"/>
      <c r="HF38" s="65"/>
      <c r="HG38" s="65"/>
      <c r="HH38" s="65"/>
      <c r="HI38" s="65"/>
      <c r="HJ38" s="65"/>
      <c r="HK38" s="65"/>
      <c r="HL38" s="65"/>
      <c r="HM38" s="65"/>
      <c r="HN38" s="65"/>
      <c r="HO38" s="65"/>
      <c r="HP38" s="65"/>
      <c r="HQ38" s="65"/>
      <c r="HR38" s="65"/>
      <c r="HS38" s="65"/>
      <c r="HT38" s="65"/>
      <c r="HU38" s="65"/>
      <c r="HV38" s="65"/>
      <c r="HW38" s="65"/>
      <c r="HX38" s="65"/>
      <c r="HY38" s="65"/>
      <c r="HZ38" s="65"/>
      <c r="IA38" s="65"/>
      <c r="IB38" s="65"/>
      <c r="IC38" s="65"/>
      <c r="ID38" s="65"/>
      <c r="IE38" s="65"/>
      <c r="IF38" s="65"/>
      <c r="IG38" s="65"/>
      <c r="IH38" s="65"/>
      <c r="II38" s="65"/>
      <c r="IJ38" s="65"/>
      <c r="IK38" s="65"/>
      <c r="IL38" s="65"/>
      <c r="IM38" s="65"/>
      <c r="IN38" s="65"/>
      <c r="IO38" s="65"/>
      <c r="IP38" s="65"/>
      <c r="IQ38" s="65"/>
      <c r="IR38" s="65"/>
      <c r="IS38" s="65"/>
      <c r="IT38" s="65"/>
      <c r="IU38" s="65"/>
      <c r="IV38" s="65"/>
      <c r="IW38" s="65"/>
      <c r="IX38" s="65"/>
      <c r="IY38" s="65"/>
      <c r="IZ38" s="65"/>
      <c r="JA38" s="65"/>
      <c r="JB38" s="65"/>
      <c r="JC38" s="65"/>
      <c r="JD38" s="65"/>
      <c r="JE38" s="65"/>
      <c r="JF38" s="65"/>
      <c r="JG38" s="65"/>
      <c r="JH38" s="65"/>
      <c r="JI38" s="65"/>
      <c r="JJ38" s="65"/>
      <c r="JK38" s="65"/>
      <c r="JL38" s="65"/>
      <c r="JM38" s="65"/>
      <c r="JN38" s="65"/>
      <c r="JO38" s="65"/>
      <c r="JP38" s="65"/>
      <c r="JQ38" s="65"/>
      <c r="JR38" s="65"/>
      <c r="JS38" s="65"/>
      <c r="JT38" s="65"/>
      <c r="JU38" s="65"/>
      <c r="JV38" s="65"/>
      <c r="JW38" s="65"/>
      <c r="JX38" s="65"/>
      <c r="JY38" s="65"/>
      <c r="JZ38" s="65"/>
      <c r="KA38" s="65"/>
      <c r="KB38" s="65"/>
      <c r="KC38" s="65"/>
      <c r="KD38" s="65"/>
      <c r="KE38" s="65"/>
      <c r="KF38" s="65"/>
      <c r="KG38" s="65"/>
      <c r="KH38" s="65"/>
      <c r="KI38" s="65"/>
      <c r="KJ38" s="65"/>
      <c r="KK38" s="65"/>
      <c r="KL38" s="65"/>
      <c r="KM38" s="65"/>
      <c r="KN38" s="65"/>
      <c r="KO38" s="65"/>
      <c r="KP38" s="65"/>
      <c r="KQ38" s="65"/>
      <c r="KR38" s="65"/>
      <c r="KS38" s="65"/>
      <c r="KT38" s="65"/>
      <c r="KU38" s="65"/>
      <c r="KV38" s="65"/>
      <c r="KW38" s="65"/>
      <c r="KX38" s="65"/>
      <c r="KY38" s="65"/>
      <c r="KZ38" s="65"/>
      <c r="LA38" s="65"/>
      <c r="LB38" s="65"/>
      <c r="LC38" s="65"/>
      <c r="LD38" s="65"/>
      <c r="LE38" s="65"/>
      <c r="LF38" s="65"/>
      <c r="LG38" s="65"/>
      <c r="LH38" s="65"/>
      <c r="LI38" s="65"/>
      <c r="LJ38" s="65"/>
      <c r="LK38" s="65"/>
      <c r="LL38" s="65"/>
      <c r="LM38" s="65"/>
      <c r="LN38" s="65"/>
      <c r="LO38" s="65"/>
      <c r="LP38" s="65"/>
      <c r="LQ38" s="65"/>
      <c r="LR38" s="65"/>
      <c r="LS38" s="65"/>
    </row>
    <row r="39" spans="1:331" s="18" customFormat="1" ht="18.75" customHeight="1">
      <c r="A39" s="51">
        <v>28</v>
      </c>
      <c r="B39" s="275" t="str">
        <f>NIK!B121</f>
        <v>9919120073</v>
      </c>
      <c r="C39" s="53" t="s">
        <v>1134</v>
      </c>
      <c r="D39" s="433" t="s">
        <v>502</v>
      </c>
      <c r="E39" s="51" t="s">
        <v>344</v>
      </c>
      <c r="F39" s="58">
        <v>43823</v>
      </c>
      <c r="G39" s="58">
        <v>43823</v>
      </c>
      <c r="H39" s="58"/>
      <c r="I39" s="58"/>
      <c r="J39" s="57">
        <f t="shared" ref="J39" ca="1" si="20">DATEDIF(F39,$A$3,"Y")</f>
        <v>1</v>
      </c>
      <c r="K39" s="57">
        <f t="shared" ref="K39" ca="1" si="21">DATEDIF(F39,$A$3,"YM")</f>
        <v>0</v>
      </c>
      <c r="L39" s="58"/>
      <c r="M39" s="58"/>
      <c r="N39" s="51" t="s">
        <v>35</v>
      </c>
      <c r="O39" s="51" t="s">
        <v>888</v>
      </c>
      <c r="P39" s="51" t="s">
        <v>41</v>
      </c>
      <c r="Q39" s="58">
        <v>35059</v>
      </c>
      <c r="R39" s="77">
        <f t="shared" ref="R39:R41" ca="1" si="22">DATEDIF(Q39,$A$3,"Y")</f>
        <v>25</v>
      </c>
      <c r="S39" s="77">
        <f t="shared" ref="S39:S41" ca="1" si="23">DATEDIF(Q39,$A$3,"YM")</f>
        <v>0</v>
      </c>
      <c r="T39" s="51" t="s">
        <v>130</v>
      </c>
      <c r="U39" s="51" t="s">
        <v>1135</v>
      </c>
      <c r="V39" s="51"/>
      <c r="W39" s="51" t="s">
        <v>59</v>
      </c>
      <c r="X39" s="51"/>
      <c r="Y39" s="51"/>
      <c r="Z39" s="51"/>
      <c r="AA39" s="51"/>
      <c r="AB39" s="51"/>
      <c r="AC39" s="51"/>
      <c r="AD39" s="51"/>
      <c r="AE39" s="51"/>
      <c r="AF39" s="249"/>
      <c r="AG39" s="249"/>
      <c r="AH39" s="249"/>
      <c r="AI39" s="70" t="s">
        <v>1136</v>
      </c>
      <c r="AJ39" s="60" t="s">
        <v>1137</v>
      </c>
      <c r="AK39" s="60" t="s">
        <v>1137</v>
      </c>
      <c r="AL39" s="60"/>
      <c r="AM39" s="51"/>
      <c r="AN39" s="51"/>
      <c r="AO39" s="70" t="s">
        <v>1138</v>
      </c>
      <c r="AP39" s="63" t="s">
        <v>1134</v>
      </c>
      <c r="AQ39" s="70"/>
      <c r="AR39" s="51" t="s">
        <v>64</v>
      </c>
      <c r="AS39" s="51" t="s">
        <v>95</v>
      </c>
      <c r="AT39" s="87" t="s">
        <v>1139</v>
      </c>
      <c r="CC39" s="65"/>
      <c r="CD39" s="65"/>
      <c r="CE39" s="65"/>
      <c r="CF39" s="65"/>
      <c r="CG39" s="65"/>
      <c r="CH39" s="65"/>
      <c r="CI39" s="65"/>
      <c r="CJ39" s="65"/>
      <c r="CK39" s="65"/>
      <c r="CL39" s="65"/>
      <c r="CM39" s="65"/>
      <c r="CN39" s="65"/>
      <c r="CO39" s="65"/>
      <c r="CP39" s="65"/>
      <c r="CQ39" s="65"/>
      <c r="CR39" s="65"/>
      <c r="CS39" s="65"/>
      <c r="CT39" s="65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5"/>
      <c r="DJ39" s="65"/>
      <c r="DK39" s="65"/>
      <c r="DL39" s="65"/>
      <c r="DM39" s="65"/>
      <c r="DN39" s="65"/>
      <c r="DO39" s="65"/>
      <c r="DP39" s="65"/>
      <c r="DQ39" s="65"/>
      <c r="DR39" s="65"/>
      <c r="DS39" s="65"/>
      <c r="DT39" s="65"/>
      <c r="DU39" s="65"/>
      <c r="DV39" s="65"/>
      <c r="DW39" s="65"/>
      <c r="DX39" s="65"/>
      <c r="DY39" s="65"/>
      <c r="DZ39" s="65"/>
      <c r="EA39" s="65"/>
      <c r="EB39" s="65"/>
      <c r="EC39" s="65"/>
      <c r="ED39" s="65"/>
      <c r="EE39" s="65"/>
      <c r="EF39" s="65"/>
      <c r="EG39" s="65"/>
      <c r="EH39" s="65"/>
      <c r="EI39" s="65"/>
      <c r="EJ39" s="65"/>
      <c r="EK39" s="65"/>
      <c r="EL39" s="65"/>
      <c r="EM39" s="65"/>
      <c r="EN39" s="65"/>
      <c r="EO39" s="65"/>
      <c r="EP39" s="65"/>
      <c r="EQ39" s="65"/>
      <c r="ER39" s="65"/>
      <c r="ES39" s="65"/>
      <c r="ET39" s="65"/>
      <c r="EU39" s="65"/>
      <c r="EV39" s="65"/>
      <c r="EW39" s="65"/>
      <c r="EX39" s="65"/>
      <c r="EY39" s="65"/>
      <c r="EZ39" s="65"/>
      <c r="FA39" s="65"/>
      <c r="FB39" s="65"/>
      <c r="FC39" s="65"/>
      <c r="FD39" s="65"/>
      <c r="FE39" s="65"/>
      <c r="FF39" s="65"/>
      <c r="FG39" s="65"/>
      <c r="FH39" s="65"/>
      <c r="FI39" s="65"/>
      <c r="FJ39" s="65"/>
      <c r="FK39" s="65"/>
      <c r="FL39" s="65"/>
      <c r="FM39" s="65"/>
      <c r="FN39" s="65"/>
      <c r="FO39" s="65"/>
      <c r="FP39" s="65"/>
      <c r="FQ39" s="65"/>
      <c r="FR39" s="65"/>
      <c r="FS39" s="65"/>
      <c r="FT39" s="65"/>
      <c r="FU39" s="65"/>
      <c r="FV39" s="65"/>
      <c r="FW39" s="65"/>
      <c r="FX39" s="65"/>
      <c r="FY39" s="65"/>
      <c r="FZ39" s="65"/>
      <c r="GA39" s="65"/>
      <c r="GB39" s="65"/>
      <c r="GC39" s="65"/>
      <c r="GD39" s="65"/>
      <c r="GE39" s="65"/>
      <c r="GF39" s="65"/>
      <c r="GG39" s="65"/>
      <c r="GH39" s="65"/>
      <c r="GI39" s="65"/>
      <c r="GJ39" s="65"/>
      <c r="GK39" s="65"/>
      <c r="GL39" s="65"/>
      <c r="GM39" s="65"/>
      <c r="GN39" s="65"/>
      <c r="GO39" s="65"/>
      <c r="GP39" s="65"/>
      <c r="GQ39" s="65"/>
      <c r="GR39" s="65"/>
      <c r="GS39" s="65"/>
      <c r="GT39" s="65"/>
      <c r="GU39" s="65"/>
      <c r="GV39" s="65"/>
      <c r="GW39" s="65"/>
      <c r="GX39" s="65"/>
      <c r="GY39" s="65"/>
      <c r="GZ39" s="65"/>
      <c r="HA39" s="65"/>
      <c r="HB39" s="65"/>
      <c r="HC39" s="65"/>
      <c r="HD39" s="65"/>
      <c r="HE39" s="65"/>
      <c r="HF39" s="65"/>
      <c r="HG39" s="65"/>
      <c r="HH39" s="65"/>
      <c r="HI39" s="65"/>
      <c r="HJ39" s="65"/>
      <c r="HK39" s="65"/>
      <c r="HL39" s="65"/>
      <c r="HM39" s="65"/>
      <c r="HN39" s="65"/>
      <c r="HO39" s="65"/>
      <c r="HP39" s="65"/>
      <c r="HQ39" s="65"/>
      <c r="HR39" s="65"/>
      <c r="HS39" s="65"/>
      <c r="HT39" s="65"/>
      <c r="HU39" s="65"/>
      <c r="HV39" s="65"/>
      <c r="HW39" s="65"/>
      <c r="HX39" s="65"/>
      <c r="HY39" s="65"/>
      <c r="HZ39" s="65"/>
      <c r="IA39" s="65"/>
      <c r="IB39" s="65"/>
      <c r="IC39" s="65"/>
      <c r="ID39" s="65"/>
      <c r="IE39" s="65"/>
      <c r="IF39" s="65"/>
      <c r="IG39" s="65"/>
      <c r="IH39" s="65"/>
      <c r="II39" s="65"/>
      <c r="IJ39" s="65"/>
      <c r="IK39" s="65"/>
      <c r="IL39" s="65"/>
      <c r="IM39" s="65"/>
      <c r="IN39" s="65"/>
      <c r="IO39" s="65"/>
      <c r="IP39" s="65"/>
      <c r="IQ39" s="65"/>
      <c r="IR39" s="65"/>
      <c r="IS39" s="65"/>
      <c r="IT39" s="65"/>
      <c r="IU39" s="65"/>
      <c r="IV39" s="65"/>
      <c r="IW39" s="65"/>
      <c r="IX39" s="65"/>
      <c r="IY39" s="65"/>
      <c r="IZ39" s="65"/>
      <c r="JA39" s="65"/>
      <c r="JB39" s="65"/>
      <c r="JC39" s="65"/>
      <c r="JD39" s="65"/>
      <c r="JE39" s="65"/>
      <c r="JF39" s="65"/>
      <c r="JG39" s="65"/>
      <c r="JH39" s="65"/>
      <c r="JI39" s="65"/>
      <c r="JJ39" s="65"/>
      <c r="JK39" s="65"/>
      <c r="JL39" s="65"/>
      <c r="JM39" s="65"/>
      <c r="JN39" s="65"/>
      <c r="JO39" s="65"/>
      <c r="JP39" s="65"/>
      <c r="JQ39" s="65"/>
      <c r="JR39" s="65"/>
      <c r="JS39" s="65"/>
      <c r="JT39" s="65"/>
      <c r="JU39" s="65"/>
      <c r="JV39" s="65"/>
      <c r="JW39" s="65"/>
      <c r="JX39" s="65"/>
      <c r="JY39" s="65"/>
      <c r="JZ39" s="65"/>
      <c r="KA39" s="65"/>
      <c r="KB39" s="65"/>
      <c r="KC39" s="65"/>
      <c r="KD39" s="65"/>
      <c r="KE39" s="65"/>
      <c r="KF39" s="65"/>
      <c r="KG39" s="65"/>
      <c r="KH39" s="65"/>
      <c r="KI39" s="65"/>
      <c r="KJ39" s="65"/>
      <c r="KK39" s="65"/>
      <c r="KL39" s="65"/>
      <c r="KM39" s="65"/>
      <c r="KN39" s="65"/>
      <c r="KO39" s="65"/>
      <c r="KP39" s="65"/>
      <c r="KQ39" s="65"/>
      <c r="KR39" s="65"/>
      <c r="KS39" s="65"/>
      <c r="KT39" s="65"/>
      <c r="KU39" s="65"/>
      <c r="KV39" s="65"/>
      <c r="KW39" s="65"/>
      <c r="KX39" s="65"/>
      <c r="KY39" s="65"/>
      <c r="KZ39" s="65"/>
      <c r="LA39" s="65"/>
      <c r="LB39" s="65"/>
      <c r="LC39" s="65"/>
      <c r="LD39" s="65"/>
      <c r="LE39" s="65"/>
      <c r="LF39" s="65"/>
      <c r="LG39" s="65"/>
      <c r="LH39" s="65"/>
      <c r="LI39" s="65"/>
      <c r="LJ39" s="65"/>
      <c r="LK39" s="65"/>
      <c r="LL39" s="65"/>
      <c r="LM39" s="65"/>
      <c r="LN39" s="65"/>
      <c r="LO39" s="65"/>
      <c r="LP39" s="65"/>
      <c r="LQ39" s="65"/>
      <c r="LR39" s="65"/>
      <c r="LS39" s="65"/>
    </row>
    <row r="40" spans="1:331" s="18" customFormat="1" ht="18.75" customHeight="1">
      <c r="A40" s="51">
        <v>29</v>
      </c>
      <c r="B40" s="275" t="str">
        <f>NIK!B122</f>
        <v>9919120074</v>
      </c>
      <c r="C40" s="53" t="s">
        <v>1140</v>
      </c>
      <c r="D40" s="433" t="s">
        <v>209</v>
      </c>
      <c r="E40" s="51" t="s">
        <v>344</v>
      </c>
      <c r="F40" s="58">
        <v>43823</v>
      </c>
      <c r="G40" s="58">
        <v>43823</v>
      </c>
      <c r="H40" s="58"/>
      <c r="I40" s="58"/>
      <c r="J40" s="57">
        <f t="shared" ref="J40" ca="1" si="24">DATEDIF(F40,$A$3,"Y")</f>
        <v>1</v>
      </c>
      <c r="K40" s="57">
        <f t="shared" ref="K40" ca="1" si="25">DATEDIF(F40,$A$3,"YM")</f>
        <v>0</v>
      </c>
      <c r="L40" s="58"/>
      <c r="M40" s="58"/>
      <c r="N40" s="51" t="s">
        <v>35</v>
      </c>
      <c r="O40" s="51" t="s">
        <v>36</v>
      </c>
      <c r="P40" s="51" t="s">
        <v>41</v>
      </c>
      <c r="Q40" s="58">
        <v>27623</v>
      </c>
      <c r="R40" s="77">
        <f t="shared" ca="1" si="22"/>
        <v>45</v>
      </c>
      <c r="S40" s="77">
        <f t="shared" ca="1" si="23"/>
        <v>4</v>
      </c>
      <c r="T40" s="51" t="s">
        <v>68</v>
      </c>
      <c r="U40" s="51" t="s">
        <v>1141</v>
      </c>
      <c r="V40" s="51" t="s">
        <v>105</v>
      </c>
      <c r="W40" s="51" t="s">
        <v>59</v>
      </c>
      <c r="X40" s="51"/>
      <c r="Y40" s="51"/>
      <c r="Z40" s="51"/>
      <c r="AA40" s="51"/>
      <c r="AB40" s="51"/>
      <c r="AC40" s="51"/>
      <c r="AD40" s="51"/>
      <c r="AE40" s="51"/>
      <c r="AF40" s="249"/>
      <c r="AG40" s="249"/>
      <c r="AH40" s="249"/>
      <c r="AI40" s="70" t="s">
        <v>1142</v>
      </c>
      <c r="AJ40" s="60" t="s">
        <v>1143</v>
      </c>
      <c r="AK40" s="60" t="s">
        <v>1143</v>
      </c>
      <c r="AL40" s="60"/>
      <c r="AM40" s="51"/>
      <c r="AN40" s="51"/>
      <c r="AO40" s="70" t="s">
        <v>1144</v>
      </c>
      <c r="AP40" s="63" t="s">
        <v>1140</v>
      </c>
      <c r="AQ40" s="70"/>
      <c r="AR40" s="51" t="s">
        <v>64</v>
      </c>
      <c r="AS40" s="51" t="s">
        <v>95</v>
      </c>
      <c r="AT40" s="87"/>
      <c r="CC40" s="65"/>
      <c r="CD40" s="65"/>
      <c r="CE40" s="65"/>
      <c r="CF40" s="65"/>
      <c r="CG40" s="65"/>
      <c r="CH40" s="65"/>
      <c r="CI40" s="65"/>
      <c r="CJ40" s="65"/>
      <c r="CK40" s="65"/>
      <c r="CL40" s="65"/>
      <c r="CM40" s="65"/>
      <c r="CN40" s="65"/>
      <c r="CO40" s="65"/>
      <c r="CP40" s="65"/>
      <c r="CQ40" s="65"/>
      <c r="CR40" s="65"/>
      <c r="CS40" s="65"/>
      <c r="CT40" s="65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65"/>
      <c r="DH40" s="65"/>
      <c r="DI40" s="65"/>
      <c r="DJ40" s="65"/>
      <c r="DK40" s="65"/>
      <c r="DL40" s="65"/>
      <c r="DM40" s="65"/>
      <c r="DN40" s="65"/>
      <c r="DO40" s="65"/>
      <c r="DP40" s="65"/>
      <c r="DQ40" s="65"/>
      <c r="DR40" s="65"/>
      <c r="DS40" s="65"/>
      <c r="DT40" s="65"/>
      <c r="DU40" s="65"/>
      <c r="DV40" s="65"/>
      <c r="DW40" s="65"/>
      <c r="DX40" s="65"/>
      <c r="DY40" s="65"/>
      <c r="DZ40" s="65"/>
      <c r="EA40" s="65"/>
      <c r="EB40" s="65"/>
      <c r="EC40" s="65"/>
      <c r="ED40" s="65"/>
      <c r="EE40" s="65"/>
      <c r="EF40" s="65"/>
      <c r="EG40" s="65"/>
      <c r="EH40" s="65"/>
      <c r="EI40" s="65"/>
      <c r="EJ40" s="65"/>
      <c r="EK40" s="65"/>
      <c r="EL40" s="65"/>
      <c r="EM40" s="65"/>
      <c r="EN40" s="65"/>
      <c r="EO40" s="65"/>
      <c r="EP40" s="65"/>
      <c r="EQ40" s="65"/>
      <c r="ER40" s="65"/>
      <c r="ES40" s="65"/>
      <c r="ET40" s="65"/>
      <c r="EU40" s="65"/>
      <c r="EV40" s="65"/>
      <c r="EW40" s="65"/>
      <c r="EX40" s="65"/>
      <c r="EY40" s="65"/>
      <c r="EZ40" s="65"/>
      <c r="FA40" s="65"/>
      <c r="FB40" s="65"/>
      <c r="FC40" s="65"/>
      <c r="FD40" s="65"/>
      <c r="FE40" s="65"/>
      <c r="FF40" s="65"/>
      <c r="FG40" s="65"/>
      <c r="FH40" s="65"/>
      <c r="FI40" s="65"/>
      <c r="FJ40" s="65"/>
      <c r="FK40" s="65"/>
      <c r="FL40" s="65"/>
      <c r="FM40" s="65"/>
      <c r="FN40" s="65"/>
      <c r="FO40" s="65"/>
      <c r="FP40" s="65"/>
      <c r="FQ40" s="65"/>
      <c r="FR40" s="65"/>
      <c r="FS40" s="65"/>
      <c r="FT40" s="65"/>
      <c r="FU40" s="65"/>
      <c r="FV40" s="65"/>
      <c r="FW40" s="65"/>
      <c r="FX40" s="65"/>
      <c r="FY40" s="65"/>
      <c r="FZ40" s="65"/>
      <c r="GA40" s="65"/>
      <c r="GB40" s="65"/>
      <c r="GC40" s="65"/>
      <c r="GD40" s="65"/>
      <c r="GE40" s="65"/>
      <c r="GF40" s="65"/>
      <c r="GG40" s="65"/>
      <c r="GH40" s="65"/>
      <c r="GI40" s="65"/>
      <c r="GJ40" s="65"/>
      <c r="GK40" s="65"/>
      <c r="GL40" s="65"/>
      <c r="GM40" s="65"/>
      <c r="GN40" s="65"/>
      <c r="GO40" s="65"/>
      <c r="GP40" s="65"/>
      <c r="GQ40" s="65"/>
      <c r="GR40" s="65"/>
      <c r="GS40" s="65"/>
      <c r="GT40" s="65"/>
      <c r="GU40" s="65"/>
      <c r="GV40" s="65"/>
      <c r="GW40" s="65"/>
      <c r="GX40" s="65"/>
      <c r="GY40" s="65"/>
      <c r="GZ40" s="65"/>
      <c r="HA40" s="65"/>
      <c r="HB40" s="65"/>
      <c r="HC40" s="65"/>
      <c r="HD40" s="65"/>
      <c r="HE40" s="65"/>
      <c r="HF40" s="65"/>
      <c r="HG40" s="65"/>
      <c r="HH40" s="65"/>
      <c r="HI40" s="65"/>
      <c r="HJ40" s="65"/>
      <c r="HK40" s="65"/>
      <c r="HL40" s="65"/>
      <c r="HM40" s="65"/>
      <c r="HN40" s="65"/>
      <c r="HO40" s="65"/>
      <c r="HP40" s="65"/>
      <c r="HQ40" s="65"/>
      <c r="HR40" s="65"/>
      <c r="HS40" s="65"/>
      <c r="HT40" s="65"/>
      <c r="HU40" s="65"/>
      <c r="HV40" s="65"/>
      <c r="HW40" s="65"/>
      <c r="HX40" s="65"/>
      <c r="HY40" s="65"/>
      <c r="HZ40" s="65"/>
      <c r="IA40" s="65"/>
      <c r="IB40" s="65"/>
      <c r="IC40" s="65"/>
      <c r="ID40" s="65"/>
      <c r="IE40" s="65"/>
      <c r="IF40" s="65"/>
      <c r="IG40" s="65"/>
      <c r="IH40" s="65"/>
      <c r="II40" s="65"/>
      <c r="IJ40" s="65"/>
      <c r="IK40" s="65"/>
      <c r="IL40" s="65"/>
      <c r="IM40" s="65"/>
      <c r="IN40" s="65"/>
      <c r="IO40" s="65"/>
      <c r="IP40" s="65"/>
      <c r="IQ40" s="65"/>
      <c r="IR40" s="65"/>
      <c r="IS40" s="65"/>
      <c r="IT40" s="65"/>
      <c r="IU40" s="65"/>
      <c r="IV40" s="65"/>
      <c r="IW40" s="65"/>
      <c r="IX40" s="65"/>
      <c r="IY40" s="65"/>
      <c r="IZ40" s="65"/>
      <c r="JA40" s="65"/>
      <c r="JB40" s="65"/>
      <c r="JC40" s="65"/>
      <c r="JD40" s="65"/>
      <c r="JE40" s="65"/>
      <c r="JF40" s="65"/>
      <c r="JG40" s="65"/>
      <c r="JH40" s="65"/>
      <c r="JI40" s="65"/>
      <c r="JJ40" s="65"/>
      <c r="JK40" s="65"/>
      <c r="JL40" s="65"/>
      <c r="JM40" s="65"/>
      <c r="JN40" s="65"/>
      <c r="JO40" s="65"/>
      <c r="JP40" s="65"/>
      <c r="JQ40" s="65"/>
      <c r="JR40" s="65"/>
      <c r="JS40" s="65"/>
      <c r="JT40" s="65"/>
      <c r="JU40" s="65"/>
      <c r="JV40" s="65"/>
      <c r="JW40" s="65"/>
      <c r="JX40" s="65"/>
      <c r="JY40" s="65"/>
      <c r="JZ40" s="65"/>
      <c r="KA40" s="65"/>
      <c r="KB40" s="65"/>
      <c r="KC40" s="65"/>
      <c r="KD40" s="65"/>
      <c r="KE40" s="65"/>
      <c r="KF40" s="65"/>
      <c r="KG40" s="65"/>
      <c r="KH40" s="65"/>
      <c r="KI40" s="65"/>
      <c r="KJ40" s="65"/>
      <c r="KK40" s="65"/>
      <c r="KL40" s="65"/>
      <c r="KM40" s="65"/>
      <c r="KN40" s="65"/>
      <c r="KO40" s="65"/>
      <c r="KP40" s="65"/>
      <c r="KQ40" s="65"/>
      <c r="KR40" s="65"/>
      <c r="KS40" s="65"/>
      <c r="KT40" s="65"/>
      <c r="KU40" s="65"/>
      <c r="KV40" s="65"/>
      <c r="KW40" s="65"/>
      <c r="KX40" s="65"/>
      <c r="KY40" s="65"/>
      <c r="KZ40" s="65"/>
      <c r="LA40" s="65"/>
      <c r="LB40" s="65"/>
      <c r="LC40" s="65"/>
      <c r="LD40" s="65"/>
      <c r="LE40" s="65"/>
      <c r="LF40" s="65"/>
      <c r="LG40" s="65"/>
      <c r="LH40" s="65"/>
      <c r="LI40" s="65"/>
      <c r="LJ40" s="65"/>
      <c r="LK40" s="65"/>
      <c r="LL40" s="65"/>
      <c r="LM40" s="65"/>
      <c r="LN40" s="65"/>
      <c r="LO40" s="65"/>
      <c r="LP40" s="65"/>
      <c r="LQ40" s="65"/>
      <c r="LR40" s="65"/>
      <c r="LS40" s="65"/>
    </row>
    <row r="41" spans="1:331" s="18" customFormat="1" ht="18.75" customHeight="1">
      <c r="A41" s="51">
        <v>30</v>
      </c>
      <c r="B41" s="275" t="str">
        <f>NIK!B123</f>
        <v>9919120075</v>
      </c>
      <c r="C41" s="53" t="s">
        <v>1145</v>
      </c>
      <c r="D41" s="433" t="s">
        <v>209</v>
      </c>
      <c r="E41" s="51" t="s">
        <v>344</v>
      </c>
      <c r="F41" s="58">
        <v>43823</v>
      </c>
      <c r="G41" s="58">
        <v>43823</v>
      </c>
      <c r="H41" s="58"/>
      <c r="I41" s="58"/>
      <c r="J41" s="57">
        <f t="shared" ref="J41" ca="1" si="26">DATEDIF(F41,$A$3,"Y")</f>
        <v>1</v>
      </c>
      <c r="K41" s="57">
        <f t="shared" ref="K41" ca="1" si="27">DATEDIF(F41,$A$3,"YM")</f>
        <v>0</v>
      </c>
      <c r="L41" s="58"/>
      <c r="M41" s="58"/>
      <c r="N41" s="51" t="s">
        <v>35</v>
      </c>
      <c r="O41" s="51" t="s">
        <v>36</v>
      </c>
      <c r="P41" s="51" t="s">
        <v>41</v>
      </c>
      <c r="Q41" s="58">
        <v>27948</v>
      </c>
      <c r="R41" s="77">
        <f t="shared" ca="1" si="22"/>
        <v>44</v>
      </c>
      <c r="S41" s="77">
        <f t="shared" ca="1" si="23"/>
        <v>5</v>
      </c>
      <c r="T41" s="51" t="s">
        <v>68</v>
      </c>
      <c r="U41" s="51"/>
      <c r="V41" s="51"/>
      <c r="W41" s="51" t="s">
        <v>59</v>
      </c>
      <c r="X41" s="51"/>
      <c r="Y41" s="51"/>
      <c r="Z41" s="51"/>
      <c r="AA41" s="51"/>
      <c r="AB41" s="51"/>
      <c r="AC41" s="51"/>
      <c r="AD41" s="51"/>
      <c r="AE41" s="51"/>
      <c r="AF41" s="249"/>
      <c r="AG41" s="249"/>
      <c r="AH41" s="249"/>
      <c r="AI41" s="70" t="s">
        <v>1146</v>
      </c>
      <c r="AJ41" s="60" t="s">
        <v>1147</v>
      </c>
      <c r="AK41" s="60" t="s">
        <v>1147</v>
      </c>
      <c r="AL41" s="60"/>
      <c r="AM41" s="51"/>
      <c r="AN41" s="51"/>
      <c r="AO41" s="70" t="s">
        <v>1148</v>
      </c>
      <c r="AP41" s="63" t="s">
        <v>1145</v>
      </c>
      <c r="AQ41" s="70"/>
      <c r="AR41" s="51" t="s">
        <v>64</v>
      </c>
      <c r="AS41" s="51" t="s">
        <v>95</v>
      </c>
      <c r="AT41" s="87"/>
      <c r="CC41" s="65"/>
      <c r="CD41" s="65"/>
      <c r="CE41" s="65"/>
      <c r="CF41" s="65"/>
      <c r="CG41" s="65"/>
      <c r="CH41" s="65"/>
      <c r="CI41" s="65"/>
      <c r="CJ41" s="65"/>
      <c r="CK41" s="65"/>
      <c r="CL41" s="65"/>
      <c r="CM41" s="65"/>
      <c r="CN41" s="65"/>
      <c r="CO41" s="65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5"/>
      <c r="DA41" s="65"/>
      <c r="DB41" s="65"/>
      <c r="DC41" s="65"/>
      <c r="DD41" s="65"/>
      <c r="DE41" s="65"/>
      <c r="DF41" s="65"/>
      <c r="DG41" s="65"/>
      <c r="DH41" s="65"/>
      <c r="DI41" s="65"/>
      <c r="DJ41" s="65"/>
      <c r="DK41" s="65"/>
      <c r="DL41" s="65"/>
      <c r="DM41" s="65"/>
      <c r="DN41" s="65"/>
      <c r="DO41" s="65"/>
      <c r="DP41" s="65"/>
      <c r="DQ41" s="65"/>
      <c r="DR41" s="65"/>
      <c r="DS41" s="65"/>
      <c r="DT41" s="65"/>
      <c r="DU41" s="65"/>
      <c r="DV41" s="65"/>
      <c r="DW41" s="65"/>
      <c r="DX41" s="65"/>
      <c r="DY41" s="65"/>
      <c r="DZ41" s="65"/>
      <c r="EA41" s="65"/>
      <c r="EB41" s="65"/>
      <c r="EC41" s="65"/>
      <c r="ED41" s="65"/>
      <c r="EE41" s="65"/>
      <c r="EF41" s="65"/>
      <c r="EG41" s="65"/>
      <c r="EH41" s="65"/>
      <c r="EI41" s="65"/>
      <c r="EJ41" s="65"/>
      <c r="EK41" s="65"/>
      <c r="EL41" s="65"/>
      <c r="EM41" s="65"/>
      <c r="EN41" s="65"/>
      <c r="EO41" s="65"/>
      <c r="EP41" s="65"/>
      <c r="EQ41" s="65"/>
      <c r="ER41" s="65"/>
      <c r="ES41" s="65"/>
      <c r="ET41" s="65"/>
      <c r="EU41" s="65"/>
      <c r="EV41" s="65"/>
      <c r="EW41" s="65"/>
      <c r="EX41" s="65"/>
      <c r="EY41" s="65"/>
      <c r="EZ41" s="65"/>
      <c r="FA41" s="65"/>
      <c r="FB41" s="65"/>
      <c r="FC41" s="65"/>
      <c r="FD41" s="65"/>
      <c r="FE41" s="65"/>
      <c r="FF41" s="65"/>
      <c r="FG41" s="65"/>
      <c r="FH41" s="65"/>
      <c r="FI41" s="65"/>
      <c r="FJ41" s="65"/>
      <c r="FK41" s="65"/>
      <c r="FL41" s="65"/>
      <c r="FM41" s="65"/>
      <c r="FN41" s="65"/>
      <c r="FO41" s="65"/>
      <c r="FP41" s="65"/>
      <c r="FQ41" s="65"/>
      <c r="FR41" s="65"/>
      <c r="FS41" s="65"/>
      <c r="FT41" s="65"/>
      <c r="FU41" s="65"/>
      <c r="FV41" s="65"/>
      <c r="FW41" s="65"/>
      <c r="FX41" s="65"/>
      <c r="FY41" s="65"/>
      <c r="FZ41" s="65"/>
      <c r="GA41" s="65"/>
      <c r="GB41" s="65"/>
      <c r="GC41" s="65"/>
      <c r="GD41" s="65"/>
      <c r="GE41" s="65"/>
      <c r="GF41" s="65"/>
      <c r="GG41" s="65"/>
      <c r="GH41" s="65"/>
      <c r="GI41" s="65"/>
      <c r="GJ41" s="65"/>
      <c r="GK41" s="65"/>
      <c r="GL41" s="65"/>
      <c r="GM41" s="65"/>
      <c r="GN41" s="65"/>
      <c r="GO41" s="65"/>
      <c r="GP41" s="65"/>
      <c r="GQ41" s="65"/>
      <c r="GR41" s="65"/>
      <c r="GS41" s="65"/>
      <c r="GT41" s="65"/>
      <c r="GU41" s="65"/>
      <c r="GV41" s="65"/>
      <c r="GW41" s="65"/>
      <c r="GX41" s="65"/>
      <c r="GY41" s="65"/>
      <c r="GZ41" s="65"/>
      <c r="HA41" s="65"/>
      <c r="HB41" s="65"/>
      <c r="HC41" s="65"/>
      <c r="HD41" s="65"/>
      <c r="HE41" s="65"/>
      <c r="HF41" s="65"/>
      <c r="HG41" s="65"/>
      <c r="HH41" s="65"/>
      <c r="HI41" s="65"/>
      <c r="HJ41" s="65"/>
      <c r="HK41" s="65"/>
      <c r="HL41" s="65"/>
      <c r="HM41" s="65"/>
      <c r="HN41" s="65"/>
      <c r="HO41" s="65"/>
      <c r="HP41" s="65"/>
      <c r="HQ41" s="65"/>
      <c r="HR41" s="65"/>
      <c r="HS41" s="65"/>
      <c r="HT41" s="65"/>
      <c r="HU41" s="65"/>
      <c r="HV41" s="65"/>
      <c r="HW41" s="65"/>
      <c r="HX41" s="65"/>
      <c r="HY41" s="65"/>
      <c r="HZ41" s="65"/>
      <c r="IA41" s="65"/>
      <c r="IB41" s="65"/>
      <c r="IC41" s="65"/>
      <c r="ID41" s="65"/>
      <c r="IE41" s="65"/>
      <c r="IF41" s="65"/>
      <c r="IG41" s="65"/>
      <c r="IH41" s="65"/>
      <c r="II41" s="65"/>
      <c r="IJ41" s="65"/>
      <c r="IK41" s="65"/>
      <c r="IL41" s="65"/>
      <c r="IM41" s="65"/>
      <c r="IN41" s="65"/>
      <c r="IO41" s="65"/>
      <c r="IP41" s="65"/>
      <c r="IQ41" s="65"/>
      <c r="IR41" s="65"/>
      <c r="IS41" s="65"/>
      <c r="IT41" s="65"/>
      <c r="IU41" s="65"/>
      <c r="IV41" s="65"/>
      <c r="IW41" s="65"/>
      <c r="IX41" s="65"/>
      <c r="IY41" s="65"/>
      <c r="IZ41" s="65"/>
      <c r="JA41" s="65"/>
      <c r="JB41" s="65"/>
      <c r="JC41" s="65"/>
      <c r="JD41" s="65"/>
      <c r="JE41" s="65"/>
      <c r="JF41" s="65"/>
      <c r="JG41" s="65"/>
      <c r="JH41" s="65"/>
      <c r="JI41" s="65"/>
      <c r="JJ41" s="65"/>
      <c r="JK41" s="65"/>
      <c r="JL41" s="65"/>
      <c r="JM41" s="65"/>
      <c r="JN41" s="65"/>
      <c r="JO41" s="65"/>
      <c r="JP41" s="65"/>
      <c r="JQ41" s="65"/>
      <c r="JR41" s="65"/>
      <c r="JS41" s="65"/>
      <c r="JT41" s="65"/>
      <c r="JU41" s="65"/>
      <c r="JV41" s="65"/>
      <c r="JW41" s="65"/>
      <c r="JX41" s="65"/>
      <c r="JY41" s="65"/>
      <c r="JZ41" s="65"/>
      <c r="KA41" s="65"/>
      <c r="KB41" s="65"/>
      <c r="KC41" s="65"/>
      <c r="KD41" s="65"/>
      <c r="KE41" s="65"/>
      <c r="KF41" s="65"/>
      <c r="KG41" s="65"/>
      <c r="KH41" s="65"/>
      <c r="KI41" s="65"/>
      <c r="KJ41" s="65"/>
      <c r="KK41" s="65"/>
      <c r="KL41" s="65"/>
      <c r="KM41" s="65"/>
      <c r="KN41" s="65"/>
      <c r="KO41" s="65"/>
      <c r="KP41" s="65"/>
      <c r="KQ41" s="65"/>
      <c r="KR41" s="65"/>
      <c r="KS41" s="65"/>
      <c r="KT41" s="65"/>
      <c r="KU41" s="65"/>
      <c r="KV41" s="65"/>
      <c r="KW41" s="65"/>
      <c r="KX41" s="65"/>
      <c r="KY41" s="65"/>
      <c r="KZ41" s="65"/>
      <c r="LA41" s="65"/>
      <c r="LB41" s="65"/>
      <c r="LC41" s="65"/>
      <c r="LD41" s="65"/>
      <c r="LE41" s="65"/>
      <c r="LF41" s="65"/>
      <c r="LG41" s="65"/>
      <c r="LH41" s="65"/>
      <c r="LI41" s="65"/>
      <c r="LJ41" s="65"/>
      <c r="LK41" s="65"/>
      <c r="LL41" s="65"/>
      <c r="LM41" s="65"/>
      <c r="LN41" s="65"/>
      <c r="LO41" s="65"/>
      <c r="LP41" s="65"/>
      <c r="LQ41" s="65"/>
      <c r="LR41" s="65"/>
      <c r="LS41" s="65"/>
    </row>
    <row r="42" spans="1:331" s="18" customFormat="1" ht="18.75" customHeight="1">
      <c r="A42" s="51">
        <v>31</v>
      </c>
      <c r="B42" s="275" t="str">
        <f>NIK!B124</f>
        <v>9919120076</v>
      </c>
      <c r="C42" s="53" t="s">
        <v>1149</v>
      </c>
      <c r="D42" s="433" t="s">
        <v>1150</v>
      </c>
      <c r="E42" s="51" t="s">
        <v>344</v>
      </c>
      <c r="F42" s="58">
        <v>43824</v>
      </c>
      <c r="G42" s="58">
        <v>43824</v>
      </c>
      <c r="H42" s="58"/>
      <c r="I42" s="58"/>
      <c r="J42" s="57">
        <f t="shared" ref="J42" ca="1" si="28">DATEDIF(F42,$A$3,"Y")</f>
        <v>1</v>
      </c>
      <c r="K42" s="57">
        <f t="shared" ref="K42" ca="1" si="29">DATEDIF(F42,$A$3,"YM")</f>
        <v>0</v>
      </c>
      <c r="L42" s="58"/>
      <c r="M42" s="58"/>
      <c r="N42" s="51" t="s">
        <v>76</v>
      </c>
      <c r="O42" s="51" t="s">
        <v>36</v>
      </c>
      <c r="P42" s="51" t="s">
        <v>41</v>
      </c>
      <c r="Q42" s="58">
        <v>34004</v>
      </c>
      <c r="R42" s="77">
        <f t="shared" ref="R42" ca="1" si="30">DATEDIF(Q42,$A$3,"Y")</f>
        <v>27</v>
      </c>
      <c r="S42" s="77">
        <f t="shared" ref="S42" ca="1" si="31">DATEDIF(Q42,$A$3,"YM")</f>
        <v>11</v>
      </c>
      <c r="T42" s="51" t="s">
        <v>130</v>
      </c>
      <c r="U42" s="51" t="s">
        <v>1151</v>
      </c>
      <c r="V42" s="51"/>
      <c r="W42" s="51" t="s">
        <v>59</v>
      </c>
      <c r="X42" s="51"/>
      <c r="Y42" s="51"/>
      <c r="Z42" s="51"/>
      <c r="AA42" s="51"/>
      <c r="AB42" s="51"/>
      <c r="AC42" s="51"/>
      <c r="AD42" s="51"/>
      <c r="AE42" s="51"/>
      <c r="AF42" s="249"/>
      <c r="AG42" s="249"/>
      <c r="AH42" s="249"/>
      <c r="AI42" s="70" t="s">
        <v>1152</v>
      </c>
      <c r="AJ42" s="60" t="s">
        <v>1153</v>
      </c>
      <c r="AK42" s="60" t="s">
        <v>1153</v>
      </c>
      <c r="AL42" s="60"/>
      <c r="AM42" s="51"/>
      <c r="AN42" s="51"/>
      <c r="AO42" s="70" t="s">
        <v>1154</v>
      </c>
      <c r="AP42" s="53" t="s">
        <v>1149</v>
      </c>
      <c r="AQ42" s="70"/>
      <c r="AR42" s="51" t="s">
        <v>64</v>
      </c>
      <c r="AS42" s="51" t="s">
        <v>95</v>
      </c>
      <c r="AT42" s="327" t="s">
        <v>1155</v>
      </c>
      <c r="CC42" s="65"/>
      <c r="CD42" s="65"/>
      <c r="CE42" s="65"/>
      <c r="CF42" s="65"/>
      <c r="CG42" s="65"/>
      <c r="CH42" s="65"/>
      <c r="CI42" s="65"/>
      <c r="CJ42" s="65"/>
      <c r="CK42" s="65"/>
      <c r="CL42" s="65"/>
      <c r="CM42" s="65"/>
      <c r="CN42" s="65"/>
      <c r="CO42" s="65"/>
      <c r="CP42" s="65"/>
      <c r="CQ42" s="65"/>
      <c r="CR42" s="65"/>
      <c r="CS42" s="65"/>
      <c r="CT42" s="65"/>
      <c r="CU42" s="65"/>
      <c r="CV42" s="65"/>
      <c r="CW42" s="65"/>
      <c r="CX42" s="65"/>
      <c r="CY42" s="65"/>
      <c r="CZ42" s="65"/>
      <c r="DA42" s="65"/>
      <c r="DB42" s="65"/>
      <c r="DC42" s="65"/>
      <c r="DD42" s="65"/>
      <c r="DE42" s="65"/>
      <c r="DF42" s="65"/>
      <c r="DG42" s="65"/>
      <c r="DH42" s="65"/>
      <c r="DI42" s="65"/>
      <c r="DJ42" s="65"/>
      <c r="DK42" s="65"/>
      <c r="DL42" s="65"/>
      <c r="DM42" s="65"/>
      <c r="DN42" s="65"/>
      <c r="DO42" s="65"/>
      <c r="DP42" s="65"/>
      <c r="DQ42" s="65"/>
      <c r="DR42" s="65"/>
      <c r="DS42" s="65"/>
      <c r="DT42" s="65"/>
      <c r="DU42" s="65"/>
      <c r="DV42" s="65"/>
      <c r="DW42" s="65"/>
      <c r="DX42" s="65"/>
      <c r="DY42" s="65"/>
      <c r="DZ42" s="65"/>
      <c r="EA42" s="65"/>
      <c r="EB42" s="65"/>
      <c r="EC42" s="65"/>
      <c r="ED42" s="65"/>
      <c r="EE42" s="65"/>
      <c r="EF42" s="65"/>
      <c r="EG42" s="65"/>
      <c r="EH42" s="65"/>
      <c r="EI42" s="65"/>
      <c r="EJ42" s="65"/>
      <c r="EK42" s="65"/>
      <c r="EL42" s="65"/>
      <c r="EM42" s="65"/>
      <c r="EN42" s="65"/>
      <c r="EO42" s="65"/>
      <c r="EP42" s="65"/>
      <c r="EQ42" s="65"/>
      <c r="ER42" s="65"/>
      <c r="ES42" s="65"/>
      <c r="ET42" s="65"/>
      <c r="EU42" s="65"/>
      <c r="EV42" s="65"/>
      <c r="EW42" s="65"/>
      <c r="EX42" s="65"/>
      <c r="EY42" s="65"/>
      <c r="EZ42" s="65"/>
      <c r="FA42" s="65"/>
      <c r="FB42" s="65"/>
      <c r="FC42" s="65"/>
      <c r="FD42" s="65"/>
      <c r="FE42" s="65"/>
      <c r="FF42" s="65"/>
      <c r="FG42" s="65"/>
      <c r="FH42" s="65"/>
      <c r="FI42" s="65"/>
      <c r="FJ42" s="65"/>
      <c r="FK42" s="65"/>
      <c r="FL42" s="65"/>
      <c r="FM42" s="65"/>
      <c r="FN42" s="65"/>
      <c r="FO42" s="65"/>
      <c r="FP42" s="65"/>
      <c r="FQ42" s="65"/>
      <c r="FR42" s="65"/>
      <c r="FS42" s="65"/>
      <c r="FT42" s="65"/>
      <c r="FU42" s="65"/>
      <c r="FV42" s="65"/>
      <c r="FW42" s="65"/>
      <c r="FX42" s="65"/>
      <c r="FY42" s="65"/>
      <c r="FZ42" s="65"/>
      <c r="GA42" s="65"/>
      <c r="GB42" s="65"/>
      <c r="GC42" s="65"/>
      <c r="GD42" s="65"/>
      <c r="GE42" s="65"/>
      <c r="GF42" s="65"/>
      <c r="GG42" s="65"/>
      <c r="GH42" s="65"/>
      <c r="GI42" s="65"/>
      <c r="GJ42" s="65"/>
      <c r="GK42" s="65"/>
      <c r="GL42" s="65"/>
      <c r="GM42" s="65"/>
      <c r="GN42" s="65"/>
      <c r="GO42" s="65"/>
      <c r="GP42" s="65"/>
      <c r="GQ42" s="65"/>
      <c r="GR42" s="65"/>
      <c r="GS42" s="65"/>
      <c r="GT42" s="65"/>
      <c r="GU42" s="65"/>
      <c r="GV42" s="65"/>
      <c r="GW42" s="65"/>
      <c r="GX42" s="65"/>
      <c r="GY42" s="65"/>
      <c r="GZ42" s="65"/>
      <c r="HA42" s="65"/>
      <c r="HB42" s="65"/>
      <c r="HC42" s="65"/>
      <c r="HD42" s="65"/>
      <c r="HE42" s="65"/>
      <c r="HF42" s="65"/>
      <c r="HG42" s="65"/>
      <c r="HH42" s="65"/>
      <c r="HI42" s="65"/>
      <c r="HJ42" s="65"/>
      <c r="HK42" s="65"/>
      <c r="HL42" s="65"/>
      <c r="HM42" s="65"/>
      <c r="HN42" s="65"/>
      <c r="HO42" s="65"/>
      <c r="HP42" s="65"/>
      <c r="HQ42" s="65"/>
      <c r="HR42" s="65"/>
      <c r="HS42" s="65"/>
      <c r="HT42" s="65"/>
      <c r="HU42" s="65"/>
      <c r="HV42" s="65"/>
      <c r="HW42" s="65"/>
      <c r="HX42" s="65"/>
      <c r="HY42" s="65"/>
      <c r="HZ42" s="65"/>
      <c r="IA42" s="65"/>
      <c r="IB42" s="65"/>
      <c r="IC42" s="65"/>
      <c r="ID42" s="65"/>
      <c r="IE42" s="65"/>
      <c r="IF42" s="65"/>
      <c r="IG42" s="65"/>
      <c r="IH42" s="65"/>
      <c r="II42" s="65"/>
      <c r="IJ42" s="65"/>
      <c r="IK42" s="65"/>
      <c r="IL42" s="65"/>
      <c r="IM42" s="65"/>
      <c r="IN42" s="65"/>
      <c r="IO42" s="65"/>
      <c r="IP42" s="65"/>
      <c r="IQ42" s="65"/>
      <c r="IR42" s="65"/>
      <c r="IS42" s="65"/>
      <c r="IT42" s="65"/>
      <c r="IU42" s="65"/>
      <c r="IV42" s="65"/>
      <c r="IW42" s="65"/>
      <c r="IX42" s="65"/>
      <c r="IY42" s="65"/>
      <c r="IZ42" s="65"/>
      <c r="JA42" s="65"/>
      <c r="JB42" s="65"/>
      <c r="JC42" s="65"/>
      <c r="JD42" s="65"/>
      <c r="JE42" s="65"/>
      <c r="JF42" s="65"/>
      <c r="JG42" s="65"/>
      <c r="JH42" s="65"/>
      <c r="JI42" s="65"/>
      <c r="JJ42" s="65"/>
      <c r="JK42" s="65"/>
      <c r="JL42" s="65"/>
      <c r="JM42" s="65"/>
      <c r="JN42" s="65"/>
      <c r="JO42" s="65"/>
      <c r="JP42" s="65"/>
      <c r="JQ42" s="65"/>
      <c r="JR42" s="65"/>
      <c r="JS42" s="65"/>
      <c r="JT42" s="65"/>
      <c r="JU42" s="65"/>
      <c r="JV42" s="65"/>
      <c r="JW42" s="65"/>
      <c r="JX42" s="65"/>
      <c r="JY42" s="65"/>
      <c r="JZ42" s="65"/>
      <c r="KA42" s="65"/>
      <c r="KB42" s="65"/>
      <c r="KC42" s="65"/>
      <c r="KD42" s="65"/>
      <c r="KE42" s="65"/>
      <c r="KF42" s="65"/>
      <c r="KG42" s="65"/>
      <c r="KH42" s="65"/>
      <c r="KI42" s="65"/>
      <c r="KJ42" s="65"/>
      <c r="KK42" s="65"/>
      <c r="KL42" s="65"/>
      <c r="KM42" s="65"/>
      <c r="KN42" s="65"/>
      <c r="KO42" s="65"/>
      <c r="KP42" s="65"/>
      <c r="KQ42" s="65"/>
      <c r="KR42" s="65"/>
      <c r="KS42" s="65"/>
      <c r="KT42" s="65"/>
      <c r="KU42" s="65"/>
      <c r="KV42" s="65"/>
      <c r="KW42" s="65"/>
      <c r="KX42" s="65"/>
      <c r="KY42" s="65"/>
      <c r="KZ42" s="65"/>
      <c r="LA42" s="65"/>
      <c r="LB42" s="65"/>
      <c r="LC42" s="65"/>
      <c r="LD42" s="65"/>
      <c r="LE42" s="65"/>
      <c r="LF42" s="65"/>
      <c r="LG42" s="65"/>
      <c r="LH42" s="65"/>
      <c r="LI42" s="65"/>
      <c r="LJ42" s="65"/>
      <c r="LK42" s="65"/>
      <c r="LL42" s="65"/>
      <c r="LM42" s="65"/>
      <c r="LN42" s="65"/>
      <c r="LO42" s="65"/>
      <c r="LP42" s="65"/>
      <c r="LQ42" s="65"/>
      <c r="LR42" s="65"/>
      <c r="LS42" s="65"/>
    </row>
    <row r="43" spans="1:331" s="32" customFormat="1" ht="18.75" customHeight="1">
      <c r="A43" s="742" t="s">
        <v>133</v>
      </c>
      <c r="B43" s="742"/>
      <c r="C43" s="325"/>
      <c r="D43" s="263"/>
      <c r="E43" s="262"/>
      <c r="F43" s="262"/>
      <c r="G43" s="262"/>
      <c r="H43" s="262"/>
      <c r="I43" s="262"/>
      <c r="J43" s="262"/>
      <c r="K43" s="262"/>
      <c r="L43" s="262"/>
      <c r="M43" s="262"/>
      <c r="N43" s="262"/>
      <c r="O43" s="262"/>
      <c r="P43" s="263"/>
      <c r="Q43" s="262"/>
      <c r="R43" s="262"/>
      <c r="S43" s="262"/>
      <c r="T43" s="262"/>
      <c r="U43" s="263"/>
      <c r="V43" s="262"/>
      <c r="W43" s="262"/>
      <c r="X43" s="263"/>
      <c r="Y43" s="262"/>
      <c r="Z43" s="263"/>
      <c r="AA43" s="262"/>
      <c r="AB43" s="262"/>
      <c r="AC43" s="262"/>
      <c r="AD43" s="262"/>
      <c r="AE43" s="262"/>
      <c r="AF43" s="262"/>
      <c r="AG43" s="262"/>
      <c r="AH43" s="262"/>
      <c r="AI43" s="262"/>
      <c r="AJ43" s="262"/>
      <c r="AK43" s="262"/>
      <c r="AL43" s="262"/>
      <c r="AM43" s="263"/>
      <c r="AN43" s="263"/>
      <c r="AO43" s="263"/>
      <c r="AP43" s="313"/>
      <c r="AQ43" s="263"/>
      <c r="AR43" s="263"/>
      <c r="AS43" s="263"/>
      <c r="AT43" s="316"/>
      <c r="CC43" s="264"/>
      <c r="CD43" s="264"/>
      <c r="CE43" s="264"/>
      <c r="CF43" s="264"/>
      <c r="CG43" s="264"/>
      <c r="CH43" s="264"/>
      <c r="CI43" s="264"/>
      <c r="CJ43" s="264"/>
      <c r="CK43" s="264"/>
      <c r="CL43" s="264"/>
      <c r="CM43" s="264"/>
      <c r="CN43" s="264"/>
      <c r="CO43" s="264"/>
      <c r="CP43" s="264"/>
      <c r="CQ43" s="264"/>
      <c r="CR43" s="264"/>
      <c r="CS43" s="264"/>
      <c r="CT43" s="264"/>
      <c r="CU43" s="264"/>
      <c r="CV43" s="264"/>
      <c r="CW43" s="264"/>
      <c r="CX43" s="264"/>
      <c r="CY43" s="264"/>
      <c r="CZ43" s="264"/>
      <c r="DA43" s="264"/>
      <c r="DB43" s="264"/>
      <c r="DC43" s="264"/>
      <c r="DD43" s="264"/>
      <c r="DE43" s="264"/>
      <c r="DF43" s="264"/>
      <c r="DG43" s="264"/>
      <c r="DH43" s="264"/>
      <c r="DI43" s="264"/>
      <c r="DJ43" s="264"/>
      <c r="DK43" s="264"/>
      <c r="DL43" s="264"/>
      <c r="DM43" s="264"/>
      <c r="DN43" s="264"/>
      <c r="DO43" s="264"/>
      <c r="DP43" s="264"/>
      <c r="DQ43" s="264"/>
      <c r="DR43" s="264"/>
      <c r="DS43" s="264"/>
      <c r="DT43" s="264"/>
      <c r="DU43" s="264"/>
      <c r="DV43" s="264"/>
      <c r="DW43" s="264"/>
      <c r="DX43" s="264"/>
      <c r="DY43" s="264"/>
      <c r="DZ43" s="264"/>
      <c r="EA43" s="264"/>
      <c r="EB43" s="264"/>
      <c r="EC43" s="264"/>
      <c r="ED43" s="264"/>
      <c r="EE43" s="264"/>
      <c r="EF43" s="264"/>
      <c r="EG43" s="264"/>
      <c r="EH43" s="264"/>
      <c r="EI43" s="264"/>
      <c r="EJ43" s="264"/>
      <c r="EK43" s="264"/>
      <c r="EL43" s="264"/>
      <c r="EM43" s="264"/>
      <c r="EN43" s="264"/>
      <c r="EO43" s="264"/>
      <c r="EP43" s="264"/>
      <c r="EQ43" s="264"/>
      <c r="ER43" s="264"/>
      <c r="ES43" s="264"/>
      <c r="ET43" s="264"/>
      <c r="EU43" s="264"/>
      <c r="EV43" s="264"/>
      <c r="EW43" s="264"/>
      <c r="EX43" s="264"/>
      <c r="EY43" s="264"/>
      <c r="EZ43" s="264"/>
      <c r="FA43" s="264"/>
      <c r="FB43" s="264"/>
      <c r="FC43" s="264"/>
      <c r="FD43" s="264"/>
      <c r="FE43" s="264"/>
      <c r="FF43" s="264"/>
      <c r="FG43" s="264"/>
      <c r="FH43" s="264"/>
      <c r="FI43" s="264"/>
      <c r="FJ43" s="264"/>
      <c r="FK43" s="264"/>
      <c r="FL43" s="264"/>
      <c r="FM43" s="264"/>
      <c r="FN43" s="264"/>
      <c r="FO43" s="264"/>
      <c r="FP43" s="264"/>
      <c r="FQ43" s="264"/>
      <c r="FR43" s="264"/>
      <c r="FS43" s="264"/>
      <c r="FT43" s="264"/>
      <c r="FU43" s="264"/>
      <c r="FV43" s="264"/>
      <c r="FW43" s="264"/>
      <c r="FX43" s="264"/>
      <c r="FY43" s="264"/>
      <c r="FZ43" s="264"/>
      <c r="GA43" s="264"/>
      <c r="GB43" s="264"/>
      <c r="GC43" s="264"/>
      <c r="GD43" s="264"/>
      <c r="GE43" s="264"/>
      <c r="GF43" s="264"/>
      <c r="GG43" s="264"/>
      <c r="GH43" s="264"/>
      <c r="GI43" s="264"/>
      <c r="GJ43" s="264"/>
      <c r="GK43" s="264"/>
      <c r="GL43" s="264"/>
      <c r="GM43" s="264"/>
      <c r="GN43" s="264"/>
      <c r="GO43" s="264"/>
      <c r="GP43" s="264"/>
      <c r="GQ43" s="264"/>
      <c r="GR43" s="264"/>
      <c r="GS43" s="264"/>
      <c r="GT43" s="264"/>
      <c r="GU43" s="264"/>
      <c r="GV43" s="264"/>
      <c r="GW43" s="264"/>
      <c r="GX43" s="264"/>
      <c r="GY43" s="264"/>
      <c r="GZ43" s="264"/>
      <c r="HA43" s="264"/>
      <c r="HB43" s="264"/>
      <c r="HC43" s="264"/>
      <c r="HD43" s="264"/>
      <c r="HE43" s="264"/>
      <c r="HF43" s="264"/>
      <c r="HG43" s="264"/>
      <c r="HH43" s="264"/>
      <c r="HI43" s="264"/>
      <c r="HJ43" s="264"/>
      <c r="HK43" s="264"/>
      <c r="HL43" s="264"/>
      <c r="HM43" s="264"/>
      <c r="HN43" s="264"/>
      <c r="HO43" s="264"/>
      <c r="HP43" s="264"/>
      <c r="HQ43" s="264"/>
      <c r="HR43" s="264"/>
      <c r="HS43" s="264"/>
      <c r="HT43" s="264"/>
      <c r="HU43" s="264"/>
      <c r="HV43" s="264"/>
      <c r="HW43" s="264"/>
      <c r="HX43" s="264"/>
      <c r="HY43" s="264"/>
      <c r="HZ43" s="264"/>
      <c r="IA43" s="264"/>
      <c r="IB43" s="264"/>
      <c r="IC43" s="264"/>
      <c r="ID43" s="264"/>
      <c r="IE43" s="264"/>
      <c r="IF43" s="264"/>
      <c r="IG43" s="264"/>
      <c r="IH43" s="264"/>
      <c r="II43" s="264"/>
      <c r="IJ43" s="264"/>
      <c r="IK43" s="264"/>
      <c r="IL43" s="264"/>
      <c r="IM43" s="264"/>
      <c r="IN43" s="264"/>
      <c r="IO43" s="264"/>
      <c r="IP43" s="264"/>
      <c r="IQ43" s="264"/>
      <c r="IR43" s="264"/>
      <c r="IS43" s="264"/>
      <c r="IT43" s="264"/>
      <c r="IU43" s="264"/>
      <c r="IV43" s="264"/>
      <c r="IW43" s="264"/>
      <c r="IX43" s="264"/>
      <c r="IY43" s="264"/>
      <c r="IZ43" s="264"/>
      <c r="JA43" s="264"/>
      <c r="JB43" s="264"/>
      <c r="JC43" s="264"/>
      <c r="JD43" s="264"/>
      <c r="JE43" s="264"/>
      <c r="JF43" s="264"/>
      <c r="JG43" s="264"/>
      <c r="JH43" s="264"/>
      <c r="JI43" s="264"/>
      <c r="JJ43" s="264"/>
      <c r="JK43" s="264"/>
      <c r="JL43" s="264"/>
      <c r="JM43" s="264"/>
      <c r="JN43" s="264"/>
      <c r="JO43" s="264"/>
      <c r="JP43" s="264"/>
      <c r="JQ43" s="264"/>
      <c r="JR43" s="264"/>
      <c r="JS43" s="264"/>
      <c r="JT43" s="264"/>
      <c r="JU43" s="264"/>
      <c r="JV43" s="264"/>
      <c r="JW43" s="264"/>
      <c r="JX43" s="264"/>
      <c r="JY43" s="264"/>
      <c r="JZ43" s="264"/>
      <c r="KA43" s="264"/>
      <c r="KB43" s="264"/>
      <c r="KC43" s="264"/>
      <c r="KD43" s="264"/>
      <c r="KE43" s="264"/>
      <c r="KF43" s="264"/>
      <c r="KG43" s="264"/>
      <c r="KH43" s="264"/>
      <c r="KI43" s="264"/>
      <c r="KJ43" s="264"/>
      <c r="KK43" s="264"/>
      <c r="KL43" s="264"/>
      <c r="KM43" s="264"/>
      <c r="KN43" s="264"/>
      <c r="KO43" s="264"/>
      <c r="KP43" s="264"/>
      <c r="KQ43" s="264"/>
      <c r="KR43" s="264"/>
      <c r="KS43" s="264"/>
      <c r="KT43" s="264"/>
      <c r="KU43" s="264"/>
      <c r="KV43" s="264"/>
      <c r="KW43" s="264"/>
      <c r="KX43" s="264"/>
      <c r="KY43" s="264"/>
      <c r="KZ43" s="264"/>
      <c r="LA43" s="264"/>
      <c r="LB43" s="264"/>
      <c r="LC43" s="264"/>
      <c r="LD43" s="264"/>
      <c r="LE43" s="264"/>
      <c r="LF43" s="264"/>
      <c r="LG43" s="264"/>
      <c r="LH43" s="264"/>
      <c r="LI43" s="264"/>
      <c r="LJ43" s="264"/>
      <c r="LK43" s="264"/>
      <c r="LL43" s="264"/>
      <c r="LM43" s="264"/>
      <c r="LN43" s="264"/>
      <c r="LO43" s="264"/>
      <c r="LP43" s="264"/>
      <c r="LQ43" s="264"/>
      <c r="LR43" s="264"/>
      <c r="LS43" s="264"/>
    </row>
    <row r="44" spans="1:331" s="65" customFormat="1" ht="18.75" customHeight="1">
      <c r="A44" s="51">
        <v>32</v>
      </c>
      <c r="B44" s="51" t="s">
        <v>310</v>
      </c>
      <c r="C44" s="53" t="s">
        <v>74</v>
      </c>
      <c r="D44" s="433" t="s">
        <v>992</v>
      </c>
      <c r="E44" s="55" t="s">
        <v>344</v>
      </c>
      <c r="F44" s="56">
        <v>43202</v>
      </c>
      <c r="G44" s="56">
        <v>43202</v>
      </c>
      <c r="H44" s="56">
        <v>43567</v>
      </c>
      <c r="I44" s="56"/>
      <c r="J44" s="57">
        <f ca="1">DATEDIF(F44,$A$3,"Y")</f>
        <v>2</v>
      </c>
      <c r="K44" s="57">
        <f ca="1">DATEDIF(F44,$A$3,"YM")</f>
        <v>8</v>
      </c>
      <c r="L44" s="58"/>
      <c r="M44" s="58"/>
      <c r="N44" s="55" t="s">
        <v>76</v>
      </c>
      <c r="O44" s="55" t="s">
        <v>36</v>
      </c>
      <c r="P44" s="55" t="s">
        <v>41</v>
      </c>
      <c r="Q44" s="56">
        <v>33622</v>
      </c>
      <c r="R44" s="77">
        <f ca="1">DATEDIF(Q44,$A$3,"Y")</f>
        <v>28</v>
      </c>
      <c r="S44" s="77">
        <f ca="1">DATEDIF(Q44,$A$3,"YM")</f>
        <v>11</v>
      </c>
      <c r="T44" s="51" t="s">
        <v>68</v>
      </c>
      <c r="U44" s="51" t="s">
        <v>121</v>
      </c>
      <c r="V44" s="55" t="s">
        <v>105</v>
      </c>
      <c r="W44" s="55" t="s">
        <v>45</v>
      </c>
      <c r="X44" s="51" t="s">
        <v>126</v>
      </c>
      <c r="Y44" s="58">
        <v>32043</v>
      </c>
      <c r="Z44" s="51" t="s">
        <v>127</v>
      </c>
      <c r="AA44" s="58">
        <v>40734</v>
      </c>
      <c r="AB44" s="77">
        <f t="shared" ref="AB44" ca="1" si="32">DATEDIF(AA44,$A$3,"Y")</f>
        <v>9</v>
      </c>
      <c r="AC44" s="55" t="s">
        <v>48</v>
      </c>
      <c r="AD44" s="55" t="s">
        <v>48</v>
      </c>
      <c r="AE44" s="55" t="s">
        <v>48</v>
      </c>
      <c r="AF44" s="62"/>
      <c r="AG44" s="58"/>
      <c r="AH44" s="51"/>
      <c r="AI44" s="63" t="s">
        <v>128</v>
      </c>
      <c r="AJ44" s="60" t="s">
        <v>75</v>
      </c>
      <c r="AK44" s="60" t="s">
        <v>122</v>
      </c>
      <c r="AL44" s="60"/>
      <c r="AM44" s="51"/>
      <c r="AN44" s="51" t="s">
        <v>48</v>
      </c>
      <c r="AO44" s="63" t="s">
        <v>123</v>
      </c>
      <c r="AP44" s="63" t="s">
        <v>74</v>
      </c>
      <c r="AQ44" s="63" t="s">
        <v>931</v>
      </c>
      <c r="AR44" s="51" t="s">
        <v>64</v>
      </c>
      <c r="AS44" s="55" t="s">
        <v>95</v>
      </c>
      <c r="AT44" s="235" t="s">
        <v>125</v>
      </c>
    </row>
    <row r="45" spans="1:331" s="18" customFormat="1" ht="18.75" customHeight="1">
      <c r="A45" s="257">
        <v>33</v>
      </c>
      <c r="B45" s="250" t="s">
        <v>853</v>
      </c>
      <c r="C45" s="278" t="s">
        <v>846</v>
      </c>
      <c r="D45" s="259" t="s">
        <v>847</v>
      </c>
      <c r="E45" s="55" t="s">
        <v>344</v>
      </c>
      <c r="F45" s="56">
        <v>43715</v>
      </c>
      <c r="G45" s="56">
        <v>43715</v>
      </c>
      <c r="H45" s="258"/>
      <c r="I45" s="258"/>
      <c r="J45" s="108">
        <f t="shared" ca="1" si="6"/>
        <v>1</v>
      </c>
      <c r="K45" s="108">
        <f t="shared" ca="1" si="2"/>
        <v>3</v>
      </c>
      <c r="L45" s="258"/>
      <c r="M45" s="258"/>
      <c r="N45" s="55" t="s">
        <v>76</v>
      </c>
      <c r="O45" s="55" t="s">
        <v>36</v>
      </c>
      <c r="P45" s="55" t="s">
        <v>41</v>
      </c>
      <c r="Q45" s="56">
        <v>35575</v>
      </c>
      <c r="R45" s="109">
        <f ca="1">DATEDIF(Q45,$A$3,"Y")</f>
        <v>23</v>
      </c>
      <c r="S45" s="109">
        <f ca="1">DATEDIF(Q45,$A$3,"YM")</f>
        <v>7</v>
      </c>
      <c r="T45" s="55" t="s">
        <v>130</v>
      </c>
      <c r="U45" s="259" t="s">
        <v>848</v>
      </c>
      <c r="V45" s="55" t="s">
        <v>48</v>
      </c>
      <c r="W45" s="55" t="s">
        <v>59</v>
      </c>
      <c r="X45" s="55" t="s">
        <v>48</v>
      </c>
      <c r="Y45" s="55" t="s">
        <v>48</v>
      </c>
      <c r="Z45" s="55" t="s">
        <v>48</v>
      </c>
      <c r="AA45" s="55" t="s">
        <v>48</v>
      </c>
      <c r="AB45" s="55" t="s">
        <v>48</v>
      </c>
      <c r="AC45" s="55" t="s">
        <v>48</v>
      </c>
      <c r="AD45" s="55" t="s">
        <v>48</v>
      </c>
      <c r="AE45" s="55" t="s">
        <v>48</v>
      </c>
      <c r="AF45" s="258"/>
      <c r="AG45" s="258"/>
      <c r="AH45" s="258"/>
      <c r="AI45" s="260" t="s">
        <v>849</v>
      </c>
      <c r="AJ45" s="258" t="s">
        <v>850</v>
      </c>
      <c r="AK45" s="258" t="s">
        <v>850</v>
      </c>
      <c r="AL45" s="258"/>
      <c r="AM45" s="259"/>
      <c r="AN45" s="259"/>
      <c r="AO45" s="260" t="s">
        <v>851</v>
      </c>
      <c r="AP45" s="259" t="s">
        <v>846</v>
      </c>
      <c r="AQ45" s="259" t="s">
        <v>883</v>
      </c>
      <c r="AR45" s="55" t="s">
        <v>64</v>
      </c>
      <c r="AS45" s="55" t="s">
        <v>95</v>
      </c>
      <c r="AT45" s="261"/>
      <c r="CC45" s="187"/>
      <c r="CD45" s="187"/>
      <c r="CE45" s="187"/>
      <c r="CF45" s="187"/>
      <c r="CG45" s="187"/>
      <c r="CH45" s="187"/>
      <c r="CI45" s="187"/>
      <c r="CJ45" s="187"/>
      <c r="CK45" s="187"/>
      <c r="CL45" s="187"/>
      <c r="CM45" s="187"/>
      <c r="CN45" s="187"/>
      <c r="CO45" s="187"/>
      <c r="CP45" s="187"/>
      <c r="CQ45" s="187"/>
      <c r="CR45" s="187"/>
      <c r="CS45" s="187"/>
      <c r="CT45" s="187"/>
      <c r="CU45" s="187"/>
      <c r="CV45" s="187"/>
      <c r="CW45" s="187"/>
      <c r="CX45" s="187"/>
      <c r="CY45" s="187"/>
      <c r="CZ45" s="187"/>
      <c r="DA45" s="187"/>
      <c r="DB45" s="187"/>
      <c r="DC45" s="187"/>
      <c r="DD45" s="187"/>
      <c r="DE45" s="187"/>
      <c r="DF45" s="187"/>
      <c r="DG45" s="187"/>
      <c r="DH45" s="187"/>
      <c r="DI45" s="187"/>
      <c r="DJ45" s="187"/>
      <c r="DK45" s="187"/>
      <c r="DL45" s="187"/>
      <c r="DM45" s="187"/>
      <c r="DN45" s="187"/>
      <c r="DO45" s="187"/>
      <c r="DP45" s="187"/>
      <c r="DQ45" s="187"/>
      <c r="DR45" s="187"/>
      <c r="DS45" s="187"/>
      <c r="DT45" s="187"/>
      <c r="DU45" s="187"/>
      <c r="DV45" s="187"/>
      <c r="DW45" s="187"/>
      <c r="DX45" s="187"/>
      <c r="DY45" s="187"/>
      <c r="DZ45" s="187"/>
      <c r="EA45" s="187"/>
      <c r="EB45" s="187"/>
      <c r="EC45" s="187"/>
      <c r="ED45" s="187"/>
      <c r="EE45" s="187"/>
      <c r="EF45" s="187"/>
      <c r="EG45" s="187"/>
      <c r="EH45" s="187"/>
      <c r="EI45" s="187"/>
      <c r="EJ45" s="187"/>
      <c r="EK45" s="187"/>
      <c r="EL45" s="187"/>
      <c r="EM45" s="187"/>
      <c r="EN45" s="187"/>
      <c r="EO45" s="187"/>
      <c r="EP45" s="187"/>
      <c r="EQ45" s="187"/>
      <c r="ER45" s="187"/>
      <c r="ES45" s="187"/>
      <c r="ET45" s="187"/>
      <c r="EU45" s="187"/>
      <c r="EV45" s="187"/>
      <c r="EW45" s="187"/>
      <c r="EX45" s="187"/>
      <c r="EY45" s="187"/>
      <c r="EZ45" s="187"/>
      <c r="FA45" s="187"/>
      <c r="FB45" s="187"/>
      <c r="FC45" s="187"/>
      <c r="FD45" s="187"/>
      <c r="FE45" s="187"/>
      <c r="FF45" s="187"/>
      <c r="FG45" s="187"/>
      <c r="FH45" s="187"/>
      <c r="FI45" s="187"/>
      <c r="FJ45" s="187"/>
      <c r="FK45" s="187"/>
      <c r="FL45" s="187"/>
      <c r="FM45" s="187"/>
      <c r="FN45" s="187"/>
      <c r="FO45" s="187"/>
      <c r="FP45" s="187"/>
      <c r="FQ45" s="187"/>
      <c r="FR45" s="187"/>
      <c r="FS45" s="187"/>
      <c r="FT45" s="187"/>
      <c r="FU45" s="187"/>
      <c r="FV45" s="187"/>
      <c r="FW45" s="187"/>
      <c r="FX45" s="187"/>
      <c r="FY45" s="187"/>
      <c r="FZ45" s="187"/>
      <c r="GA45" s="187"/>
      <c r="GB45" s="187"/>
      <c r="GC45" s="187"/>
      <c r="GD45" s="187"/>
      <c r="GE45" s="187"/>
      <c r="GF45" s="187"/>
      <c r="GG45" s="187"/>
      <c r="GH45" s="187"/>
      <c r="GI45" s="187"/>
      <c r="GJ45" s="187"/>
      <c r="GK45" s="187"/>
      <c r="GL45" s="187"/>
      <c r="GM45" s="187"/>
      <c r="GN45" s="187"/>
      <c r="GO45" s="187"/>
      <c r="GP45" s="187"/>
      <c r="GQ45" s="187"/>
      <c r="GR45" s="187"/>
      <c r="GS45" s="187"/>
      <c r="GT45" s="187"/>
      <c r="GU45" s="187"/>
      <c r="GV45" s="187"/>
      <c r="GW45" s="187"/>
      <c r="GX45" s="187"/>
      <c r="GY45" s="187"/>
      <c r="GZ45" s="187"/>
      <c r="HA45" s="187"/>
      <c r="HB45" s="187"/>
      <c r="HC45" s="187"/>
      <c r="HD45" s="187"/>
      <c r="HE45" s="187"/>
      <c r="HF45" s="187"/>
      <c r="HG45" s="187"/>
      <c r="HH45" s="187"/>
      <c r="HI45" s="187"/>
      <c r="HJ45" s="187"/>
      <c r="HK45" s="187"/>
      <c r="HL45" s="187"/>
      <c r="HM45" s="187"/>
      <c r="HN45" s="187"/>
      <c r="HO45" s="187"/>
      <c r="HP45" s="187"/>
      <c r="HQ45" s="187"/>
      <c r="HR45" s="187"/>
      <c r="HS45" s="187"/>
      <c r="HT45" s="187"/>
      <c r="HU45" s="187"/>
      <c r="HV45" s="187"/>
      <c r="HW45" s="187"/>
      <c r="HX45" s="187"/>
      <c r="HY45" s="187"/>
      <c r="HZ45" s="187"/>
      <c r="IA45" s="187"/>
      <c r="IB45" s="187"/>
      <c r="IC45" s="187"/>
      <c r="ID45" s="187"/>
      <c r="IE45" s="187"/>
      <c r="IF45" s="187"/>
      <c r="IG45" s="187"/>
      <c r="IH45" s="187"/>
      <c r="II45" s="187"/>
      <c r="IJ45" s="187"/>
      <c r="IK45" s="187"/>
      <c r="IL45" s="187"/>
      <c r="IM45" s="187"/>
      <c r="IN45" s="187"/>
      <c r="IO45" s="187"/>
      <c r="IP45" s="187"/>
      <c r="IQ45" s="187"/>
      <c r="IR45" s="187"/>
      <c r="IS45" s="187"/>
      <c r="IT45" s="187"/>
      <c r="IU45" s="187"/>
      <c r="IV45" s="187"/>
      <c r="IW45" s="187"/>
      <c r="IX45" s="187"/>
      <c r="IY45" s="187"/>
      <c r="IZ45" s="187"/>
      <c r="JA45" s="187"/>
      <c r="JB45" s="187"/>
      <c r="JC45" s="187"/>
      <c r="JD45" s="187"/>
      <c r="JE45" s="187"/>
      <c r="JF45" s="187"/>
      <c r="JG45" s="187"/>
      <c r="JH45" s="187"/>
      <c r="JI45" s="187"/>
      <c r="JJ45" s="187"/>
      <c r="JK45" s="187"/>
      <c r="JL45" s="187"/>
      <c r="JM45" s="187"/>
      <c r="JN45" s="187"/>
      <c r="JO45" s="187"/>
      <c r="JP45" s="187"/>
      <c r="JQ45" s="187"/>
      <c r="JR45" s="187"/>
      <c r="JS45" s="187"/>
      <c r="JT45" s="187"/>
      <c r="JU45" s="187"/>
      <c r="JV45" s="187"/>
      <c r="JW45" s="187"/>
      <c r="JX45" s="187"/>
      <c r="JY45" s="187"/>
      <c r="JZ45" s="187"/>
      <c r="KA45" s="187"/>
      <c r="KB45" s="187"/>
      <c r="KC45" s="187"/>
      <c r="KD45" s="187"/>
      <c r="KE45" s="187"/>
      <c r="KF45" s="187"/>
      <c r="KG45" s="187"/>
      <c r="KH45" s="187"/>
      <c r="KI45" s="187"/>
      <c r="KJ45" s="187"/>
      <c r="KK45" s="187"/>
      <c r="KL45" s="187"/>
      <c r="KM45" s="187"/>
      <c r="KN45" s="187"/>
      <c r="KO45" s="187"/>
      <c r="KP45" s="187"/>
      <c r="KQ45" s="187"/>
      <c r="KR45" s="187"/>
      <c r="KS45" s="187"/>
      <c r="KT45" s="187"/>
      <c r="KU45" s="187"/>
      <c r="KV45" s="187"/>
      <c r="KW45" s="187"/>
      <c r="KX45" s="187"/>
      <c r="KY45" s="187"/>
      <c r="KZ45" s="187"/>
      <c r="LA45" s="187"/>
      <c r="LB45" s="187"/>
      <c r="LC45" s="187"/>
      <c r="LD45" s="187"/>
      <c r="LE45" s="187"/>
      <c r="LF45" s="187"/>
      <c r="LG45" s="187"/>
      <c r="LH45" s="187"/>
      <c r="LI45" s="187"/>
      <c r="LJ45" s="187"/>
      <c r="LK45" s="187"/>
      <c r="LL45" s="187"/>
      <c r="LM45" s="187"/>
      <c r="LN45" s="187"/>
      <c r="LO45" s="187"/>
      <c r="LP45" s="187"/>
      <c r="LQ45" s="187"/>
      <c r="LR45" s="187"/>
      <c r="LS45" s="187"/>
    </row>
    <row r="46" spans="1:331" s="65" customFormat="1" ht="18.75" customHeight="1">
      <c r="A46" s="51">
        <v>34</v>
      </c>
      <c r="B46" s="55" t="s">
        <v>313</v>
      </c>
      <c r="C46" s="106" t="s">
        <v>66</v>
      </c>
      <c r="D46" s="55" t="s">
        <v>989</v>
      </c>
      <c r="E46" s="55" t="s">
        <v>344</v>
      </c>
      <c r="F46" s="56">
        <v>43635</v>
      </c>
      <c r="G46" s="56">
        <v>43635</v>
      </c>
      <c r="H46" s="56"/>
      <c r="I46" s="56"/>
      <c r="J46" s="108">
        <f ca="1">DATEDIF(F46,$A$3,"Y")</f>
        <v>1</v>
      </c>
      <c r="K46" s="108">
        <f ca="1">DATEDIF(F46,$A$3,"YM")</f>
        <v>6</v>
      </c>
      <c r="L46" s="56"/>
      <c r="M46" s="56"/>
      <c r="N46" s="55" t="s">
        <v>35</v>
      </c>
      <c r="O46" s="55" t="s">
        <v>36</v>
      </c>
      <c r="P46" s="55" t="s">
        <v>41</v>
      </c>
      <c r="Q46" s="56">
        <v>34991</v>
      </c>
      <c r="R46" s="109">
        <f ca="1">DATEDIF(Q46,$A$3,"Y")</f>
        <v>25</v>
      </c>
      <c r="S46" s="109">
        <f ca="1">DATEDIF(Q46,$A$3,"YM")</f>
        <v>2</v>
      </c>
      <c r="T46" s="55" t="s">
        <v>68</v>
      </c>
      <c r="U46" s="55" t="s">
        <v>69</v>
      </c>
      <c r="V46" s="55" t="s">
        <v>44</v>
      </c>
      <c r="W46" s="55" t="s">
        <v>59</v>
      </c>
      <c r="X46" s="55"/>
      <c r="Y46" s="56"/>
      <c r="Z46" s="55"/>
      <c r="AA46" s="56"/>
      <c r="AB46" s="108"/>
      <c r="AC46" s="111"/>
      <c r="AD46" s="110"/>
      <c r="AE46" s="108"/>
      <c r="AF46" s="111"/>
      <c r="AG46" s="56"/>
      <c r="AH46" s="55"/>
      <c r="AI46" s="74" t="s">
        <v>87</v>
      </c>
      <c r="AJ46" s="59" t="s">
        <v>70</v>
      </c>
      <c r="AK46" s="59" t="s">
        <v>70</v>
      </c>
      <c r="AL46" s="59"/>
      <c r="AM46" s="180"/>
      <c r="AN46" s="55" t="s">
        <v>48</v>
      </c>
      <c r="AO46" s="74" t="s">
        <v>71</v>
      </c>
      <c r="AP46" s="74" t="s">
        <v>66</v>
      </c>
      <c r="AQ46" s="74" t="s">
        <v>946</v>
      </c>
      <c r="AR46" s="55" t="s">
        <v>64</v>
      </c>
      <c r="AS46" s="55" t="s">
        <v>95</v>
      </c>
      <c r="AT46" s="247" t="s">
        <v>73</v>
      </c>
    </row>
    <row r="47" spans="1:331" s="65" customFormat="1" ht="18.75" customHeight="1">
      <c r="A47" s="257">
        <v>35</v>
      </c>
      <c r="B47" s="141">
        <v>9919040017</v>
      </c>
      <c r="C47" s="53" t="s">
        <v>590</v>
      </c>
      <c r="D47" s="433" t="s">
        <v>144</v>
      </c>
      <c r="E47" s="55" t="s">
        <v>344</v>
      </c>
      <c r="F47" s="56">
        <v>43556</v>
      </c>
      <c r="G47" s="56">
        <v>43556</v>
      </c>
      <c r="H47" s="56"/>
      <c r="I47" s="56"/>
      <c r="J47" s="57">
        <f t="shared" ref="J47:J74" ca="1" si="33">DATEDIF(F47,$A$3,"Y")</f>
        <v>1</v>
      </c>
      <c r="K47" s="57">
        <f t="shared" ref="K47:K74" ca="1" si="34">DATEDIF(F47,$A$3,"YM")</f>
        <v>9</v>
      </c>
      <c r="L47" s="58"/>
      <c r="M47" s="58"/>
      <c r="N47" s="55" t="s">
        <v>76</v>
      </c>
      <c r="O47" s="55" t="s">
        <v>36</v>
      </c>
      <c r="P47" s="55" t="s">
        <v>41</v>
      </c>
      <c r="Q47" s="56">
        <v>34781</v>
      </c>
      <c r="R47" s="77">
        <f t="shared" ref="R47:R77" ca="1" si="35">DATEDIF(Q47,$A$3,"Y")</f>
        <v>25</v>
      </c>
      <c r="S47" s="77">
        <f t="shared" ref="S47:S83" ca="1" si="36">DATEDIF(Q47,$A$3,"YM")</f>
        <v>9</v>
      </c>
      <c r="T47" s="51" t="s">
        <v>68</v>
      </c>
      <c r="U47" s="51" t="s">
        <v>161</v>
      </c>
      <c r="V47" s="55" t="s">
        <v>48</v>
      </c>
      <c r="W47" s="55" t="s">
        <v>59</v>
      </c>
      <c r="X47" s="55"/>
      <c r="Y47" s="56"/>
      <c r="Z47" s="55"/>
      <c r="AA47" s="56"/>
      <c r="AB47" s="109"/>
      <c r="AC47" s="55"/>
      <c r="AD47" s="55"/>
      <c r="AE47" s="55"/>
      <c r="AF47" s="71"/>
      <c r="AG47" s="71"/>
      <c r="AH47" s="71"/>
      <c r="AI47" s="70" t="s">
        <v>591</v>
      </c>
      <c r="AJ47" s="60" t="s">
        <v>592</v>
      </c>
      <c r="AK47" s="60" t="s">
        <v>592</v>
      </c>
      <c r="AL47" s="60"/>
      <c r="AM47" s="51"/>
      <c r="AN47" s="51" t="s">
        <v>48</v>
      </c>
      <c r="AO47" s="70" t="s">
        <v>593</v>
      </c>
      <c r="AP47" s="63" t="s">
        <v>590</v>
      </c>
      <c r="AQ47" s="57" t="s">
        <v>602</v>
      </c>
      <c r="AR47" s="51" t="s">
        <v>64</v>
      </c>
      <c r="AS47" s="55" t="s">
        <v>95</v>
      </c>
      <c r="AT47" s="239" t="s">
        <v>594</v>
      </c>
    </row>
    <row r="48" spans="1:331" s="65" customFormat="1" ht="18.75" customHeight="1">
      <c r="A48" s="51">
        <v>36</v>
      </c>
      <c r="B48" s="55" t="s">
        <v>322</v>
      </c>
      <c r="C48" s="106" t="s">
        <v>159</v>
      </c>
      <c r="D48" s="55" t="s">
        <v>144</v>
      </c>
      <c r="E48" s="55" t="s">
        <v>344</v>
      </c>
      <c r="F48" s="56">
        <v>43202</v>
      </c>
      <c r="G48" s="56">
        <v>43202</v>
      </c>
      <c r="H48" s="56">
        <v>43567</v>
      </c>
      <c r="I48" s="56"/>
      <c r="J48" s="108">
        <f t="shared" ca="1" si="33"/>
        <v>2</v>
      </c>
      <c r="K48" s="108">
        <f t="shared" ca="1" si="34"/>
        <v>8</v>
      </c>
      <c r="L48" s="56"/>
      <c r="M48" s="56"/>
      <c r="N48" s="55" t="s">
        <v>76</v>
      </c>
      <c r="O48" s="55" t="s">
        <v>36</v>
      </c>
      <c r="P48" s="55" t="s">
        <v>160</v>
      </c>
      <c r="Q48" s="56">
        <v>31591</v>
      </c>
      <c r="R48" s="109">
        <f t="shared" ca="1" si="35"/>
        <v>34</v>
      </c>
      <c r="S48" s="109">
        <f t="shared" ca="1" si="36"/>
        <v>6</v>
      </c>
      <c r="T48" s="55" t="s">
        <v>68</v>
      </c>
      <c r="U48" s="55" t="s">
        <v>161</v>
      </c>
      <c r="V48" s="55" t="s">
        <v>48</v>
      </c>
      <c r="W48" s="55" t="s">
        <v>59</v>
      </c>
      <c r="X48" s="55" t="s">
        <v>48</v>
      </c>
      <c r="Y48" s="55" t="s">
        <v>48</v>
      </c>
      <c r="Z48" s="55" t="s">
        <v>48</v>
      </c>
      <c r="AA48" s="55" t="s">
        <v>48</v>
      </c>
      <c r="AB48" s="55" t="s">
        <v>48</v>
      </c>
      <c r="AC48" s="55" t="s">
        <v>48</v>
      </c>
      <c r="AD48" s="55" t="s">
        <v>48</v>
      </c>
      <c r="AE48" s="55" t="s">
        <v>48</v>
      </c>
      <c r="AF48" s="180"/>
      <c r="AG48" s="180"/>
      <c r="AH48" s="180"/>
      <c r="AI48" s="74" t="s">
        <v>162</v>
      </c>
      <c r="AJ48" s="59" t="s">
        <v>163</v>
      </c>
      <c r="AK48" s="59" t="s">
        <v>156</v>
      </c>
      <c r="AL48" s="59"/>
      <c r="AM48" s="55"/>
      <c r="AN48" s="55" t="s">
        <v>48</v>
      </c>
      <c r="AO48" s="74" t="s">
        <v>164</v>
      </c>
      <c r="AP48" s="74" t="s">
        <v>159</v>
      </c>
      <c r="AQ48" s="108" t="s">
        <v>938</v>
      </c>
      <c r="AR48" s="55" t="s">
        <v>64</v>
      </c>
      <c r="AS48" s="55" t="s">
        <v>95</v>
      </c>
      <c r="AT48" s="241" t="s">
        <v>48</v>
      </c>
    </row>
    <row r="49" spans="1:46" s="65" customFormat="1" ht="18.75" customHeight="1">
      <c r="A49" s="257">
        <v>37</v>
      </c>
      <c r="B49" s="51" t="s">
        <v>323</v>
      </c>
      <c r="C49" s="53" t="s">
        <v>165</v>
      </c>
      <c r="D49" s="433" t="s">
        <v>144</v>
      </c>
      <c r="E49" s="55" t="s">
        <v>344</v>
      </c>
      <c r="F49" s="56">
        <v>43202</v>
      </c>
      <c r="G49" s="56">
        <v>43202</v>
      </c>
      <c r="H49" s="56">
        <v>43567</v>
      </c>
      <c r="I49" s="56"/>
      <c r="J49" s="57">
        <f t="shared" ca="1" si="33"/>
        <v>2</v>
      </c>
      <c r="K49" s="57">
        <f t="shared" ca="1" si="34"/>
        <v>8</v>
      </c>
      <c r="L49" s="58"/>
      <c r="M49" s="58"/>
      <c r="N49" s="55" t="s">
        <v>76</v>
      </c>
      <c r="O49" s="55" t="s">
        <v>36</v>
      </c>
      <c r="P49" s="55" t="s">
        <v>41</v>
      </c>
      <c r="Q49" s="56">
        <v>31895</v>
      </c>
      <c r="R49" s="77">
        <f t="shared" ca="1" si="35"/>
        <v>33</v>
      </c>
      <c r="S49" s="77">
        <f t="shared" ca="1" si="36"/>
        <v>8</v>
      </c>
      <c r="T49" s="51" t="s">
        <v>136</v>
      </c>
      <c r="U49" s="51" t="s">
        <v>48</v>
      </c>
      <c r="V49" s="55" t="s">
        <v>48</v>
      </c>
      <c r="W49" s="55" t="s">
        <v>45</v>
      </c>
      <c r="X49" s="51" t="s">
        <v>166</v>
      </c>
      <c r="Y49" s="58">
        <v>29878</v>
      </c>
      <c r="Z49" s="51" t="s">
        <v>167</v>
      </c>
      <c r="AA49" s="58">
        <v>39899</v>
      </c>
      <c r="AB49" s="77">
        <f t="shared" ref="AB49:AB51" ca="1" si="37">DATEDIF(AA49,$A$3,"Y")</f>
        <v>11</v>
      </c>
      <c r="AC49" s="55" t="s">
        <v>48</v>
      </c>
      <c r="AD49" s="55" t="s">
        <v>48</v>
      </c>
      <c r="AE49" s="55" t="s">
        <v>48</v>
      </c>
      <c r="AF49" s="71"/>
      <c r="AG49" s="71"/>
      <c r="AH49" s="71"/>
      <c r="AI49" s="63" t="s">
        <v>168</v>
      </c>
      <c r="AJ49" s="60" t="s">
        <v>169</v>
      </c>
      <c r="AK49" s="60" t="s">
        <v>169</v>
      </c>
      <c r="AL49" s="60"/>
      <c r="AM49" s="51"/>
      <c r="AN49" s="51" t="s">
        <v>48</v>
      </c>
      <c r="AO49" s="63" t="s">
        <v>170</v>
      </c>
      <c r="AP49" s="63" t="s">
        <v>165</v>
      </c>
      <c r="AQ49" s="57" t="s">
        <v>939</v>
      </c>
      <c r="AR49" s="51" t="s">
        <v>64</v>
      </c>
      <c r="AS49" s="55" t="s">
        <v>95</v>
      </c>
      <c r="AT49" s="242" t="s">
        <v>48</v>
      </c>
    </row>
    <row r="50" spans="1:46" s="65" customFormat="1" ht="18.75" customHeight="1">
      <c r="A50" s="51">
        <v>38</v>
      </c>
      <c r="B50" s="51" t="s">
        <v>326</v>
      </c>
      <c r="C50" s="53" t="s">
        <v>183</v>
      </c>
      <c r="D50" s="433" t="s">
        <v>144</v>
      </c>
      <c r="E50" s="55" t="s">
        <v>344</v>
      </c>
      <c r="F50" s="56">
        <v>43202</v>
      </c>
      <c r="G50" s="56">
        <v>43202</v>
      </c>
      <c r="H50" s="56">
        <v>43567</v>
      </c>
      <c r="I50" s="56"/>
      <c r="J50" s="57">
        <f t="shared" ca="1" si="33"/>
        <v>2</v>
      </c>
      <c r="K50" s="57">
        <f t="shared" ca="1" si="34"/>
        <v>8</v>
      </c>
      <c r="L50" s="58"/>
      <c r="M50" s="58"/>
      <c r="N50" s="55" t="s">
        <v>76</v>
      </c>
      <c r="O50" s="55" t="s">
        <v>36</v>
      </c>
      <c r="P50" s="55" t="s">
        <v>41</v>
      </c>
      <c r="Q50" s="56">
        <v>34105</v>
      </c>
      <c r="R50" s="77">
        <f t="shared" ca="1" si="35"/>
        <v>27</v>
      </c>
      <c r="S50" s="77">
        <f t="shared" ca="1" si="36"/>
        <v>7</v>
      </c>
      <c r="T50" s="51" t="s">
        <v>184</v>
      </c>
      <c r="U50" s="51" t="s">
        <v>48</v>
      </c>
      <c r="V50" s="55" t="s">
        <v>105</v>
      </c>
      <c r="W50" s="55" t="s">
        <v>45</v>
      </c>
      <c r="X50" s="51" t="s">
        <v>185</v>
      </c>
      <c r="Y50" s="58">
        <v>31029</v>
      </c>
      <c r="Z50" s="51" t="s">
        <v>186</v>
      </c>
      <c r="AA50" s="58">
        <v>40959</v>
      </c>
      <c r="AB50" s="77">
        <f t="shared" ca="1" si="37"/>
        <v>8</v>
      </c>
      <c r="AC50" s="55" t="s">
        <v>48</v>
      </c>
      <c r="AD50" s="55" t="s">
        <v>48</v>
      </c>
      <c r="AE50" s="55" t="s">
        <v>48</v>
      </c>
      <c r="AF50" s="71"/>
      <c r="AG50" s="71"/>
      <c r="AH50" s="71"/>
      <c r="AI50" s="63" t="s">
        <v>187</v>
      </c>
      <c r="AJ50" s="60" t="s">
        <v>188</v>
      </c>
      <c r="AK50" s="60" t="s">
        <v>189</v>
      </c>
      <c r="AL50" s="60"/>
      <c r="AM50" s="51"/>
      <c r="AN50" s="51" t="s">
        <v>48</v>
      </c>
      <c r="AO50" s="63" t="s">
        <v>190</v>
      </c>
      <c r="AP50" s="63" t="s">
        <v>183</v>
      </c>
      <c r="AQ50" s="57" t="s">
        <v>940</v>
      </c>
      <c r="AR50" s="51" t="s">
        <v>64</v>
      </c>
      <c r="AS50" s="55" t="s">
        <v>95</v>
      </c>
      <c r="AT50" s="242" t="s">
        <v>48</v>
      </c>
    </row>
    <row r="51" spans="1:46" s="65" customFormat="1" ht="18.75" customHeight="1">
      <c r="A51" s="257">
        <v>39</v>
      </c>
      <c r="B51" s="51" t="s">
        <v>327</v>
      </c>
      <c r="C51" s="53" t="s">
        <v>191</v>
      </c>
      <c r="D51" s="433" t="s">
        <v>144</v>
      </c>
      <c r="E51" s="55" t="s">
        <v>344</v>
      </c>
      <c r="F51" s="56">
        <v>43202</v>
      </c>
      <c r="G51" s="56">
        <v>43202</v>
      </c>
      <c r="H51" s="56">
        <v>43567</v>
      </c>
      <c r="I51" s="56"/>
      <c r="J51" s="57">
        <f t="shared" ca="1" si="33"/>
        <v>2</v>
      </c>
      <c r="K51" s="57">
        <f t="shared" ca="1" si="34"/>
        <v>8</v>
      </c>
      <c r="L51" s="58"/>
      <c r="M51" s="58"/>
      <c r="N51" s="55" t="s">
        <v>76</v>
      </c>
      <c r="O51" s="55" t="s">
        <v>36</v>
      </c>
      <c r="P51" s="55" t="s">
        <v>41</v>
      </c>
      <c r="Q51" s="56">
        <v>31305</v>
      </c>
      <c r="R51" s="77">
        <f t="shared" ca="1" si="35"/>
        <v>35</v>
      </c>
      <c r="S51" s="77">
        <f t="shared" ca="1" si="36"/>
        <v>3</v>
      </c>
      <c r="T51" s="51" t="s">
        <v>152</v>
      </c>
      <c r="U51" s="51" t="s">
        <v>153</v>
      </c>
      <c r="V51" s="55" t="s">
        <v>48</v>
      </c>
      <c r="W51" s="55" t="s">
        <v>192</v>
      </c>
      <c r="X51" s="63" t="s">
        <v>196</v>
      </c>
      <c r="Y51" s="56">
        <v>28085</v>
      </c>
      <c r="Z51" s="51" t="s">
        <v>193</v>
      </c>
      <c r="AA51" s="58">
        <v>39614</v>
      </c>
      <c r="AB51" s="77">
        <f t="shared" ca="1" si="37"/>
        <v>12</v>
      </c>
      <c r="AC51" s="55" t="s">
        <v>48</v>
      </c>
      <c r="AD51" s="55" t="s">
        <v>48</v>
      </c>
      <c r="AE51" s="55" t="s">
        <v>48</v>
      </c>
      <c r="AF51" s="71"/>
      <c r="AG51" s="71"/>
      <c r="AH51" s="71"/>
      <c r="AI51" s="63" t="s">
        <v>194</v>
      </c>
      <c r="AJ51" s="60" t="s">
        <v>181</v>
      </c>
      <c r="AK51" s="60" t="s">
        <v>181</v>
      </c>
      <c r="AL51" s="60"/>
      <c r="AM51" s="51"/>
      <c r="AN51" s="51" t="s">
        <v>48</v>
      </c>
      <c r="AO51" s="63" t="s">
        <v>195</v>
      </c>
      <c r="AP51" s="63" t="s">
        <v>191</v>
      </c>
      <c r="AQ51" s="57" t="s">
        <v>941</v>
      </c>
      <c r="AR51" s="51" t="s">
        <v>64</v>
      </c>
      <c r="AS51" s="55" t="s">
        <v>95</v>
      </c>
      <c r="AT51" s="242" t="s">
        <v>48</v>
      </c>
    </row>
    <row r="52" spans="1:46" s="65" customFormat="1" ht="18.75" customHeight="1">
      <c r="A52" s="51">
        <v>40</v>
      </c>
      <c r="B52" s="51" t="s">
        <v>328</v>
      </c>
      <c r="C52" s="53" t="s">
        <v>211</v>
      </c>
      <c r="D52" s="433" t="s">
        <v>1033</v>
      </c>
      <c r="E52" s="55" t="s">
        <v>344</v>
      </c>
      <c r="F52" s="56">
        <v>43202</v>
      </c>
      <c r="G52" s="56">
        <v>43202</v>
      </c>
      <c r="H52" s="56">
        <v>43567</v>
      </c>
      <c r="I52" s="56"/>
      <c r="J52" s="57">
        <f t="shared" ca="1" si="33"/>
        <v>2</v>
      </c>
      <c r="K52" s="57">
        <f t="shared" ca="1" si="34"/>
        <v>8</v>
      </c>
      <c r="L52" s="58"/>
      <c r="M52" s="58"/>
      <c r="N52" s="55" t="s">
        <v>76</v>
      </c>
      <c r="O52" s="55" t="s">
        <v>36</v>
      </c>
      <c r="P52" s="55" t="s">
        <v>41</v>
      </c>
      <c r="Q52" s="56">
        <v>37047</v>
      </c>
      <c r="R52" s="77">
        <f t="shared" ca="1" si="35"/>
        <v>19</v>
      </c>
      <c r="S52" s="77">
        <f t="shared" ca="1" si="36"/>
        <v>7</v>
      </c>
      <c r="T52" s="51" t="s">
        <v>184</v>
      </c>
      <c r="U52" s="51" t="s">
        <v>48</v>
      </c>
      <c r="V52" s="55" t="s">
        <v>44</v>
      </c>
      <c r="W52" s="55" t="s">
        <v>59</v>
      </c>
      <c r="X52" s="55" t="s">
        <v>48</v>
      </c>
      <c r="Y52" s="55" t="s">
        <v>48</v>
      </c>
      <c r="Z52" s="55" t="s">
        <v>48</v>
      </c>
      <c r="AA52" s="55" t="s">
        <v>48</v>
      </c>
      <c r="AB52" s="55" t="s">
        <v>48</v>
      </c>
      <c r="AC52" s="55" t="s">
        <v>48</v>
      </c>
      <c r="AD52" s="55" t="s">
        <v>48</v>
      </c>
      <c r="AE52" s="55" t="s">
        <v>48</v>
      </c>
      <c r="AF52" s="71"/>
      <c r="AG52" s="71"/>
      <c r="AH52" s="71"/>
      <c r="AI52" s="63" t="s">
        <v>48</v>
      </c>
      <c r="AJ52" s="60" t="s">
        <v>248</v>
      </c>
      <c r="AK52" s="60" t="s">
        <v>248</v>
      </c>
      <c r="AL52" s="60"/>
      <c r="AM52" s="51"/>
      <c r="AN52" s="51" t="s">
        <v>48</v>
      </c>
      <c r="AO52" s="63" t="s">
        <v>249</v>
      </c>
      <c r="AP52" s="63" t="s">
        <v>211</v>
      </c>
      <c r="AQ52" s="57" t="s">
        <v>942</v>
      </c>
      <c r="AR52" s="51" t="s">
        <v>64</v>
      </c>
      <c r="AS52" s="55" t="s">
        <v>95</v>
      </c>
      <c r="AT52" s="242" t="s">
        <v>48</v>
      </c>
    </row>
    <row r="53" spans="1:46" s="65" customFormat="1" ht="18.75" customHeight="1">
      <c r="A53" s="257">
        <v>41</v>
      </c>
      <c r="B53" s="51" t="s">
        <v>329</v>
      </c>
      <c r="C53" s="53" t="s">
        <v>217</v>
      </c>
      <c r="D53" s="433" t="s">
        <v>991</v>
      </c>
      <c r="E53" s="55" t="s">
        <v>344</v>
      </c>
      <c r="F53" s="56">
        <v>43202</v>
      </c>
      <c r="G53" s="56">
        <v>43202</v>
      </c>
      <c r="H53" s="56">
        <v>43567</v>
      </c>
      <c r="I53" s="56"/>
      <c r="J53" s="57">
        <f t="shared" ca="1" si="33"/>
        <v>2</v>
      </c>
      <c r="K53" s="57">
        <f t="shared" ca="1" si="34"/>
        <v>8</v>
      </c>
      <c r="L53" s="58"/>
      <c r="M53" s="58"/>
      <c r="N53" s="55" t="s">
        <v>35</v>
      </c>
      <c r="O53" s="55" t="s">
        <v>36</v>
      </c>
      <c r="P53" s="55" t="s">
        <v>41</v>
      </c>
      <c r="Q53" s="56">
        <v>35595</v>
      </c>
      <c r="R53" s="77">
        <f t="shared" ca="1" si="35"/>
        <v>23</v>
      </c>
      <c r="S53" s="77">
        <f t="shared" ca="1" si="36"/>
        <v>6</v>
      </c>
      <c r="T53" s="51" t="s">
        <v>68</v>
      </c>
      <c r="U53" s="51" t="s">
        <v>235</v>
      </c>
      <c r="V53" s="55" t="s">
        <v>48</v>
      </c>
      <c r="W53" s="55" t="s">
        <v>59</v>
      </c>
      <c r="X53" s="55" t="s">
        <v>48</v>
      </c>
      <c r="Y53" s="55" t="s">
        <v>48</v>
      </c>
      <c r="Z53" s="55" t="s">
        <v>48</v>
      </c>
      <c r="AA53" s="55" t="s">
        <v>48</v>
      </c>
      <c r="AB53" s="55" t="s">
        <v>48</v>
      </c>
      <c r="AC53" s="55" t="s">
        <v>48</v>
      </c>
      <c r="AD53" s="55" t="s">
        <v>48</v>
      </c>
      <c r="AE53" s="55" t="s">
        <v>48</v>
      </c>
      <c r="AF53" s="71"/>
      <c r="AG53" s="71"/>
      <c r="AH53" s="71"/>
      <c r="AI53" s="63" t="s">
        <v>236</v>
      </c>
      <c r="AJ53" s="60" t="s">
        <v>237</v>
      </c>
      <c r="AK53" s="60" t="s">
        <v>237</v>
      </c>
      <c r="AL53" s="60"/>
      <c r="AM53" s="51"/>
      <c r="AN53" s="51" t="s">
        <v>48</v>
      </c>
      <c r="AO53" s="63" t="s">
        <v>238</v>
      </c>
      <c r="AP53" s="63" t="s">
        <v>239</v>
      </c>
      <c r="AQ53" s="57" t="s">
        <v>943</v>
      </c>
      <c r="AR53" s="51" t="s">
        <v>64</v>
      </c>
      <c r="AS53" s="55" t="s">
        <v>95</v>
      </c>
      <c r="AT53" s="239" t="s">
        <v>240</v>
      </c>
    </row>
    <row r="54" spans="1:46" s="65" customFormat="1" ht="18.75" customHeight="1">
      <c r="A54" s="51">
        <v>42</v>
      </c>
      <c r="B54" s="51" t="s">
        <v>330</v>
      </c>
      <c r="C54" s="53" t="s">
        <v>218</v>
      </c>
      <c r="D54" s="433" t="s">
        <v>144</v>
      </c>
      <c r="E54" s="55" t="s">
        <v>344</v>
      </c>
      <c r="F54" s="56">
        <v>43202</v>
      </c>
      <c r="G54" s="56">
        <v>43202</v>
      </c>
      <c r="H54" s="56">
        <v>43567</v>
      </c>
      <c r="I54" s="56"/>
      <c r="J54" s="57">
        <f t="shared" ca="1" si="33"/>
        <v>2</v>
      </c>
      <c r="K54" s="57">
        <f t="shared" ca="1" si="34"/>
        <v>8</v>
      </c>
      <c r="L54" s="58"/>
      <c r="M54" s="58"/>
      <c r="N54" s="55" t="s">
        <v>76</v>
      </c>
      <c r="O54" s="55" t="s">
        <v>36</v>
      </c>
      <c r="P54" s="55" t="s">
        <v>41</v>
      </c>
      <c r="Q54" s="56">
        <v>35068</v>
      </c>
      <c r="R54" s="77">
        <f t="shared" ca="1" si="35"/>
        <v>25</v>
      </c>
      <c r="S54" s="77">
        <f t="shared" ca="1" si="36"/>
        <v>0</v>
      </c>
      <c r="T54" s="51" t="s">
        <v>136</v>
      </c>
      <c r="U54" s="51" t="s">
        <v>48</v>
      </c>
      <c r="V54" s="55" t="s">
        <v>44</v>
      </c>
      <c r="W54" s="55" t="s">
        <v>59</v>
      </c>
      <c r="X54" s="55" t="s">
        <v>48</v>
      </c>
      <c r="Y54" s="55" t="s">
        <v>48</v>
      </c>
      <c r="Z54" s="55" t="s">
        <v>48</v>
      </c>
      <c r="AA54" s="55" t="s">
        <v>48</v>
      </c>
      <c r="AB54" s="55" t="s">
        <v>48</v>
      </c>
      <c r="AC54" s="55" t="s">
        <v>48</v>
      </c>
      <c r="AD54" s="55" t="s">
        <v>48</v>
      </c>
      <c r="AE54" s="55" t="s">
        <v>48</v>
      </c>
      <c r="AF54" s="71"/>
      <c r="AG54" s="71"/>
      <c r="AH54" s="71"/>
      <c r="AI54" s="63" t="s">
        <v>250</v>
      </c>
      <c r="AJ54" s="60" t="s">
        <v>251</v>
      </c>
      <c r="AK54" s="60" t="s">
        <v>251</v>
      </c>
      <c r="AL54" s="60"/>
      <c r="AM54" s="51"/>
      <c r="AN54" s="51" t="s">
        <v>48</v>
      </c>
      <c r="AO54" s="63" t="s">
        <v>252</v>
      </c>
      <c r="AP54" s="63" t="s">
        <v>253</v>
      </c>
      <c r="AQ54" s="57" t="s">
        <v>944</v>
      </c>
      <c r="AR54" s="51" t="s">
        <v>64</v>
      </c>
      <c r="AS54" s="55" t="s">
        <v>95</v>
      </c>
      <c r="AT54" s="242"/>
    </row>
    <row r="55" spans="1:46" s="65" customFormat="1" ht="18.75" customHeight="1">
      <c r="A55" s="257">
        <v>43</v>
      </c>
      <c r="B55" s="51" t="s">
        <v>333</v>
      </c>
      <c r="C55" s="53" t="s">
        <v>355</v>
      </c>
      <c r="D55" s="433" t="s">
        <v>144</v>
      </c>
      <c r="E55" s="55" t="s">
        <v>344</v>
      </c>
      <c r="F55" s="56">
        <v>43202</v>
      </c>
      <c r="G55" s="56">
        <v>43202</v>
      </c>
      <c r="H55" s="56">
        <v>43567</v>
      </c>
      <c r="I55" s="56"/>
      <c r="J55" s="57">
        <f t="shared" ca="1" si="33"/>
        <v>2</v>
      </c>
      <c r="K55" s="57">
        <f t="shared" ca="1" si="34"/>
        <v>8</v>
      </c>
      <c r="L55" s="58"/>
      <c r="M55" s="58"/>
      <c r="N55" s="55" t="s">
        <v>76</v>
      </c>
      <c r="O55" s="55" t="s">
        <v>36</v>
      </c>
      <c r="P55" s="55" t="s">
        <v>41</v>
      </c>
      <c r="Q55" s="56">
        <v>34056</v>
      </c>
      <c r="R55" s="77">
        <f t="shared" ca="1" si="35"/>
        <v>27</v>
      </c>
      <c r="S55" s="77">
        <f t="shared" ca="1" si="36"/>
        <v>9</v>
      </c>
      <c r="T55" s="51" t="s">
        <v>136</v>
      </c>
      <c r="U55" s="51" t="s">
        <v>48</v>
      </c>
      <c r="V55" s="55" t="s">
        <v>48</v>
      </c>
      <c r="W55" s="55" t="s">
        <v>350</v>
      </c>
      <c r="X55" s="51" t="s">
        <v>351</v>
      </c>
      <c r="Y55" s="58">
        <v>33005</v>
      </c>
      <c r="Z55" s="55" t="s">
        <v>48</v>
      </c>
      <c r="AA55" s="55" t="s">
        <v>48</v>
      </c>
      <c r="AB55" s="55" t="s">
        <v>48</v>
      </c>
      <c r="AC55" s="55" t="s">
        <v>48</v>
      </c>
      <c r="AD55" s="55" t="s">
        <v>48</v>
      </c>
      <c r="AE55" s="55" t="s">
        <v>48</v>
      </c>
      <c r="AF55" s="71"/>
      <c r="AG55" s="71"/>
      <c r="AH55" s="71"/>
      <c r="AI55" s="63" t="s">
        <v>352</v>
      </c>
      <c r="AJ55" s="60" t="s">
        <v>353</v>
      </c>
      <c r="AK55" s="60" t="s">
        <v>353</v>
      </c>
      <c r="AL55" s="60"/>
      <c r="AM55" s="51"/>
      <c r="AN55" s="51" t="s">
        <v>48</v>
      </c>
      <c r="AO55" s="70" t="s">
        <v>354</v>
      </c>
      <c r="AP55" s="63" t="s">
        <v>355</v>
      </c>
      <c r="AQ55" s="57" t="s">
        <v>945</v>
      </c>
      <c r="AR55" s="51" t="s">
        <v>64</v>
      </c>
      <c r="AS55" s="55" t="s">
        <v>95</v>
      </c>
      <c r="AT55" s="242"/>
    </row>
    <row r="56" spans="1:46" s="65" customFormat="1" ht="18.75" customHeight="1">
      <c r="A56" s="51">
        <v>44</v>
      </c>
      <c r="B56" s="51" t="s">
        <v>404</v>
      </c>
      <c r="C56" s="53" t="s">
        <v>401</v>
      </c>
      <c r="D56" s="433" t="s">
        <v>996</v>
      </c>
      <c r="E56" s="55" t="s">
        <v>344</v>
      </c>
      <c r="F56" s="56">
        <v>43330</v>
      </c>
      <c r="G56" s="56">
        <v>43330</v>
      </c>
      <c r="H56" s="56"/>
      <c r="I56" s="56"/>
      <c r="J56" s="57">
        <f t="shared" ca="1" si="33"/>
        <v>2</v>
      </c>
      <c r="K56" s="57">
        <f t="shared" ca="1" si="34"/>
        <v>4</v>
      </c>
      <c r="L56" s="58"/>
      <c r="M56" s="58"/>
      <c r="N56" s="55" t="s">
        <v>35</v>
      </c>
      <c r="O56" s="55" t="s">
        <v>36</v>
      </c>
      <c r="P56" s="55" t="s">
        <v>41</v>
      </c>
      <c r="Q56" s="56">
        <v>36332</v>
      </c>
      <c r="R56" s="77">
        <f t="shared" ca="1" si="35"/>
        <v>21</v>
      </c>
      <c r="S56" s="77">
        <f t="shared" ca="1" si="36"/>
        <v>6</v>
      </c>
      <c r="T56" s="51" t="s">
        <v>152</v>
      </c>
      <c r="U56" s="51" t="s">
        <v>48</v>
      </c>
      <c r="V56" s="55" t="s">
        <v>48</v>
      </c>
      <c r="W56" s="55" t="s">
        <v>59</v>
      </c>
      <c r="X56" s="55" t="s">
        <v>48</v>
      </c>
      <c r="Y56" s="55" t="s">
        <v>48</v>
      </c>
      <c r="Z56" s="55" t="s">
        <v>48</v>
      </c>
      <c r="AA56" s="55" t="s">
        <v>48</v>
      </c>
      <c r="AB56" s="55" t="s">
        <v>48</v>
      </c>
      <c r="AC56" s="55" t="s">
        <v>48</v>
      </c>
      <c r="AD56" s="55" t="s">
        <v>48</v>
      </c>
      <c r="AE56" s="55" t="s">
        <v>48</v>
      </c>
      <c r="AF56" s="71"/>
      <c r="AG56" s="71"/>
      <c r="AH56" s="71"/>
      <c r="AI56" s="70" t="s">
        <v>568</v>
      </c>
      <c r="AJ56" s="60" t="s">
        <v>569</v>
      </c>
      <c r="AK56" s="60" t="s">
        <v>569</v>
      </c>
      <c r="AL56" s="60"/>
      <c r="AM56" s="51"/>
      <c r="AN56" s="51" t="s">
        <v>48</v>
      </c>
      <c r="AO56" s="70" t="s">
        <v>567</v>
      </c>
      <c r="AP56" s="150" t="s">
        <v>401</v>
      </c>
      <c r="AQ56" s="57" t="s">
        <v>950</v>
      </c>
      <c r="AR56" s="51" t="s">
        <v>64</v>
      </c>
      <c r="AS56" s="55" t="s">
        <v>95</v>
      </c>
      <c r="AT56" s="242"/>
    </row>
    <row r="57" spans="1:46" s="65" customFormat="1" ht="20.25" customHeight="1">
      <c r="A57" s="257">
        <v>45</v>
      </c>
      <c r="B57" s="51" t="s">
        <v>430</v>
      </c>
      <c r="C57" s="53" t="s">
        <v>400</v>
      </c>
      <c r="D57" s="433" t="s">
        <v>821</v>
      </c>
      <c r="E57" s="55" t="s">
        <v>344</v>
      </c>
      <c r="F57" s="56">
        <v>43398</v>
      </c>
      <c r="G57" s="56">
        <v>43398</v>
      </c>
      <c r="H57" s="56"/>
      <c r="I57" s="56"/>
      <c r="J57" s="57">
        <f t="shared" ca="1" si="33"/>
        <v>2</v>
      </c>
      <c r="K57" s="57">
        <f t="shared" ca="1" si="34"/>
        <v>2</v>
      </c>
      <c r="L57" s="58"/>
      <c r="M57" s="58"/>
      <c r="N57" s="55" t="s">
        <v>35</v>
      </c>
      <c r="O57" s="55" t="s">
        <v>36</v>
      </c>
      <c r="P57" s="55" t="s">
        <v>41</v>
      </c>
      <c r="Q57" s="56">
        <v>32168</v>
      </c>
      <c r="R57" s="77">
        <f t="shared" ca="1" si="35"/>
        <v>32</v>
      </c>
      <c r="S57" s="77">
        <f t="shared" ca="1" si="36"/>
        <v>11</v>
      </c>
      <c r="T57" s="51" t="s">
        <v>152</v>
      </c>
      <c r="U57" s="51" t="s">
        <v>48</v>
      </c>
      <c r="V57" s="55" t="s">
        <v>48</v>
      </c>
      <c r="W57" s="55" t="s">
        <v>45</v>
      </c>
      <c r="X57" s="51" t="s">
        <v>563</v>
      </c>
      <c r="Y57" s="58">
        <v>34974</v>
      </c>
      <c r="Z57" s="55" t="s">
        <v>48</v>
      </c>
      <c r="AA57" s="55" t="s">
        <v>48</v>
      </c>
      <c r="AB57" s="55" t="s">
        <v>48</v>
      </c>
      <c r="AC57" s="55" t="s">
        <v>48</v>
      </c>
      <c r="AD57" s="55" t="s">
        <v>48</v>
      </c>
      <c r="AE57" s="55" t="s">
        <v>48</v>
      </c>
      <c r="AF57" s="71"/>
      <c r="AG57" s="71"/>
      <c r="AH57" s="71"/>
      <c r="AI57" s="70" t="s">
        <v>564</v>
      </c>
      <c r="AJ57" s="60" t="s">
        <v>565</v>
      </c>
      <c r="AK57" s="60" t="s">
        <v>565</v>
      </c>
      <c r="AL57" s="60"/>
      <c r="AM57" s="51"/>
      <c r="AN57" s="51" t="s">
        <v>48</v>
      </c>
      <c r="AO57" s="70" t="s">
        <v>566</v>
      </c>
      <c r="AP57" s="150" t="s">
        <v>400</v>
      </c>
      <c r="AQ57" s="57" t="s">
        <v>912</v>
      </c>
      <c r="AR57" s="51" t="s">
        <v>64</v>
      </c>
      <c r="AS57" s="55" t="s">
        <v>95</v>
      </c>
      <c r="AT57" s="242"/>
    </row>
    <row r="58" spans="1:46" s="65" customFormat="1" ht="18.75" customHeight="1">
      <c r="A58" s="51">
        <v>46</v>
      </c>
      <c r="B58" s="51" t="s">
        <v>432</v>
      </c>
      <c r="C58" s="53" t="s">
        <v>427</v>
      </c>
      <c r="D58" s="433" t="s">
        <v>821</v>
      </c>
      <c r="E58" s="55" t="s">
        <v>344</v>
      </c>
      <c r="F58" s="56">
        <v>43435</v>
      </c>
      <c r="G58" s="56">
        <v>43435</v>
      </c>
      <c r="H58" s="56"/>
      <c r="I58" s="56"/>
      <c r="J58" s="57">
        <f t="shared" ca="1" si="33"/>
        <v>2</v>
      </c>
      <c r="K58" s="57">
        <f t="shared" ca="1" si="34"/>
        <v>1</v>
      </c>
      <c r="L58" s="58"/>
      <c r="M58" s="58"/>
      <c r="N58" s="55" t="s">
        <v>35</v>
      </c>
      <c r="O58" s="55" t="s">
        <v>36</v>
      </c>
      <c r="P58" s="55" t="s">
        <v>197</v>
      </c>
      <c r="Q58" s="56">
        <v>35297</v>
      </c>
      <c r="R58" s="77">
        <f t="shared" ca="1" si="35"/>
        <v>24</v>
      </c>
      <c r="S58" s="77">
        <f t="shared" ca="1" si="36"/>
        <v>4</v>
      </c>
      <c r="T58" s="51" t="s">
        <v>152</v>
      </c>
      <c r="U58" s="51" t="s">
        <v>48</v>
      </c>
      <c r="V58" s="55" t="s">
        <v>48</v>
      </c>
      <c r="W58" s="55" t="s">
        <v>59</v>
      </c>
      <c r="X58" s="55" t="s">
        <v>48</v>
      </c>
      <c r="Y58" s="55" t="s">
        <v>48</v>
      </c>
      <c r="Z58" s="55" t="s">
        <v>48</v>
      </c>
      <c r="AA58" s="55" t="s">
        <v>48</v>
      </c>
      <c r="AB58" s="55" t="s">
        <v>48</v>
      </c>
      <c r="AC58" s="55" t="s">
        <v>48</v>
      </c>
      <c r="AD58" s="55" t="s">
        <v>48</v>
      </c>
      <c r="AE58" s="55" t="s">
        <v>48</v>
      </c>
      <c r="AF58" s="71"/>
      <c r="AG58" s="71"/>
      <c r="AH58" s="71"/>
      <c r="AI58" s="63"/>
      <c r="AJ58" s="60" t="s">
        <v>434</v>
      </c>
      <c r="AK58" s="60" t="s">
        <v>434</v>
      </c>
      <c r="AL58" s="60"/>
      <c r="AM58" s="51"/>
      <c r="AN58" s="51" t="s">
        <v>48</v>
      </c>
      <c r="AO58" s="70" t="s">
        <v>433</v>
      </c>
      <c r="AP58" s="150" t="s">
        <v>427</v>
      </c>
      <c r="AQ58" s="57" t="s">
        <v>951</v>
      </c>
      <c r="AR58" s="51" t="s">
        <v>64</v>
      </c>
      <c r="AS58" s="55" t="s">
        <v>95</v>
      </c>
      <c r="AT58" s="242"/>
    </row>
    <row r="59" spans="1:46" s="65" customFormat="1" ht="20.25" customHeight="1">
      <c r="A59" s="257">
        <v>47</v>
      </c>
      <c r="B59" s="51" t="s">
        <v>474</v>
      </c>
      <c r="C59" s="53" t="s">
        <v>473</v>
      </c>
      <c r="D59" s="433" t="s">
        <v>997</v>
      </c>
      <c r="E59" s="55" t="s">
        <v>344</v>
      </c>
      <c r="F59" s="56">
        <v>43474</v>
      </c>
      <c r="G59" s="56">
        <v>43474</v>
      </c>
      <c r="H59" s="56"/>
      <c r="I59" s="56"/>
      <c r="J59" s="57">
        <f t="shared" ca="1" si="33"/>
        <v>1</v>
      </c>
      <c r="K59" s="57">
        <f t="shared" ca="1" si="34"/>
        <v>11</v>
      </c>
      <c r="L59" s="58"/>
      <c r="M59" s="58"/>
      <c r="N59" s="55" t="s">
        <v>35</v>
      </c>
      <c r="O59" s="55" t="s">
        <v>36</v>
      </c>
      <c r="P59" s="55" t="s">
        <v>41</v>
      </c>
      <c r="Q59" s="56">
        <v>35122</v>
      </c>
      <c r="R59" s="131">
        <f t="shared" ref="R59:R74" ca="1" si="38">DATEDIF(Q59,$A$3,"Y")</f>
        <v>24</v>
      </c>
      <c r="S59" s="131">
        <f t="shared" ref="S59:S74" ca="1" si="39">DATEDIF(Q59,$A$3,"YM")</f>
        <v>10</v>
      </c>
      <c r="T59" s="51" t="s">
        <v>68</v>
      </c>
      <c r="U59" s="51" t="s">
        <v>364</v>
      </c>
      <c r="V59" s="55" t="s">
        <v>48</v>
      </c>
      <c r="W59" s="55" t="s">
        <v>59</v>
      </c>
      <c r="X59" s="55" t="s">
        <v>48</v>
      </c>
      <c r="Y59" s="55" t="s">
        <v>48</v>
      </c>
      <c r="Z59" s="55" t="s">
        <v>48</v>
      </c>
      <c r="AA59" s="55" t="s">
        <v>48</v>
      </c>
      <c r="AB59" s="55" t="s">
        <v>48</v>
      </c>
      <c r="AC59" s="55" t="s">
        <v>48</v>
      </c>
      <c r="AD59" s="55" t="s">
        <v>48</v>
      </c>
      <c r="AE59" s="55" t="s">
        <v>48</v>
      </c>
      <c r="AF59" s="71"/>
      <c r="AG59" s="71"/>
      <c r="AH59" s="71"/>
      <c r="AI59" s="63" t="s">
        <v>476</v>
      </c>
      <c r="AJ59" s="60" t="s">
        <v>475</v>
      </c>
      <c r="AK59" s="60" t="s">
        <v>475</v>
      </c>
      <c r="AL59" s="60"/>
      <c r="AM59" s="51"/>
      <c r="AN59" s="51" t="s">
        <v>48</v>
      </c>
      <c r="AO59" s="70" t="s">
        <v>477</v>
      </c>
      <c r="AP59" s="150" t="s">
        <v>473</v>
      </c>
      <c r="AQ59" s="57" t="s">
        <v>913</v>
      </c>
      <c r="AR59" s="51" t="s">
        <v>64</v>
      </c>
      <c r="AS59" s="55" t="s">
        <v>95</v>
      </c>
      <c r="AT59" s="242"/>
    </row>
    <row r="60" spans="1:46" s="65" customFormat="1" ht="20.25" customHeight="1">
      <c r="A60" s="51">
        <v>48</v>
      </c>
      <c r="B60" s="51" t="s">
        <v>479</v>
      </c>
      <c r="C60" s="116" t="s">
        <v>500</v>
      </c>
      <c r="D60" s="433" t="s">
        <v>997</v>
      </c>
      <c r="E60" s="55" t="s">
        <v>344</v>
      </c>
      <c r="F60" s="56">
        <v>43475</v>
      </c>
      <c r="G60" s="56">
        <v>43475</v>
      </c>
      <c r="H60" s="56"/>
      <c r="I60" s="56"/>
      <c r="J60" s="57">
        <f t="shared" ca="1" si="33"/>
        <v>1</v>
      </c>
      <c r="K60" s="57">
        <f t="shared" ca="1" si="34"/>
        <v>11</v>
      </c>
      <c r="L60" s="58"/>
      <c r="M60" s="58"/>
      <c r="N60" s="55" t="s">
        <v>35</v>
      </c>
      <c r="O60" s="55" t="s">
        <v>36</v>
      </c>
      <c r="P60" s="55" t="s">
        <v>41</v>
      </c>
      <c r="Q60" s="56">
        <v>35692</v>
      </c>
      <c r="R60" s="131">
        <f t="shared" ref="R60" ca="1" si="40">DATEDIF(Q60,$A$3,"Y")</f>
        <v>23</v>
      </c>
      <c r="S60" s="131">
        <f t="shared" ref="S60" ca="1" si="41">DATEDIF(Q60,$A$3,"YM")</f>
        <v>3</v>
      </c>
      <c r="T60" s="51" t="s">
        <v>68</v>
      </c>
      <c r="U60" s="51" t="s">
        <v>480</v>
      </c>
      <c r="V60" s="55" t="s">
        <v>48</v>
      </c>
      <c r="W60" s="55" t="s">
        <v>59</v>
      </c>
      <c r="X60" s="55" t="s">
        <v>48</v>
      </c>
      <c r="Y60" s="55" t="s">
        <v>48</v>
      </c>
      <c r="Z60" s="55" t="s">
        <v>48</v>
      </c>
      <c r="AA60" s="55" t="s">
        <v>48</v>
      </c>
      <c r="AB60" s="55" t="s">
        <v>48</v>
      </c>
      <c r="AC60" s="55" t="s">
        <v>48</v>
      </c>
      <c r="AD60" s="55" t="s">
        <v>48</v>
      </c>
      <c r="AE60" s="55" t="s">
        <v>48</v>
      </c>
      <c r="AF60" s="71"/>
      <c r="AG60" s="71"/>
      <c r="AH60" s="71"/>
      <c r="AI60" s="63" t="s">
        <v>497</v>
      </c>
      <c r="AJ60" s="60" t="s">
        <v>498</v>
      </c>
      <c r="AK60" s="60" t="s">
        <v>498</v>
      </c>
      <c r="AL60" s="60"/>
      <c r="AM60" s="51"/>
      <c r="AN60" s="51" t="s">
        <v>48</v>
      </c>
      <c r="AO60" s="70" t="s">
        <v>499</v>
      </c>
      <c r="AP60" s="228" t="s">
        <v>500</v>
      </c>
      <c r="AQ60" s="57" t="s">
        <v>914</v>
      </c>
      <c r="AR60" s="51" t="s">
        <v>64</v>
      </c>
      <c r="AS60" s="55" t="s">
        <v>95</v>
      </c>
      <c r="AT60" s="242"/>
    </row>
    <row r="61" spans="1:46" s="65" customFormat="1" ht="20.25" customHeight="1">
      <c r="A61" s="257">
        <v>49</v>
      </c>
      <c r="B61" s="222" t="s">
        <v>493</v>
      </c>
      <c r="C61" s="116" t="s">
        <v>492</v>
      </c>
      <c r="D61" s="433" t="s">
        <v>144</v>
      </c>
      <c r="E61" s="55" t="s">
        <v>344</v>
      </c>
      <c r="F61" s="56">
        <v>43481</v>
      </c>
      <c r="G61" s="56">
        <v>43481</v>
      </c>
      <c r="H61" s="56"/>
      <c r="I61" s="56"/>
      <c r="J61" s="57">
        <f t="shared" ca="1" si="33"/>
        <v>1</v>
      </c>
      <c r="K61" s="57">
        <f t="shared" ca="1" si="34"/>
        <v>11</v>
      </c>
      <c r="L61" s="58"/>
      <c r="M61" s="58"/>
      <c r="N61" s="55" t="s">
        <v>76</v>
      </c>
      <c r="O61" s="55" t="s">
        <v>36</v>
      </c>
      <c r="P61" s="55" t="s">
        <v>41</v>
      </c>
      <c r="Q61" s="56">
        <v>35716</v>
      </c>
      <c r="R61" s="131">
        <f t="shared" ca="1" si="38"/>
        <v>23</v>
      </c>
      <c r="S61" s="131">
        <f t="shared" ca="1" si="39"/>
        <v>2</v>
      </c>
      <c r="T61" s="51" t="s">
        <v>152</v>
      </c>
      <c r="U61" s="51" t="s">
        <v>153</v>
      </c>
      <c r="V61" s="55" t="s">
        <v>48</v>
      </c>
      <c r="W61" s="55" t="s">
        <v>59</v>
      </c>
      <c r="X61" s="55" t="s">
        <v>48</v>
      </c>
      <c r="Y61" s="55" t="s">
        <v>48</v>
      </c>
      <c r="Z61" s="55" t="s">
        <v>48</v>
      </c>
      <c r="AA61" s="55" t="s">
        <v>48</v>
      </c>
      <c r="AB61" s="55" t="s">
        <v>48</v>
      </c>
      <c r="AC61" s="55" t="s">
        <v>48</v>
      </c>
      <c r="AD61" s="55" t="s">
        <v>48</v>
      </c>
      <c r="AE61" s="55" t="s">
        <v>48</v>
      </c>
      <c r="AF61" s="71"/>
      <c r="AG61" s="71"/>
      <c r="AH61" s="71"/>
      <c r="AI61" s="63" t="s">
        <v>494</v>
      </c>
      <c r="AJ61" s="60" t="s">
        <v>495</v>
      </c>
      <c r="AK61" s="60" t="s">
        <v>495</v>
      </c>
      <c r="AL61" s="60"/>
      <c r="AM61" s="51"/>
      <c r="AN61" s="51" t="s">
        <v>48</v>
      </c>
      <c r="AO61" s="70" t="s">
        <v>496</v>
      </c>
      <c r="AP61" s="228" t="s">
        <v>492</v>
      </c>
      <c r="AQ61" s="57" t="s">
        <v>915</v>
      </c>
      <c r="AR61" s="51" t="s">
        <v>64</v>
      </c>
      <c r="AS61" s="55" t="s">
        <v>95</v>
      </c>
      <c r="AT61" s="242"/>
    </row>
    <row r="62" spans="1:46" s="65" customFormat="1" ht="20.25" customHeight="1">
      <c r="A62" s="51">
        <v>50</v>
      </c>
      <c r="B62" s="194" t="s">
        <v>673</v>
      </c>
      <c r="C62" s="116" t="s">
        <v>672</v>
      </c>
      <c r="D62" s="433" t="s">
        <v>144</v>
      </c>
      <c r="E62" s="51" t="s">
        <v>344</v>
      </c>
      <c r="F62" s="58">
        <v>43637</v>
      </c>
      <c r="G62" s="58">
        <v>43637</v>
      </c>
      <c r="H62" s="58"/>
      <c r="I62" s="58"/>
      <c r="J62" s="57">
        <f t="shared" ca="1" si="33"/>
        <v>1</v>
      </c>
      <c r="K62" s="57">
        <f t="shared" ca="1" si="34"/>
        <v>6</v>
      </c>
      <c r="L62" s="58"/>
      <c r="M62" s="58"/>
      <c r="N62" s="51" t="s">
        <v>76</v>
      </c>
      <c r="O62" s="55" t="s">
        <v>36</v>
      </c>
      <c r="P62" s="55" t="s">
        <v>41</v>
      </c>
      <c r="Q62" s="56">
        <v>35963</v>
      </c>
      <c r="R62" s="190">
        <f t="shared" ca="1" si="38"/>
        <v>22</v>
      </c>
      <c r="S62" s="131">
        <f t="shared" ca="1" si="39"/>
        <v>6</v>
      </c>
      <c r="T62" s="51" t="s">
        <v>68</v>
      </c>
      <c r="U62" s="189" t="s">
        <v>677</v>
      </c>
      <c r="V62" s="51" t="s">
        <v>105</v>
      </c>
      <c r="W62" s="55" t="s">
        <v>59</v>
      </c>
      <c r="X62" s="55" t="s">
        <v>48</v>
      </c>
      <c r="Y62" s="55" t="s">
        <v>48</v>
      </c>
      <c r="Z62" s="55" t="s">
        <v>48</v>
      </c>
      <c r="AA62" s="55" t="s">
        <v>48</v>
      </c>
      <c r="AB62" s="55" t="s">
        <v>48</v>
      </c>
      <c r="AC62" s="55" t="s">
        <v>48</v>
      </c>
      <c r="AD62" s="55" t="s">
        <v>48</v>
      </c>
      <c r="AE62" s="55" t="s">
        <v>48</v>
      </c>
      <c r="AF62" s="55" t="s">
        <v>48</v>
      </c>
      <c r="AG62" s="55" t="s">
        <v>48</v>
      </c>
      <c r="AH62" s="55" t="s">
        <v>48</v>
      </c>
      <c r="AI62" s="70" t="s">
        <v>674</v>
      </c>
      <c r="AJ62" s="60" t="s">
        <v>675</v>
      </c>
      <c r="AK62" s="60" t="s">
        <v>675</v>
      </c>
      <c r="AL62" s="60"/>
      <c r="AM62" s="51"/>
      <c r="AN62" s="51"/>
      <c r="AO62" s="70" t="s">
        <v>676</v>
      </c>
      <c r="AP62" s="228" t="s">
        <v>672</v>
      </c>
      <c r="AQ62" s="57" t="s">
        <v>685</v>
      </c>
      <c r="AR62" s="51" t="s">
        <v>64</v>
      </c>
      <c r="AS62" s="55" t="s">
        <v>95</v>
      </c>
      <c r="AT62" s="242"/>
    </row>
    <row r="63" spans="1:46" s="65" customFormat="1" ht="20.25" customHeight="1">
      <c r="A63" s="257">
        <v>51</v>
      </c>
      <c r="B63" s="194" t="s">
        <v>689</v>
      </c>
      <c r="C63" s="53" t="s">
        <v>686</v>
      </c>
      <c r="D63" s="433" t="s">
        <v>144</v>
      </c>
      <c r="E63" s="51" t="s">
        <v>344</v>
      </c>
      <c r="F63" s="58">
        <v>43643</v>
      </c>
      <c r="G63" s="58">
        <v>43643</v>
      </c>
      <c r="H63" s="58"/>
      <c r="I63" s="58"/>
      <c r="J63" s="57">
        <f t="shared" ca="1" si="33"/>
        <v>1</v>
      </c>
      <c r="K63" s="57">
        <f t="shared" ca="1" si="34"/>
        <v>6</v>
      </c>
      <c r="L63" s="58"/>
      <c r="M63" s="58"/>
      <c r="N63" s="51" t="s">
        <v>76</v>
      </c>
      <c r="O63" s="55" t="s">
        <v>36</v>
      </c>
      <c r="P63" s="55" t="s">
        <v>41</v>
      </c>
      <c r="Q63" s="56">
        <v>34527</v>
      </c>
      <c r="R63" s="190">
        <f t="shared" ca="1" si="38"/>
        <v>26</v>
      </c>
      <c r="S63" s="131">
        <f t="shared" ca="1" si="39"/>
        <v>5</v>
      </c>
      <c r="T63" s="51" t="s">
        <v>152</v>
      </c>
      <c r="U63" s="51" t="s">
        <v>48</v>
      </c>
      <c r="V63" s="195"/>
      <c r="W63" s="55" t="s">
        <v>45</v>
      </c>
      <c r="X63" s="195" t="s">
        <v>693</v>
      </c>
      <c r="Y63" s="58">
        <v>30882</v>
      </c>
      <c r="Z63" s="195" t="s">
        <v>694</v>
      </c>
      <c r="AA63" s="58">
        <v>43022</v>
      </c>
      <c r="AB63" s="77">
        <f t="shared" ref="AB63" ca="1" si="42">DATEDIF(AA63,$A$3,"Y")</f>
        <v>3</v>
      </c>
      <c r="AC63" s="55" t="s">
        <v>48</v>
      </c>
      <c r="AD63" s="55" t="s">
        <v>48</v>
      </c>
      <c r="AE63" s="55" t="s">
        <v>48</v>
      </c>
      <c r="AF63" s="55" t="s">
        <v>48</v>
      </c>
      <c r="AG63" s="55" t="s">
        <v>48</v>
      </c>
      <c r="AH63" s="55" t="s">
        <v>48</v>
      </c>
      <c r="AI63" s="197" t="s">
        <v>695</v>
      </c>
      <c r="AJ63" s="60" t="s">
        <v>696</v>
      </c>
      <c r="AK63" s="60" t="s">
        <v>696</v>
      </c>
      <c r="AL63" s="60"/>
      <c r="AM63" s="60"/>
      <c r="AN63" s="60"/>
      <c r="AO63" s="197" t="s">
        <v>703</v>
      </c>
      <c r="AP63" s="63" t="s">
        <v>686</v>
      </c>
      <c r="AQ63" s="196" t="s">
        <v>711</v>
      </c>
      <c r="AR63" s="51" t="s">
        <v>64</v>
      </c>
      <c r="AS63" s="55" t="s">
        <v>95</v>
      </c>
      <c r="AT63" s="242"/>
    </row>
    <row r="64" spans="1:46" s="65" customFormat="1" ht="20.25" customHeight="1">
      <c r="A64" s="51">
        <v>52</v>
      </c>
      <c r="B64" s="194" t="s">
        <v>690</v>
      </c>
      <c r="C64" s="53" t="s">
        <v>687</v>
      </c>
      <c r="D64" s="433" t="s">
        <v>988</v>
      </c>
      <c r="E64" s="51" t="s">
        <v>344</v>
      </c>
      <c r="F64" s="58">
        <v>43643</v>
      </c>
      <c r="G64" s="58">
        <v>43643</v>
      </c>
      <c r="H64" s="58"/>
      <c r="I64" s="58"/>
      <c r="J64" s="57">
        <f t="shared" ca="1" si="33"/>
        <v>1</v>
      </c>
      <c r="K64" s="57">
        <f t="shared" ca="1" si="34"/>
        <v>6</v>
      </c>
      <c r="L64" s="58"/>
      <c r="M64" s="58"/>
      <c r="N64" s="51" t="s">
        <v>76</v>
      </c>
      <c r="O64" s="55" t="s">
        <v>36</v>
      </c>
      <c r="P64" s="55" t="s">
        <v>41</v>
      </c>
      <c r="Q64" s="56">
        <v>35602</v>
      </c>
      <c r="R64" s="190">
        <f t="shared" ca="1" si="38"/>
        <v>23</v>
      </c>
      <c r="S64" s="131">
        <f t="shared" ca="1" si="39"/>
        <v>6</v>
      </c>
      <c r="T64" s="51" t="s">
        <v>57</v>
      </c>
      <c r="U64" s="51" t="s">
        <v>161</v>
      </c>
      <c r="V64" s="195"/>
      <c r="W64" s="55" t="s">
        <v>59</v>
      </c>
      <c r="X64" s="55" t="s">
        <v>48</v>
      </c>
      <c r="Y64" s="55" t="s">
        <v>48</v>
      </c>
      <c r="Z64" s="55" t="s">
        <v>48</v>
      </c>
      <c r="AA64" s="55" t="s">
        <v>48</v>
      </c>
      <c r="AB64" s="55" t="s">
        <v>48</v>
      </c>
      <c r="AC64" s="55" t="s">
        <v>48</v>
      </c>
      <c r="AD64" s="55" t="s">
        <v>48</v>
      </c>
      <c r="AE64" s="55" t="s">
        <v>48</v>
      </c>
      <c r="AF64" s="55" t="s">
        <v>48</v>
      </c>
      <c r="AG64" s="55" t="s">
        <v>48</v>
      </c>
      <c r="AH64" s="55" t="s">
        <v>48</v>
      </c>
      <c r="AI64" s="197" t="s">
        <v>697</v>
      </c>
      <c r="AJ64" s="60" t="s">
        <v>698</v>
      </c>
      <c r="AK64" s="60" t="s">
        <v>698</v>
      </c>
      <c r="AL64" s="60"/>
      <c r="AM64" s="60"/>
      <c r="AN64" s="60"/>
      <c r="AO64" s="197" t="s">
        <v>699</v>
      </c>
      <c r="AP64" s="63" t="s">
        <v>687</v>
      </c>
      <c r="AQ64" s="196" t="s">
        <v>714</v>
      </c>
      <c r="AR64" s="51" t="s">
        <v>64</v>
      </c>
      <c r="AS64" s="55" t="s">
        <v>95</v>
      </c>
      <c r="AT64" s="242"/>
    </row>
    <row r="65" spans="1:331" s="65" customFormat="1" ht="20.25" customHeight="1">
      <c r="A65" s="257">
        <v>53</v>
      </c>
      <c r="B65" s="194" t="s">
        <v>691</v>
      </c>
      <c r="C65" s="53" t="s">
        <v>688</v>
      </c>
      <c r="D65" s="195" t="s">
        <v>990</v>
      </c>
      <c r="E65" s="51" t="s">
        <v>344</v>
      </c>
      <c r="F65" s="58">
        <v>43643</v>
      </c>
      <c r="G65" s="58">
        <v>43643</v>
      </c>
      <c r="H65" s="58"/>
      <c r="I65" s="58"/>
      <c r="J65" s="57">
        <f t="shared" ca="1" si="33"/>
        <v>1</v>
      </c>
      <c r="K65" s="57">
        <f t="shared" ca="1" si="34"/>
        <v>6</v>
      </c>
      <c r="L65" s="58"/>
      <c r="M65" s="58"/>
      <c r="N65" s="55" t="s">
        <v>35</v>
      </c>
      <c r="O65" s="55" t="s">
        <v>36</v>
      </c>
      <c r="P65" s="55" t="s">
        <v>41</v>
      </c>
      <c r="Q65" s="56">
        <v>32620</v>
      </c>
      <c r="R65" s="190">
        <f t="shared" ca="1" si="38"/>
        <v>31</v>
      </c>
      <c r="S65" s="131">
        <f t="shared" ca="1" si="39"/>
        <v>8</v>
      </c>
      <c r="T65" s="51" t="s">
        <v>57</v>
      </c>
      <c r="U65" s="51" t="s">
        <v>692</v>
      </c>
      <c r="V65" s="195"/>
      <c r="W65" s="55" t="s">
        <v>45</v>
      </c>
      <c r="X65" s="195" t="s">
        <v>700</v>
      </c>
      <c r="Y65" s="58">
        <v>34296</v>
      </c>
      <c r="Z65" s="55" t="s">
        <v>48</v>
      </c>
      <c r="AA65" s="55" t="s">
        <v>48</v>
      </c>
      <c r="AB65" s="55" t="s">
        <v>48</v>
      </c>
      <c r="AC65" s="55" t="s">
        <v>48</v>
      </c>
      <c r="AD65" s="55" t="s">
        <v>48</v>
      </c>
      <c r="AE65" s="55" t="s">
        <v>48</v>
      </c>
      <c r="AF65" s="55" t="s">
        <v>48</v>
      </c>
      <c r="AG65" s="55" t="s">
        <v>48</v>
      </c>
      <c r="AH65" s="55" t="s">
        <v>48</v>
      </c>
      <c r="AI65" s="70" t="s">
        <v>701</v>
      </c>
      <c r="AJ65" s="198" t="s">
        <v>702</v>
      </c>
      <c r="AK65" s="60" t="s">
        <v>702</v>
      </c>
      <c r="AL65" s="201"/>
      <c r="AM65" s="60"/>
      <c r="AN65" s="60"/>
      <c r="AO65" s="197" t="s">
        <v>704</v>
      </c>
      <c r="AP65" s="63" t="s">
        <v>688</v>
      </c>
      <c r="AQ65" s="196" t="s">
        <v>713</v>
      </c>
      <c r="AR65" s="51" t="s">
        <v>64</v>
      </c>
      <c r="AS65" s="55" t="s">
        <v>95</v>
      </c>
      <c r="AT65" s="242"/>
    </row>
    <row r="66" spans="1:331" s="65" customFormat="1" ht="20.25" customHeight="1">
      <c r="A66" s="51">
        <v>54</v>
      </c>
      <c r="B66" s="194" t="s">
        <v>716</v>
      </c>
      <c r="C66" s="200" t="s">
        <v>715</v>
      </c>
      <c r="D66" s="433" t="s">
        <v>144</v>
      </c>
      <c r="E66" s="51" t="s">
        <v>344</v>
      </c>
      <c r="F66" s="58">
        <v>43651</v>
      </c>
      <c r="G66" s="58">
        <v>43651</v>
      </c>
      <c r="H66" s="58"/>
      <c r="I66" s="58"/>
      <c r="J66" s="57">
        <f t="shared" ca="1" si="33"/>
        <v>1</v>
      </c>
      <c r="K66" s="57">
        <f t="shared" ca="1" si="34"/>
        <v>6</v>
      </c>
      <c r="L66" s="58"/>
      <c r="M66" s="58"/>
      <c r="N66" s="51" t="s">
        <v>76</v>
      </c>
      <c r="O66" s="55" t="s">
        <v>36</v>
      </c>
      <c r="P66" s="55" t="s">
        <v>41</v>
      </c>
      <c r="Q66" s="56">
        <v>34447</v>
      </c>
      <c r="R66" s="190">
        <f t="shared" ca="1" si="38"/>
        <v>26</v>
      </c>
      <c r="S66" s="131">
        <f t="shared" ca="1" si="39"/>
        <v>8</v>
      </c>
      <c r="T66" s="51" t="s">
        <v>68</v>
      </c>
      <c r="U66" s="189" t="s">
        <v>677</v>
      </c>
      <c r="V66" s="51"/>
      <c r="W66" s="55" t="s">
        <v>59</v>
      </c>
      <c r="X66" s="55" t="s">
        <v>48</v>
      </c>
      <c r="Y66" s="55" t="s">
        <v>48</v>
      </c>
      <c r="Z66" s="55" t="s">
        <v>48</v>
      </c>
      <c r="AA66" s="55" t="s">
        <v>48</v>
      </c>
      <c r="AB66" s="55" t="s">
        <v>48</v>
      </c>
      <c r="AC66" s="55" t="s">
        <v>48</v>
      </c>
      <c r="AD66" s="55" t="s">
        <v>48</v>
      </c>
      <c r="AE66" s="55" t="s">
        <v>48</v>
      </c>
      <c r="AF66" s="55" t="s">
        <v>48</v>
      </c>
      <c r="AG66" s="55" t="s">
        <v>48</v>
      </c>
      <c r="AH66" s="55" t="s">
        <v>48</v>
      </c>
      <c r="AI66" s="70" t="s">
        <v>717</v>
      </c>
      <c r="AJ66" s="198" t="s">
        <v>718</v>
      </c>
      <c r="AK66" s="60" t="s">
        <v>718</v>
      </c>
      <c r="AL66" s="60"/>
      <c r="AM66" s="60"/>
      <c r="AN66" s="60"/>
      <c r="AO66" s="197" t="s">
        <v>719</v>
      </c>
      <c r="AP66" s="63" t="s">
        <v>715</v>
      </c>
      <c r="AQ66" s="196" t="s">
        <v>762</v>
      </c>
      <c r="AR66" s="51" t="s">
        <v>64</v>
      </c>
      <c r="AS66" s="55" t="s">
        <v>95</v>
      </c>
      <c r="AT66" s="242"/>
    </row>
    <row r="67" spans="1:331" s="65" customFormat="1" ht="20.25" customHeight="1">
      <c r="A67" s="257">
        <v>55</v>
      </c>
      <c r="B67" s="194" t="s">
        <v>726</v>
      </c>
      <c r="C67" s="53" t="s">
        <v>720</v>
      </c>
      <c r="D67" s="433" t="s">
        <v>998</v>
      </c>
      <c r="E67" s="51" t="s">
        <v>344</v>
      </c>
      <c r="F67" s="58">
        <v>43656</v>
      </c>
      <c r="G67" s="58">
        <v>43656</v>
      </c>
      <c r="H67" s="58"/>
      <c r="I67" s="58"/>
      <c r="J67" s="57">
        <f t="shared" ca="1" si="33"/>
        <v>1</v>
      </c>
      <c r="K67" s="57">
        <f t="shared" ca="1" si="34"/>
        <v>5</v>
      </c>
      <c r="L67" s="58"/>
      <c r="M67" s="58"/>
      <c r="N67" s="55" t="s">
        <v>35</v>
      </c>
      <c r="O67" s="55" t="s">
        <v>36</v>
      </c>
      <c r="P67" s="51" t="s">
        <v>731</v>
      </c>
      <c r="Q67" s="56">
        <v>33241</v>
      </c>
      <c r="R67" s="190">
        <f t="shared" ca="1" si="38"/>
        <v>30</v>
      </c>
      <c r="S67" s="131">
        <f t="shared" ca="1" si="39"/>
        <v>0</v>
      </c>
      <c r="T67" s="51" t="s">
        <v>152</v>
      </c>
      <c r="U67" s="51" t="s">
        <v>153</v>
      </c>
      <c r="V67" s="51"/>
      <c r="W67" s="55" t="s">
        <v>45</v>
      </c>
      <c r="X67" s="51" t="s">
        <v>735</v>
      </c>
      <c r="Y67" s="58">
        <v>34274</v>
      </c>
      <c r="Z67" s="51" t="s">
        <v>736</v>
      </c>
      <c r="AA67" s="58">
        <v>43476</v>
      </c>
      <c r="AB67" s="77">
        <f t="shared" ref="AB67:AB75" ca="1" si="43">DATEDIF(AA67,$A$3,"Y")</f>
        <v>1</v>
      </c>
      <c r="AC67" s="55" t="s">
        <v>48</v>
      </c>
      <c r="AD67" s="55" t="s">
        <v>48</v>
      </c>
      <c r="AE67" s="55" t="s">
        <v>48</v>
      </c>
      <c r="AF67" s="55" t="s">
        <v>48</v>
      </c>
      <c r="AG67" s="55" t="s">
        <v>48</v>
      </c>
      <c r="AH67" s="55" t="s">
        <v>48</v>
      </c>
      <c r="AI67" s="70" t="s">
        <v>741</v>
      </c>
      <c r="AJ67" s="60" t="s">
        <v>746</v>
      </c>
      <c r="AK67" s="60" t="s">
        <v>746</v>
      </c>
      <c r="AL67" s="60"/>
      <c r="AM67" s="60"/>
      <c r="AN67" s="60"/>
      <c r="AO67" s="70" t="s">
        <v>747</v>
      </c>
      <c r="AP67" s="63" t="s">
        <v>720</v>
      </c>
      <c r="AQ67" s="57" t="s">
        <v>761</v>
      </c>
      <c r="AR67" s="51" t="s">
        <v>64</v>
      </c>
      <c r="AS67" s="55" t="s">
        <v>95</v>
      </c>
      <c r="AT67" s="242"/>
    </row>
    <row r="68" spans="1:331" s="65" customFormat="1" ht="20.25" customHeight="1">
      <c r="A68" s="51">
        <v>56</v>
      </c>
      <c r="B68" s="194" t="s">
        <v>727</v>
      </c>
      <c r="C68" s="53" t="s">
        <v>722</v>
      </c>
      <c r="D68" s="433" t="s">
        <v>999</v>
      </c>
      <c r="E68" s="51" t="s">
        <v>344</v>
      </c>
      <c r="F68" s="58">
        <v>43656</v>
      </c>
      <c r="G68" s="58">
        <v>43656</v>
      </c>
      <c r="H68" s="58"/>
      <c r="I68" s="58"/>
      <c r="J68" s="57">
        <f t="shared" ca="1" si="33"/>
        <v>1</v>
      </c>
      <c r="K68" s="57">
        <f t="shared" ca="1" si="34"/>
        <v>5</v>
      </c>
      <c r="L68" s="58"/>
      <c r="M68" s="58"/>
      <c r="N68" s="55" t="s">
        <v>35</v>
      </c>
      <c r="O68" s="55" t="s">
        <v>36</v>
      </c>
      <c r="P68" s="55" t="s">
        <v>41</v>
      </c>
      <c r="Q68" s="56">
        <v>33572</v>
      </c>
      <c r="R68" s="190">
        <f t="shared" ca="1" si="38"/>
        <v>29</v>
      </c>
      <c r="S68" s="131">
        <f t="shared" ca="1" si="39"/>
        <v>1</v>
      </c>
      <c r="T68" s="51" t="s">
        <v>68</v>
      </c>
      <c r="U68" s="51" t="s">
        <v>732</v>
      </c>
      <c r="V68" s="51"/>
      <c r="W68" s="55" t="s">
        <v>45</v>
      </c>
      <c r="X68" s="51" t="s">
        <v>737</v>
      </c>
      <c r="Y68" s="58">
        <v>34750</v>
      </c>
      <c r="Z68" s="51" t="s">
        <v>738</v>
      </c>
      <c r="AA68" s="58">
        <v>43279</v>
      </c>
      <c r="AB68" s="77">
        <f t="shared" ca="1" si="43"/>
        <v>2</v>
      </c>
      <c r="AC68" s="55" t="s">
        <v>48</v>
      </c>
      <c r="AD68" s="55" t="s">
        <v>48</v>
      </c>
      <c r="AE68" s="55" t="s">
        <v>48</v>
      </c>
      <c r="AF68" s="55" t="s">
        <v>48</v>
      </c>
      <c r="AG68" s="55" t="s">
        <v>48</v>
      </c>
      <c r="AH68" s="55" t="s">
        <v>48</v>
      </c>
      <c r="AI68" s="70" t="s">
        <v>742</v>
      </c>
      <c r="AJ68" s="60" t="s">
        <v>752</v>
      </c>
      <c r="AK68" s="60" t="s">
        <v>752</v>
      </c>
      <c r="AL68" s="60"/>
      <c r="AM68" s="60"/>
      <c r="AN68" s="60"/>
      <c r="AO68" s="70" t="s">
        <v>748</v>
      </c>
      <c r="AP68" s="63" t="s">
        <v>722</v>
      </c>
      <c r="AQ68" s="57" t="s">
        <v>759</v>
      </c>
      <c r="AR68" s="51" t="s">
        <v>64</v>
      </c>
      <c r="AS68" s="55" t="s">
        <v>95</v>
      </c>
      <c r="AT68" s="242"/>
    </row>
    <row r="69" spans="1:331" s="65" customFormat="1" ht="20.25" customHeight="1">
      <c r="A69" s="257">
        <v>57</v>
      </c>
      <c r="B69" s="194" t="s">
        <v>728</v>
      </c>
      <c r="C69" s="53" t="s">
        <v>723</v>
      </c>
      <c r="D69" s="433" t="s">
        <v>997</v>
      </c>
      <c r="E69" s="51" t="s">
        <v>344</v>
      </c>
      <c r="F69" s="58">
        <v>43656</v>
      </c>
      <c r="G69" s="58">
        <v>43656</v>
      </c>
      <c r="H69" s="58"/>
      <c r="I69" s="58"/>
      <c r="J69" s="57">
        <f t="shared" ca="1" si="33"/>
        <v>1</v>
      </c>
      <c r="K69" s="57">
        <f t="shared" ca="1" si="34"/>
        <v>5</v>
      </c>
      <c r="L69" s="58"/>
      <c r="M69" s="58"/>
      <c r="N69" s="55" t="s">
        <v>35</v>
      </c>
      <c r="O69" s="55" t="s">
        <v>36</v>
      </c>
      <c r="P69" s="55" t="s">
        <v>41</v>
      </c>
      <c r="Q69" s="56">
        <v>35573</v>
      </c>
      <c r="R69" s="190">
        <f t="shared" ca="1" si="38"/>
        <v>23</v>
      </c>
      <c r="S69" s="131">
        <f t="shared" ca="1" si="39"/>
        <v>7</v>
      </c>
      <c r="T69" s="51" t="s">
        <v>68</v>
      </c>
      <c r="U69" s="51" t="s">
        <v>733</v>
      </c>
      <c r="V69" s="51" t="s">
        <v>44</v>
      </c>
      <c r="W69" s="55" t="s">
        <v>59</v>
      </c>
      <c r="X69" s="55" t="s">
        <v>48</v>
      </c>
      <c r="Y69" s="55" t="s">
        <v>48</v>
      </c>
      <c r="Z69" s="55" t="s">
        <v>48</v>
      </c>
      <c r="AA69" s="55" t="s">
        <v>48</v>
      </c>
      <c r="AB69" s="55" t="s">
        <v>48</v>
      </c>
      <c r="AC69" s="55" t="s">
        <v>48</v>
      </c>
      <c r="AD69" s="55" t="s">
        <v>48</v>
      </c>
      <c r="AE69" s="55" t="s">
        <v>48</v>
      </c>
      <c r="AF69" s="55" t="s">
        <v>48</v>
      </c>
      <c r="AG69" s="55" t="s">
        <v>48</v>
      </c>
      <c r="AH69" s="55" t="s">
        <v>48</v>
      </c>
      <c r="AI69" s="70" t="s">
        <v>743</v>
      </c>
      <c r="AJ69" s="60" t="s">
        <v>753</v>
      </c>
      <c r="AK69" s="60" t="s">
        <v>753</v>
      </c>
      <c r="AL69" s="60"/>
      <c r="AM69" s="60"/>
      <c r="AN69" s="60"/>
      <c r="AO69" s="70" t="s">
        <v>749</v>
      </c>
      <c r="AP69" s="63" t="s">
        <v>723</v>
      </c>
      <c r="AQ69" s="57" t="s">
        <v>760</v>
      </c>
      <c r="AR69" s="51" t="s">
        <v>64</v>
      </c>
      <c r="AS69" s="55" t="s">
        <v>95</v>
      </c>
      <c r="AT69" s="242"/>
    </row>
    <row r="70" spans="1:331" s="65" customFormat="1" ht="20.25" customHeight="1">
      <c r="A70" s="51">
        <v>58</v>
      </c>
      <c r="B70" s="194" t="s">
        <v>729</v>
      </c>
      <c r="C70" s="53" t="s">
        <v>724</v>
      </c>
      <c r="D70" s="433" t="s">
        <v>998</v>
      </c>
      <c r="E70" s="51" t="s">
        <v>344</v>
      </c>
      <c r="F70" s="58">
        <v>43656</v>
      </c>
      <c r="G70" s="58">
        <v>43656</v>
      </c>
      <c r="H70" s="58"/>
      <c r="I70" s="58"/>
      <c r="J70" s="57">
        <f t="shared" ca="1" si="33"/>
        <v>1</v>
      </c>
      <c r="K70" s="57">
        <f t="shared" ca="1" si="34"/>
        <v>5</v>
      </c>
      <c r="L70" s="58"/>
      <c r="M70" s="58"/>
      <c r="N70" s="55" t="s">
        <v>35</v>
      </c>
      <c r="O70" s="55" t="s">
        <v>36</v>
      </c>
      <c r="P70" s="55" t="s">
        <v>41</v>
      </c>
      <c r="Q70" s="56">
        <v>33363</v>
      </c>
      <c r="R70" s="190">
        <f t="shared" ca="1" si="38"/>
        <v>29</v>
      </c>
      <c r="S70" s="131">
        <f t="shared" ca="1" si="39"/>
        <v>8</v>
      </c>
      <c r="T70" s="51" t="s">
        <v>68</v>
      </c>
      <c r="U70" s="51" t="s">
        <v>734</v>
      </c>
      <c r="V70" s="51"/>
      <c r="W70" s="55" t="s">
        <v>45</v>
      </c>
      <c r="X70" s="51" t="s">
        <v>739</v>
      </c>
      <c r="Y70" s="58">
        <v>33257</v>
      </c>
      <c r="Z70" s="51" t="s">
        <v>740</v>
      </c>
      <c r="AA70" s="58">
        <v>42535</v>
      </c>
      <c r="AB70" s="77">
        <f t="shared" ca="1" si="43"/>
        <v>4</v>
      </c>
      <c r="AC70" s="55" t="s">
        <v>48</v>
      </c>
      <c r="AD70" s="55" t="s">
        <v>48</v>
      </c>
      <c r="AE70" s="55" t="s">
        <v>48</v>
      </c>
      <c r="AF70" s="55" t="s">
        <v>48</v>
      </c>
      <c r="AG70" s="55" t="s">
        <v>48</v>
      </c>
      <c r="AH70" s="55" t="s">
        <v>48</v>
      </c>
      <c r="AI70" s="70" t="s">
        <v>744</v>
      </c>
      <c r="AJ70" s="60" t="s">
        <v>754</v>
      </c>
      <c r="AK70" s="60" t="s">
        <v>754</v>
      </c>
      <c r="AL70" s="60"/>
      <c r="AM70" s="60"/>
      <c r="AN70" s="60"/>
      <c r="AO70" s="70" t="s">
        <v>750</v>
      </c>
      <c r="AP70" s="63" t="s">
        <v>724</v>
      </c>
      <c r="AQ70" s="57" t="s">
        <v>758</v>
      </c>
      <c r="AR70" s="51" t="s">
        <v>64</v>
      </c>
      <c r="AS70" s="55" t="s">
        <v>95</v>
      </c>
      <c r="AT70" s="242"/>
    </row>
    <row r="71" spans="1:331" s="65" customFormat="1" ht="20.25" customHeight="1">
      <c r="A71" s="257">
        <v>59</v>
      </c>
      <c r="B71" s="194" t="s">
        <v>730</v>
      </c>
      <c r="C71" s="53" t="s">
        <v>756</v>
      </c>
      <c r="D71" s="433" t="s">
        <v>144</v>
      </c>
      <c r="E71" s="51" t="s">
        <v>344</v>
      </c>
      <c r="F71" s="58">
        <v>43656</v>
      </c>
      <c r="G71" s="58">
        <v>43656</v>
      </c>
      <c r="H71" s="58"/>
      <c r="I71" s="58"/>
      <c r="J71" s="57">
        <f t="shared" ca="1" si="33"/>
        <v>1</v>
      </c>
      <c r="K71" s="57">
        <f t="shared" ca="1" si="34"/>
        <v>5</v>
      </c>
      <c r="L71" s="58"/>
      <c r="M71" s="58"/>
      <c r="N71" s="51" t="s">
        <v>76</v>
      </c>
      <c r="O71" s="55" t="s">
        <v>36</v>
      </c>
      <c r="P71" s="55" t="s">
        <v>41</v>
      </c>
      <c r="Q71" s="56">
        <v>35973</v>
      </c>
      <c r="R71" s="190">
        <f t="shared" ca="1" si="38"/>
        <v>22</v>
      </c>
      <c r="S71" s="131">
        <f t="shared" ca="1" si="39"/>
        <v>6</v>
      </c>
      <c r="T71" s="51" t="s">
        <v>68</v>
      </c>
      <c r="U71" s="51" t="s">
        <v>677</v>
      </c>
      <c r="V71" s="51" t="s">
        <v>44</v>
      </c>
      <c r="W71" s="55" t="s">
        <v>59</v>
      </c>
      <c r="X71" s="55" t="s">
        <v>48</v>
      </c>
      <c r="Y71" s="55" t="s">
        <v>48</v>
      </c>
      <c r="Z71" s="55" t="s">
        <v>48</v>
      </c>
      <c r="AA71" s="55" t="s">
        <v>48</v>
      </c>
      <c r="AB71" s="55" t="s">
        <v>48</v>
      </c>
      <c r="AC71" s="55" t="s">
        <v>48</v>
      </c>
      <c r="AD71" s="55" t="s">
        <v>48</v>
      </c>
      <c r="AE71" s="55" t="s">
        <v>48</v>
      </c>
      <c r="AF71" s="55" t="s">
        <v>48</v>
      </c>
      <c r="AG71" s="55" t="s">
        <v>48</v>
      </c>
      <c r="AH71" s="55" t="s">
        <v>48</v>
      </c>
      <c r="AI71" s="70" t="s">
        <v>745</v>
      </c>
      <c r="AJ71" s="60" t="s">
        <v>755</v>
      </c>
      <c r="AK71" s="60" t="s">
        <v>755</v>
      </c>
      <c r="AL71" s="60"/>
      <c r="AM71" s="60"/>
      <c r="AN71" s="60"/>
      <c r="AO71" s="70" t="s">
        <v>751</v>
      </c>
      <c r="AP71" s="63" t="s">
        <v>725</v>
      </c>
      <c r="AQ71" s="57" t="s">
        <v>757</v>
      </c>
      <c r="AR71" s="51" t="s">
        <v>64</v>
      </c>
      <c r="AS71" s="55" t="s">
        <v>95</v>
      </c>
      <c r="AT71" s="242"/>
    </row>
    <row r="72" spans="1:331" s="65" customFormat="1" ht="20.25" customHeight="1">
      <c r="A72" s="51">
        <v>60</v>
      </c>
      <c r="B72" s="213">
        <v>9919070035</v>
      </c>
      <c r="C72" s="200" t="s">
        <v>763</v>
      </c>
      <c r="D72" s="433" t="s">
        <v>721</v>
      </c>
      <c r="E72" s="51" t="s">
        <v>344</v>
      </c>
      <c r="F72" s="58">
        <v>43668</v>
      </c>
      <c r="G72" s="58">
        <v>43668</v>
      </c>
      <c r="H72" s="58"/>
      <c r="I72" s="58"/>
      <c r="J72" s="57">
        <f t="shared" ca="1" si="33"/>
        <v>1</v>
      </c>
      <c r="K72" s="57">
        <f t="shared" ca="1" si="34"/>
        <v>5</v>
      </c>
      <c r="L72" s="58"/>
      <c r="M72" s="58"/>
      <c r="N72" s="55" t="s">
        <v>35</v>
      </c>
      <c r="O72" s="55" t="s">
        <v>36</v>
      </c>
      <c r="P72" s="55" t="s">
        <v>41</v>
      </c>
      <c r="Q72" s="56">
        <v>33288</v>
      </c>
      <c r="R72" s="190">
        <f t="shared" ca="1" si="38"/>
        <v>29</v>
      </c>
      <c r="S72" s="131">
        <f t="shared" ca="1" si="39"/>
        <v>10</v>
      </c>
      <c r="T72" s="51" t="s">
        <v>152</v>
      </c>
      <c r="U72" s="51"/>
      <c r="V72" s="51" t="s">
        <v>105</v>
      </c>
      <c r="W72" s="51" t="s">
        <v>45</v>
      </c>
      <c r="X72" s="202" t="s">
        <v>764</v>
      </c>
      <c r="Y72" s="55" t="s">
        <v>48</v>
      </c>
      <c r="Z72" s="55" t="s">
        <v>48</v>
      </c>
      <c r="AA72" s="55" t="s">
        <v>48</v>
      </c>
      <c r="AB72" s="55" t="s">
        <v>48</v>
      </c>
      <c r="AC72" s="55" t="s">
        <v>48</v>
      </c>
      <c r="AD72" s="55" t="s">
        <v>48</v>
      </c>
      <c r="AE72" s="55" t="s">
        <v>48</v>
      </c>
      <c r="AF72" s="55" t="s">
        <v>48</v>
      </c>
      <c r="AG72" s="55" t="s">
        <v>48</v>
      </c>
      <c r="AH72" s="55" t="s">
        <v>48</v>
      </c>
      <c r="AI72" s="197" t="s">
        <v>765</v>
      </c>
      <c r="AJ72" s="60" t="s">
        <v>766</v>
      </c>
      <c r="AK72" s="60" t="s">
        <v>766</v>
      </c>
      <c r="AL72" s="60"/>
      <c r="AM72" s="60"/>
      <c r="AN72" s="60"/>
      <c r="AO72" s="70" t="s">
        <v>767</v>
      </c>
      <c r="AP72" s="63" t="s">
        <v>763</v>
      </c>
      <c r="AQ72" s="196" t="s">
        <v>806</v>
      </c>
      <c r="AR72" s="51" t="s">
        <v>64</v>
      </c>
      <c r="AS72" s="55" t="s">
        <v>95</v>
      </c>
      <c r="AT72" s="242"/>
    </row>
    <row r="73" spans="1:331" s="65" customFormat="1" ht="20.25" customHeight="1">
      <c r="A73" s="257">
        <v>61</v>
      </c>
      <c r="B73" s="213">
        <v>9919080040</v>
      </c>
      <c r="C73" s="53" t="s">
        <v>814</v>
      </c>
      <c r="D73" s="433" t="s">
        <v>144</v>
      </c>
      <c r="E73" s="51" t="s">
        <v>344</v>
      </c>
      <c r="F73" s="58">
        <v>43684</v>
      </c>
      <c r="G73" s="58">
        <v>43684</v>
      </c>
      <c r="H73" s="58"/>
      <c r="I73" s="58"/>
      <c r="J73" s="57">
        <f t="shared" ca="1" si="33"/>
        <v>1</v>
      </c>
      <c r="K73" s="57">
        <f t="shared" ca="1" si="34"/>
        <v>4</v>
      </c>
      <c r="L73" s="58"/>
      <c r="M73" s="58"/>
      <c r="N73" s="51" t="s">
        <v>76</v>
      </c>
      <c r="O73" s="55" t="s">
        <v>36</v>
      </c>
      <c r="P73" s="55" t="s">
        <v>819</v>
      </c>
      <c r="Q73" s="56">
        <v>35051</v>
      </c>
      <c r="R73" s="190">
        <f t="shared" ca="1" si="38"/>
        <v>25</v>
      </c>
      <c r="S73" s="131">
        <f t="shared" ca="1" si="39"/>
        <v>0</v>
      </c>
      <c r="T73" s="51" t="s">
        <v>68</v>
      </c>
      <c r="U73" s="51"/>
      <c r="V73" s="51" t="s">
        <v>224</v>
      </c>
      <c r="W73" s="55" t="s">
        <v>59</v>
      </c>
      <c r="X73" s="55" t="s">
        <v>48</v>
      </c>
      <c r="Y73" s="55" t="s">
        <v>48</v>
      </c>
      <c r="Z73" s="55" t="s">
        <v>48</v>
      </c>
      <c r="AA73" s="55" t="s">
        <v>48</v>
      </c>
      <c r="AB73" s="55" t="s">
        <v>48</v>
      </c>
      <c r="AC73" s="55" t="s">
        <v>48</v>
      </c>
      <c r="AD73" s="55" t="s">
        <v>48</v>
      </c>
      <c r="AE73" s="55" t="s">
        <v>48</v>
      </c>
      <c r="AF73" s="55" t="s">
        <v>48</v>
      </c>
      <c r="AG73" s="55" t="s">
        <v>48</v>
      </c>
      <c r="AH73" s="55" t="s">
        <v>48</v>
      </c>
      <c r="AI73" s="70" t="s">
        <v>815</v>
      </c>
      <c r="AJ73" s="60" t="s">
        <v>816</v>
      </c>
      <c r="AK73" s="60" t="s">
        <v>816</v>
      </c>
      <c r="AL73" s="60"/>
      <c r="AM73" s="60"/>
      <c r="AN73" s="60"/>
      <c r="AO73" s="70" t="s">
        <v>817</v>
      </c>
      <c r="AP73" s="63" t="s">
        <v>813</v>
      </c>
      <c r="AQ73" s="57" t="s">
        <v>818</v>
      </c>
      <c r="AR73" s="51" t="s">
        <v>64</v>
      </c>
      <c r="AS73" s="55" t="s">
        <v>95</v>
      </c>
      <c r="AT73" s="242"/>
    </row>
    <row r="74" spans="1:331" s="18" customFormat="1" ht="18.75" customHeight="1">
      <c r="A74" s="51">
        <v>62</v>
      </c>
      <c r="B74" s="296">
        <v>9919080041</v>
      </c>
      <c r="C74" s="72" t="s">
        <v>820</v>
      </c>
      <c r="D74" s="454" t="s">
        <v>996</v>
      </c>
      <c r="E74" s="52" t="s">
        <v>344</v>
      </c>
      <c r="F74" s="124">
        <v>43689</v>
      </c>
      <c r="G74" s="124">
        <v>43689</v>
      </c>
      <c r="H74" s="124"/>
      <c r="I74" s="124"/>
      <c r="J74" s="192">
        <f t="shared" ca="1" si="33"/>
        <v>1</v>
      </c>
      <c r="K74" s="192">
        <f t="shared" ca="1" si="34"/>
        <v>4</v>
      </c>
      <c r="L74" s="124"/>
      <c r="M74" s="124"/>
      <c r="N74" s="164" t="s">
        <v>35</v>
      </c>
      <c r="O74" s="164" t="s">
        <v>36</v>
      </c>
      <c r="P74" s="289" t="s">
        <v>822</v>
      </c>
      <c r="Q74" s="162">
        <v>33128</v>
      </c>
      <c r="R74" s="297">
        <f t="shared" ca="1" si="38"/>
        <v>30</v>
      </c>
      <c r="S74" s="298">
        <f t="shared" ca="1" si="39"/>
        <v>3</v>
      </c>
      <c r="T74" s="52" t="s">
        <v>597</v>
      </c>
      <c r="U74" s="52" t="s">
        <v>823</v>
      </c>
      <c r="V74" s="52" t="s">
        <v>824</v>
      </c>
      <c r="W74" s="52" t="s">
        <v>45</v>
      </c>
      <c r="X74" s="289" t="s">
        <v>825</v>
      </c>
      <c r="Y74" s="124">
        <v>35221</v>
      </c>
      <c r="Z74" s="289" t="s">
        <v>826</v>
      </c>
      <c r="AA74" s="124">
        <v>42553</v>
      </c>
      <c r="AB74" s="165">
        <f t="shared" ca="1" si="43"/>
        <v>4</v>
      </c>
      <c r="AC74" s="164" t="s">
        <v>48</v>
      </c>
      <c r="AD74" s="164" t="s">
        <v>48</v>
      </c>
      <c r="AE74" s="164" t="s">
        <v>48</v>
      </c>
      <c r="AF74" s="164" t="s">
        <v>48</v>
      </c>
      <c r="AG74" s="164" t="s">
        <v>48</v>
      </c>
      <c r="AH74" s="164" t="s">
        <v>48</v>
      </c>
      <c r="AI74" s="299" t="s">
        <v>827</v>
      </c>
      <c r="AJ74" s="300" t="s">
        <v>828</v>
      </c>
      <c r="AK74" s="300" t="s">
        <v>828</v>
      </c>
      <c r="AL74" s="166"/>
      <c r="AM74" s="166"/>
      <c r="AN74" s="166"/>
      <c r="AO74" s="299" t="s">
        <v>829</v>
      </c>
      <c r="AP74" s="84" t="s">
        <v>820</v>
      </c>
      <c r="AQ74" s="301" t="s">
        <v>830</v>
      </c>
      <c r="AR74" s="52" t="s">
        <v>64</v>
      </c>
      <c r="AS74" s="164" t="s">
        <v>95</v>
      </c>
      <c r="AT74" s="302"/>
      <c r="CC74" s="65"/>
      <c r="CD74" s="65"/>
      <c r="CE74" s="65"/>
      <c r="CF74" s="65"/>
      <c r="CG74" s="65"/>
      <c r="CH74" s="65"/>
      <c r="CI74" s="65"/>
      <c r="CJ74" s="65"/>
      <c r="CK74" s="65"/>
      <c r="CL74" s="65"/>
      <c r="CM74" s="65"/>
      <c r="CN74" s="65"/>
      <c r="CO74" s="65"/>
      <c r="CP74" s="65"/>
      <c r="CQ74" s="65"/>
      <c r="CR74" s="65"/>
      <c r="CS74" s="65"/>
      <c r="CT74" s="65"/>
      <c r="CU74" s="65"/>
      <c r="CV74" s="65"/>
      <c r="CW74" s="65"/>
      <c r="CX74" s="65"/>
      <c r="CY74" s="65"/>
      <c r="CZ74" s="65"/>
      <c r="DA74" s="65"/>
      <c r="DB74" s="65"/>
      <c r="DC74" s="65"/>
      <c r="DD74" s="65"/>
      <c r="DE74" s="65"/>
      <c r="DF74" s="65"/>
      <c r="DG74" s="65"/>
      <c r="DH74" s="65"/>
      <c r="DI74" s="65"/>
      <c r="DJ74" s="65"/>
      <c r="DK74" s="65"/>
      <c r="DL74" s="65"/>
      <c r="DM74" s="65"/>
      <c r="DN74" s="65"/>
      <c r="DO74" s="65"/>
      <c r="DP74" s="65"/>
      <c r="DQ74" s="65"/>
      <c r="DR74" s="65"/>
      <c r="DS74" s="65"/>
      <c r="DT74" s="65"/>
      <c r="DU74" s="65"/>
      <c r="DV74" s="65"/>
      <c r="DW74" s="65"/>
      <c r="DX74" s="65"/>
      <c r="DY74" s="65"/>
      <c r="DZ74" s="65"/>
      <c r="EA74" s="65"/>
      <c r="EB74" s="65"/>
      <c r="EC74" s="65"/>
      <c r="ED74" s="65"/>
      <c r="EE74" s="65"/>
      <c r="EF74" s="65"/>
      <c r="EG74" s="65"/>
      <c r="EH74" s="65"/>
      <c r="EI74" s="65"/>
      <c r="EJ74" s="65"/>
      <c r="EK74" s="65"/>
      <c r="EL74" s="65"/>
      <c r="EM74" s="65"/>
      <c r="EN74" s="65"/>
      <c r="EO74" s="65"/>
      <c r="EP74" s="65"/>
      <c r="EQ74" s="65"/>
      <c r="ER74" s="65"/>
      <c r="ES74" s="65"/>
      <c r="ET74" s="65"/>
      <c r="EU74" s="65"/>
      <c r="EV74" s="65"/>
      <c r="EW74" s="65"/>
      <c r="EX74" s="65"/>
      <c r="EY74" s="65"/>
      <c r="EZ74" s="65"/>
      <c r="FA74" s="65"/>
      <c r="FB74" s="65"/>
      <c r="FC74" s="65"/>
      <c r="FD74" s="65"/>
      <c r="FE74" s="65"/>
      <c r="FF74" s="65"/>
      <c r="FG74" s="65"/>
      <c r="FH74" s="65"/>
      <c r="FI74" s="65"/>
      <c r="FJ74" s="65"/>
      <c r="FK74" s="65"/>
      <c r="FL74" s="65"/>
      <c r="FM74" s="65"/>
      <c r="FN74" s="65"/>
      <c r="FO74" s="65"/>
      <c r="FP74" s="65"/>
      <c r="FQ74" s="65"/>
      <c r="FR74" s="65"/>
      <c r="FS74" s="65"/>
      <c r="FT74" s="65"/>
      <c r="FU74" s="65"/>
      <c r="FV74" s="65"/>
      <c r="FW74" s="65"/>
      <c r="FX74" s="65"/>
      <c r="FY74" s="65"/>
      <c r="FZ74" s="65"/>
      <c r="GA74" s="65"/>
      <c r="GB74" s="65"/>
      <c r="GC74" s="65"/>
      <c r="GD74" s="65"/>
      <c r="GE74" s="65"/>
      <c r="GF74" s="65"/>
      <c r="GG74" s="65"/>
      <c r="GH74" s="65"/>
      <c r="GI74" s="65"/>
      <c r="GJ74" s="65"/>
      <c r="GK74" s="65"/>
      <c r="GL74" s="65"/>
      <c r="GM74" s="65"/>
      <c r="GN74" s="65"/>
      <c r="GO74" s="65"/>
      <c r="GP74" s="65"/>
      <c r="GQ74" s="65"/>
      <c r="GR74" s="65"/>
      <c r="GS74" s="65"/>
      <c r="GT74" s="65"/>
      <c r="GU74" s="65"/>
      <c r="GV74" s="65"/>
      <c r="GW74" s="65"/>
      <c r="GX74" s="65"/>
      <c r="GY74" s="65"/>
      <c r="GZ74" s="65"/>
      <c r="HA74" s="65"/>
      <c r="HB74" s="65"/>
      <c r="HC74" s="65"/>
      <c r="HD74" s="65"/>
      <c r="HE74" s="65"/>
      <c r="HF74" s="65"/>
      <c r="HG74" s="65"/>
      <c r="HH74" s="65"/>
      <c r="HI74" s="65"/>
      <c r="HJ74" s="65"/>
      <c r="HK74" s="65"/>
      <c r="HL74" s="65"/>
      <c r="HM74" s="65"/>
      <c r="HN74" s="65"/>
      <c r="HO74" s="65"/>
      <c r="HP74" s="65"/>
      <c r="HQ74" s="65"/>
      <c r="HR74" s="65"/>
      <c r="HS74" s="65"/>
      <c r="HT74" s="65"/>
      <c r="HU74" s="65"/>
      <c r="HV74" s="65"/>
      <c r="HW74" s="65"/>
      <c r="HX74" s="65"/>
      <c r="HY74" s="65"/>
      <c r="HZ74" s="65"/>
      <c r="IA74" s="65"/>
      <c r="IB74" s="65"/>
      <c r="IC74" s="65"/>
      <c r="ID74" s="65"/>
      <c r="IE74" s="65"/>
      <c r="IF74" s="65"/>
      <c r="IG74" s="65"/>
      <c r="IH74" s="65"/>
      <c r="II74" s="65"/>
      <c r="IJ74" s="65"/>
      <c r="IK74" s="65"/>
      <c r="IL74" s="65"/>
      <c r="IM74" s="65"/>
      <c r="IN74" s="65"/>
      <c r="IO74" s="65"/>
      <c r="IP74" s="65"/>
      <c r="IQ74" s="65"/>
      <c r="IR74" s="65"/>
      <c r="IS74" s="65"/>
      <c r="IT74" s="65"/>
      <c r="IU74" s="65"/>
      <c r="IV74" s="65"/>
      <c r="IW74" s="65"/>
      <c r="IX74" s="65"/>
      <c r="IY74" s="65"/>
      <c r="IZ74" s="65"/>
      <c r="JA74" s="65"/>
      <c r="JB74" s="65"/>
      <c r="JC74" s="65"/>
      <c r="JD74" s="65"/>
      <c r="JE74" s="65"/>
      <c r="JF74" s="65"/>
      <c r="JG74" s="65"/>
      <c r="JH74" s="65"/>
      <c r="JI74" s="65"/>
      <c r="JJ74" s="65"/>
      <c r="JK74" s="65"/>
      <c r="JL74" s="65"/>
      <c r="JM74" s="65"/>
      <c r="JN74" s="65"/>
      <c r="JO74" s="65"/>
      <c r="JP74" s="65"/>
      <c r="JQ74" s="65"/>
      <c r="JR74" s="65"/>
      <c r="JS74" s="65"/>
      <c r="JT74" s="65"/>
      <c r="JU74" s="65"/>
      <c r="JV74" s="65"/>
      <c r="JW74" s="65"/>
      <c r="JX74" s="65"/>
      <c r="JY74" s="65"/>
      <c r="JZ74" s="65"/>
      <c r="KA74" s="65"/>
      <c r="KB74" s="65"/>
      <c r="KC74" s="65"/>
      <c r="KD74" s="65"/>
      <c r="KE74" s="65"/>
      <c r="KF74" s="65"/>
      <c r="KG74" s="65"/>
      <c r="KH74" s="65"/>
      <c r="KI74" s="65"/>
      <c r="KJ74" s="65"/>
      <c r="KK74" s="65"/>
      <c r="KL74" s="65"/>
      <c r="KM74" s="65"/>
      <c r="KN74" s="65"/>
      <c r="KO74" s="65"/>
      <c r="KP74" s="65"/>
      <c r="KQ74" s="65"/>
      <c r="KR74" s="65"/>
      <c r="KS74" s="65"/>
      <c r="KT74" s="65"/>
      <c r="KU74" s="65"/>
      <c r="KV74" s="65"/>
      <c r="KW74" s="65"/>
      <c r="KX74" s="65"/>
      <c r="KY74" s="65"/>
      <c r="KZ74" s="65"/>
      <c r="LA74" s="65"/>
      <c r="LB74" s="65"/>
      <c r="LC74" s="65"/>
      <c r="LD74" s="65"/>
      <c r="LE74" s="65"/>
      <c r="LF74" s="65"/>
      <c r="LG74" s="65"/>
      <c r="LH74" s="65"/>
      <c r="LI74" s="65"/>
      <c r="LJ74" s="65"/>
      <c r="LK74" s="65"/>
      <c r="LL74" s="65"/>
      <c r="LM74" s="65"/>
      <c r="LN74" s="65"/>
      <c r="LO74" s="65"/>
      <c r="LP74" s="65"/>
      <c r="LQ74" s="65"/>
      <c r="LR74" s="65"/>
      <c r="LS74" s="65"/>
    </row>
    <row r="75" spans="1:331" s="306" customFormat="1" ht="18.75" customHeight="1">
      <c r="A75" s="257">
        <v>63</v>
      </c>
      <c r="B75" s="63" t="str">
        <f>NIK!$B$107</f>
        <v>9919120059</v>
      </c>
      <c r="C75" s="53" t="s">
        <v>1034</v>
      </c>
      <c r="D75" s="63" t="s">
        <v>1036</v>
      </c>
      <c r="E75" s="51" t="s">
        <v>344</v>
      </c>
      <c r="F75" s="58">
        <v>43809</v>
      </c>
      <c r="G75" s="58">
        <v>43810</v>
      </c>
      <c r="H75" s="63"/>
      <c r="I75" s="63"/>
      <c r="J75" s="57">
        <f t="shared" ref="J75" ca="1" si="44">DATEDIF(F75,$A$3,"Y")</f>
        <v>1</v>
      </c>
      <c r="K75" s="57">
        <f t="shared" ref="K75" ca="1" si="45">DATEDIF(F75,$A$3,"YM")</f>
        <v>0</v>
      </c>
      <c r="L75" s="63"/>
      <c r="M75" s="63"/>
      <c r="N75" s="51" t="s">
        <v>35</v>
      </c>
      <c r="O75" s="63" t="s">
        <v>36</v>
      </c>
      <c r="P75" s="63" t="s">
        <v>1037</v>
      </c>
      <c r="Q75" s="58">
        <v>32885</v>
      </c>
      <c r="R75" s="131">
        <f t="shared" ref="R75" ca="1" si="46">DATEDIF(Q75,$A$3,"Y")</f>
        <v>30</v>
      </c>
      <c r="S75" s="131">
        <f t="shared" ref="S75" ca="1" si="47">DATEDIF(Q75,$A$3,"YM")</f>
        <v>11</v>
      </c>
      <c r="T75" s="63" t="s">
        <v>152</v>
      </c>
      <c r="U75" s="63" t="s">
        <v>153</v>
      </c>
      <c r="V75" s="63" t="s">
        <v>44</v>
      </c>
      <c r="W75" s="51" t="s">
        <v>45</v>
      </c>
      <c r="X75" s="63" t="s">
        <v>1038</v>
      </c>
      <c r="Y75" s="58">
        <v>34237</v>
      </c>
      <c r="Z75" s="63" t="s">
        <v>1039</v>
      </c>
      <c r="AA75" s="58">
        <v>43342</v>
      </c>
      <c r="AB75" s="77">
        <f t="shared" ca="1" si="43"/>
        <v>2</v>
      </c>
      <c r="AC75" s="51" t="s">
        <v>48</v>
      </c>
      <c r="AD75" s="51" t="s">
        <v>48</v>
      </c>
      <c r="AE75" s="51" t="s">
        <v>48</v>
      </c>
      <c r="AF75" s="51" t="s">
        <v>48</v>
      </c>
      <c r="AG75" s="51" t="s">
        <v>48</v>
      </c>
      <c r="AH75" s="51" t="s">
        <v>48</v>
      </c>
      <c r="AI75" s="70" t="s">
        <v>1040</v>
      </c>
      <c r="AJ75" s="53" t="s">
        <v>1041</v>
      </c>
      <c r="AK75" s="53" t="s">
        <v>1041</v>
      </c>
      <c r="AL75" s="63"/>
      <c r="AM75" s="63"/>
      <c r="AN75" s="63"/>
      <c r="AO75" s="70" t="s">
        <v>1042</v>
      </c>
      <c r="AP75" s="63" t="s">
        <v>1034</v>
      </c>
      <c r="AQ75" s="70" t="s">
        <v>1098</v>
      </c>
      <c r="AR75" s="51" t="s">
        <v>64</v>
      </c>
      <c r="AS75" s="51" t="s">
        <v>95</v>
      </c>
      <c r="AT75" s="63"/>
    </row>
    <row r="76" spans="1:331" s="65" customFormat="1" ht="20.25" customHeight="1">
      <c r="A76" s="744" t="s">
        <v>113</v>
      </c>
      <c r="B76" s="745"/>
      <c r="C76" s="324"/>
      <c r="D76" s="304"/>
      <c r="E76" s="303"/>
      <c r="F76" s="303"/>
      <c r="G76" s="303"/>
      <c r="H76" s="303"/>
      <c r="I76" s="303"/>
      <c r="J76" s="303"/>
      <c r="K76" s="303"/>
      <c r="L76" s="303"/>
      <c r="M76" s="303"/>
      <c r="N76" s="303"/>
      <c r="O76" s="303"/>
      <c r="P76" s="304"/>
      <c r="Q76" s="303"/>
      <c r="R76" s="303"/>
      <c r="S76" s="303"/>
      <c r="T76" s="303"/>
      <c r="U76" s="304"/>
      <c r="V76" s="303"/>
      <c r="W76" s="303"/>
      <c r="X76" s="304"/>
      <c r="Y76" s="303"/>
      <c r="Z76" s="304"/>
      <c r="AA76" s="303"/>
      <c r="AB76" s="303"/>
      <c r="AC76" s="303"/>
      <c r="AD76" s="303"/>
      <c r="AE76" s="303"/>
      <c r="AF76" s="303"/>
      <c r="AG76" s="303"/>
      <c r="AH76" s="303"/>
      <c r="AI76" s="303"/>
      <c r="AJ76" s="303"/>
      <c r="AK76" s="303"/>
      <c r="AL76" s="303"/>
      <c r="AM76" s="304"/>
      <c r="AN76" s="304"/>
      <c r="AO76" s="304"/>
      <c r="AP76" s="304"/>
      <c r="AQ76" s="304"/>
      <c r="AR76" s="304"/>
      <c r="AS76" s="304"/>
      <c r="AT76" s="305"/>
    </row>
    <row r="77" spans="1:331" s="65" customFormat="1" ht="18.75" customHeight="1">
      <c r="A77" s="193">
        <v>64</v>
      </c>
      <c r="B77" s="51" t="s">
        <v>334</v>
      </c>
      <c r="C77" s="53" t="s">
        <v>112</v>
      </c>
      <c r="D77" s="433" t="s">
        <v>113</v>
      </c>
      <c r="E77" s="55" t="s">
        <v>344</v>
      </c>
      <c r="F77" s="56">
        <v>43202</v>
      </c>
      <c r="G77" s="143">
        <v>43202</v>
      </c>
      <c r="H77" s="56">
        <v>43567</v>
      </c>
      <c r="I77" s="56"/>
      <c r="J77" s="57">
        <f t="shared" ref="J77:J83" ca="1" si="48">DATEDIF(F77,$A$3,"Y")</f>
        <v>2</v>
      </c>
      <c r="K77" s="57">
        <f t="shared" ref="K77:K83" ca="1" si="49">DATEDIF(F77,$A$3,"YM")</f>
        <v>8</v>
      </c>
      <c r="L77" s="58"/>
      <c r="M77" s="58"/>
      <c r="N77" s="55" t="s">
        <v>35</v>
      </c>
      <c r="O77" s="55" t="s">
        <v>36</v>
      </c>
      <c r="P77" s="55" t="s">
        <v>41</v>
      </c>
      <c r="Q77" s="56">
        <v>23563</v>
      </c>
      <c r="R77" s="77">
        <f t="shared" ca="1" si="35"/>
        <v>56</v>
      </c>
      <c r="S77" s="77">
        <f t="shared" ca="1" si="36"/>
        <v>6</v>
      </c>
      <c r="T77" s="51" t="s">
        <v>184</v>
      </c>
      <c r="U77" s="51" t="s">
        <v>48</v>
      </c>
      <c r="V77" s="55" t="s">
        <v>48</v>
      </c>
      <c r="W77" s="55" t="s">
        <v>45</v>
      </c>
      <c r="X77" s="66" t="s">
        <v>258</v>
      </c>
      <c r="Y77" s="66">
        <v>25826</v>
      </c>
      <c r="Z77" s="66" t="s">
        <v>259</v>
      </c>
      <c r="AA77" s="66">
        <v>36272</v>
      </c>
      <c r="AB77" s="77">
        <f t="shared" ref="AB77:AB78" ca="1" si="50">DATEDIF(AA77,$A$3,"Y")</f>
        <v>21</v>
      </c>
      <c r="AC77" s="55" t="s">
        <v>48</v>
      </c>
      <c r="AD77" s="66"/>
      <c r="AE77" s="57"/>
      <c r="AF77" s="55" t="s">
        <v>48</v>
      </c>
      <c r="AG77" s="55" t="s">
        <v>48</v>
      </c>
      <c r="AH77" s="55" t="s">
        <v>48</v>
      </c>
      <c r="AI77" s="63" t="s">
        <v>114</v>
      </c>
      <c r="AJ77" s="60" t="s">
        <v>115</v>
      </c>
      <c r="AK77" s="60" t="s">
        <v>115</v>
      </c>
      <c r="AL77" s="60"/>
      <c r="AM77" s="71"/>
      <c r="AN77" s="71" t="s">
        <v>48</v>
      </c>
      <c r="AO77" s="63" t="s">
        <v>48</v>
      </c>
      <c r="AP77" s="63" t="s">
        <v>112</v>
      </c>
      <c r="AQ77" s="63" t="s">
        <v>952</v>
      </c>
      <c r="AR77" s="51" t="s">
        <v>64</v>
      </c>
      <c r="AS77" s="55" t="s">
        <v>95</v>
      </c>
      <c r="AT77" s="242" t="s">
        <v>48</v>
      </c>
    </row>
    <row r="78" spans="1:331" s="65" customFormat="1" ht="18.75" customHeight="1">
      <c r="A78" s="193">
        <v>65</v>
      </c>
      <c r="B78" s="51" t="s">
        <v>336</v>
      </c>
      <c r="C78" s="53" t="s">
        <v>196</v>
      </c>
      <c r="D78" s="433" t="s">
        <v>113</v>
      </c>
      <c r="E78" s="55" t="s">
        <v>344</v>
      </c>
      <c r="F78" s="56">
        <v>43202</v>
      </c>
      <c r="G78" s="143">
        <v>43202</v>
      </c>
      <c r="H78" s="56">
        <v>43567</v>
      </c>
      <c r="I78" s="56"/>
      <c r="J78" s="57">
        <f t="shared" ca="1" si="48"/>
        <v>2</v>
      </c>
      <c r="K78" s="57">
        <f t="shared" ca="1" si="49"/>
        <v>8</v>
      </c>
      <c r="L78" s="58"/>
      <c r="M78" s="58"/>
      <c r="N78" s="55" t="s">
        <v>35</v>
      </c>
      <c r="O78" s="55" t="s">
        <v>36</v>
      </c>
      <c r="P78" s="55" t="s">
        <v>197</v>
      </c>
      <c r="Q78" s="56">
        <v>28085</v>
      </c>
      <c r="R78" s="77">
        <f t="shared" ca="1" si="3"/>
        <v>44</v>
      </c>
      <c r="S78" s="77">
        <f t="shared" ca="1" si="36"/>
        <v>1</v>
      </c>
      <c r="T78" s="51" t="s">
        <v>184</v>
      </c>
      <c r="U78" s="51" t="s">
        <v>48</v>
      </c>
      <c r="V78" s="55" t="s">
        <v>48</v>
      </c>
      <c r="W78" s="51" t="s">
        <v>45</v>
      </c>
      <c r="X78" s="66" t="s">
        <v>198</v>
      </c>
      <c r="Y78" s="66">
        <v>30726</v>
      </c>
      <c r="Z78" s="66" t="s">
        <v>199</v>
      </c>
      <c r="AA78" s="66">
        <v>39029</v>
      </c>
      <c r="AB78" s="77">
        <f t="shared" ca="1" si="50"/>
        <v>14</v>
      </c>
      <c r="AC78" s="55" t="s">
        <v>48</v>
      </c>
      <c r="AD78" s="66"/>
      <c r="AE78" s="77"/>
      <c r="AF78" s="55" t="s">
        <v>48</v>
      </c>
      <c r="AG78" s="55" t="s">
        <v>48</v>
      </c>
      <c r="AH78" s="55" t="s">
        <v>48</v>
      </c>
      <c r="AI78" s="70" t="s">
        <v>200</v>
      </c>
      <c r="AJ78" s="60" t="s">
        <v>201</v>
      </c>
      <c r="AK78" s="60"/>
      <c r="AL78" s="60"/>
      <c r="AM78" s="73"/>
      <c r="AN78" s="73" t="s">
        <v>48</v>
      </c>
      <c r="AO78" s="70" t="s">
        <v>202</v>
      </c>
      <c r="AP78" s="63" t="s">
        <v>196</v>
      </c>
      <c r="AQ78" s="63" t="s">
        <v>953</v>
      </c>
      <c r="AR78" s="51" t="s">
        <v>64</v>
      </c>
      <c r="AS78" s="55" t="s">
        <v>95</v>
      </c>
      <c r="AT78" s="239" t="s">
        <v>203</v>
      </c>
    </row>
    <row r="79" spans="1:331" s="65" customFormat="1" ht="18.75" customHeight="1">
      <c r="A79" s="193">
        <v>66</v>
      </c>
      <c r="B79" s="194" t="s">
        <v>631</v>
      </c>
      <c r="C79" s="53" t="s">
        <v>629</v>
      </c>
      <c r="D79" s="433" t="s">
        <v>113</v>
      </c>
      <c r="E79" s="55" t="s">
        <v>344</v>
      </c>
      <c r="F79" s="56">
        <v>43594</v>
      </c>
      <c r="G79" s="56">
        <v>43594</v>
      </c>
      <c r="H79" s="58"/>
      <c r="I79" s="58"/>
      <c r="J79" s="57">
        <f t="shared" ca="1" si="48"/>
        <v>1</v>
      </c>
      <c r="K79" s="57">
        <f t="shared" ca="1" si="49"/>
        <v>7</v>
      </c>
      <c r="L79" s="58"/>
      <c r="M79" s="58"/>
      <c r="N79" s="55" t="s">
        <v>35</v>
      </c>
      <c r="O79" s="55" t="s">
        <v>36</v>
      </c>
      <c r="P79" s="55" t="s">
        <v>41</v>
      </c>
      <c r="Q79" s="56">
        <v>25807</v>
      </c>
      <c r="R79" s="77">
        <f t="shared" ca="1" si="3"/>
        <v>50</v>
      </c>
      <c r="S79" s="77">
        <f t="shared" ca="1" si="36"/>
        <v>4</v>
      </c>
      <c r="T79" s="51" t="s">
        <v>130</v>
      </c>
      <c r="U79" s="51" t="s">
        <v>632</v>
      </c>
      <c r="V79" s="51" t="s">
        <v>44</v>
      </c>
      <c r="W79" s="51" t="s">
        <v>633</v>
      </c>
      <c r="X79" s="51" t="s">
        <v>48</v>
      </c>
      <c r="Y79" s="51" t="s">
        <v>48</v>
      </c>
      <c r="Z79" s="51" t="s">
        <v>634</v>
      </c>
      <c r="AA79" s="51" t="s">
        <v>48</v>
      </c>
      <c r="AB79" s="51" t="s">
        <v>48</v>
      </c>
      <c r="AC79" s="60" t="s">
        <v>635</v>
      </c>
      <c r="AD79" s="51" t="s">
        <v>48</v>
      </c>
      <c r="AE79" s="51" t="s">
        <v>48</v>
      </c>
      <c r="AF79" s="55" t="s">
        <v>48</v>
      </c>
      <c r="AG79" s="55" t="s">
        <v>48</v>
      </c>
      <c r="AH79" s="55" t="s">
        <v>48</v>
      </c>
      <c r="AI79" s="70" t="s">
        <v>636</v>
      </c>
      <c r="AJ79" s="60" t="s">
        <v>637</v>
      </c>
      <c r="AK79" s="60" t="s">
        <v>637</v>
      </c>
      <c r="AL79" s="60"/>
      <c r="AM79" s="73"/>
      <c r="AN79" s="73" t="s">
        <v>48</v>
      </c>
      <c r="AO79" s="70" t="s">
        <v>638</v>
      </c>
      <c r="AP79" s="63" t="s">
        <v>629</v>
      </c>
      <c r="AQ79" s="70" t="s">
        <v>639</v>
      </c>
      <c r="AR79" s="51" t="s">
        <v>64</v>
      </c>
      <c r="AS79" s="55" t="s">
        <v>95</v>
      </c>
      <c r="AT79" s="239" t="s">
        <v>845</v>
      </c>
    </row>
    <row r="80" spans="1:331" s="18" customFormat="1" ht="18.75" customHeight="1">
      <c r="A80" s="193">
        <v>67</v>
      </c>
      <c r="B80" s="213">
        <v>9919070036</v>
      </c>
      <c r="C80" s="200" t="s">
        <v>768</v>
      </c>
      <c r="D80" s="433" t="s">
        <v>113</v>
      </c>
      <c r="E80" s="55" t="s">
        <v>344</v>
      </c>
      <c r="F80" s="56">
        <v>43668</v>
      </c>
      <c r="G80" s="56">
        <v>43668</v>
      </c>
      <c r="H80" s="58"/>
      <c r="I80" s="58"/>
      <c r="J80" s="57">
        <f t="shared" ca="1" si="48"/>
        <v>1</v>
      </c>
      <c r="K80" s="57">
        <f t="shared" ca="1" si="49"/>
        <v>5</v>
      </c>
      <c r="L80" s="58"/>
      <c r="M80" s="58"/>
      <c r="N80" s="55" t="s">
        <v>35</v>
      </c>
      <c r="O80" s="55" t="s">
        <v>36</v>
      </c>
      <c r="P80" s="55" t="s">
        <v>41</v>
      </c>
      <c r="Q80" s="56">
        <v>34785</v>
      </c>
      <c r="R80" s="77">
        <f t="shared" ca="1" si="3"/>
        <v>25</v>
      </c>
      <c r="S80" s="77">
        <f t="shared" ca="1" si="36"/>
        <v>9</v>
      </c>
      <c r="T80" s="51" t="s">
        <v>68</v>
      </c>
      <c r="U80" s="195" t="s">
        <v>769</v>
      </c>
      <c r="V80" s="55" t="s">
        <v>48</v>
      </c>
      <c r="W80" s="51" t="s">
        <v>45</v>
      </c>
      <c r="X80" s="195" t="s">
        <v>770</v>
      </c>
      <c r="Y80" s="66">
        <v>35411</v>
      </c>
      <c r="Z80" s="55" t="s">
        <v>48</v>
      </c>
      <c r="AA80" s="51" t="s">
        <v>48</v>
      </c>
      <c r="AB80" s="51" t="s">
        <v>48</v>
      </c>
      <c r="AC80" s="55" t="s">
        <v>48</v>
      </c>
      <c r="AD80" s="51" t="s">
        <v>48</v>
      </c>
      <c r="AE80" s="51" t="s">
        <v>48</v>
      </c>
      <c r="AF80" s="55" t="s">
        <v>48</v>
      </c>
      <c r="AG80" s="55" t="s">
        <v>48</v>
      </c>
      <c r="AH80" s="55" t="s">
        <v>48</v>
      </c>
      <c r="AI80" s="197" t="s">
        <v>771</v>
      </c>
      <c r="AJ80" s="60" t="s">
        <v>772</v>
      </c>
      <c r="AK80" s="198" t="s">
        <v>772</v>
      </c>
      <c r="AL80" s="198"/>
      <c r="AM80" s="204"/>
      <c r="AN80" s="73" t="s">
        <v>48</v>
      </c>
      <c r="AO80" s="197" t="s">
        <v>773</v>
      </c>
      <c r="AP80" s="63" t="s">
        <v>768</v>
      </c>
      <c r="AQ80" s="70" t="s">
        <v>807</v>
      </c>
      <c r="AR80" s="51" t="s">
        <v>64</v>
      </c>
      <c r="AS80" s="55" t="s">
        <v>95</v>
      </c>
      <c r="AT80" s="244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  <c r="DK80" s="65"/>
      <c r="DL80" s="65"/>
      <c r="DM80" s="65"/>
      <c r="DN80" s="65"/>
      <c r="DO80" s="65"/>
      <c r="DP80" s="65"/>
      <c r="DQ80" s="65"/>
      <c r="DR80" s="65"/>
      <c r="DS80" s="65"/>
      <c r="DT80" s="65"/>
      <c r="DU80" s="65"/>
      <c r="DV80" s="65"/>
      <c r="DW80" s="65"/>
      <c r="DX80" s="65"/>
      <c r="DY80" s="65"/>
      <c r="DZ80" s="65"/>
      <c r="EA80" s="65"/>
      <c r="EB80" s="65"/>
      <c r="EC80" s="65"/>
      <c r="ED80" s="65"/>
      <c r="EE80" s="65"/>
      <c r="EF80" s="65"/>
      <c r="EG80" s="65"/>
      <c r="EH80" s="65"/>
      <c r="EI80" s="65"/>
      <c r="EJ80" s="65"/>
      <c r="EK80" s="65"/>
      <c r="EL80" s="65"/>
      <c r="EM80" s="65"/>
      <c r="EN80" s="65"/>
      <c r="EO80" s="65"/>
      <c r="EP80" s="65"/>
      <c r="EQ80" s="65"/>
      <c r="ER80" s="65"/>
      <c r="ES80" s="65"/>
      <c r="ET80" s="65"/>
      <c r="EU80" s="65"/>
      <c r="EV80" s="65"/>
      <c r="EW80" s="65"/>
      <c r="EX80" s="65"/>
      <c r="EY80" s="65"/>
      <c r="EZ80" s="65"/>
      <c r="FA80" s="65"/>
      <c r="FB80" s="65"/>
      <c r="FC80" s="65"/>
      <c r="FD80" s="65"/>
      <c r="FE80" s="65"/>
      <c r="FF80" s="65"/>
      <c r="FG80" s="65"/>
      <c r="FH80" s="65"/>
      <c r="FI80" s="65"/>
      <c r="FJ80" s="65"/>
      <c r="FK80" s="65"/>
      <c r="FL80" s="65"/>
      <c r="FM80" s="65"/>
      <c r="FN80" s="65"/>
      <c r="FO80" s="65"/>
      <c r="FP80" s="65"/>
      <c r="FQ80" s="65"/>
      <c r="FR80" s="65"/>
      <c r="FS80" s="65"/>
      <c r="FT80" s="65"/>
      <c r="FU80" s="65"/>
      <c r="FV80" s="65"/>
      <c r="FW80" s="65"/>
      <c r="FX80" s="65"/>
      <c r="FY80" s="65"/>
      <c r="FZ80" s="65"/>
      <c r="GA80" s="65"/>
      <c r="GB80" s="65"/>
      <c r="GC80" s="65"/>
      <c r="GD80" s="65"/>
      <c r="GE80" s="65"/>
      <c r="GF80" s="65"/>
      <c r="GG80" s="65"/>
      <c r="GH80" s="65"/>
      <c r="GI80" s="65"/>
      <c r="GJ80" s="65"/>
      <c r="GK80" s="65"/>
      <c r="GL80" s="65"/>
      <c r="GM80" s="65"/>
      <c r="GN80" s="65"/>
      <c r="GO80" s="65"/>
      <c r="GP80" s="65"/>
      <c r="GQ80" s="65"/>
      <c r="GR80" s="65"/>
      <c r="GS80" s="65"/>
      <c r="GT80" s="65"/>
      <c r="GU80" s="65"/>
      <c r="GV80" s="65"/>
      <c r="GW80" s="65"/>
      <c r="GX80" s="65"/>
      <c r="GY80" s="65"/>
      <c r="GZ80" s="65"/>
      <c r="HA80" s="65"/>
      <c r="HB80" s="65"/>
      <c r="HC80" s="65"/>
      <c r="HD80" s="65"/>
      <c r="HE80" s="65"/>
      <c r="HF80" s="65"/>
      <c r="HG80" s="65"/>
      <c r="HH80" s="65"/>
      <c r="HI80" s="65"/>
      <c r="HJ80" s="65"/>
      <c r="HK80" s="65"/>
      <c r="HL80" s="65"/>
      <c r="HM80" s="65"/>
      <c r="HN80" s="65"/>
      <c r="HO80" s="65"/>
      <c r="HP80" s="65"/>
      <c r="HQ80" s="65"/>
      <c r="HR80" s="65"/>
      <c r="HS80" s="65"/>
      <c r="HT80" s="65"/>
      <c r="HU80" s="65"/>
      <c r="HV80" s="65"/>
      <c r="HW80" s="65"/>
      <c r="HX80" s="65"/>
      <c r="HY80" s="65"/>
      <c r="HZ80" s="65"/>
      <c r="IA80" s="65"/>
      <c r="IB80" s="65"/>
      <c r="IC80" s="65"/>
      <c r="ID80" s="65"/>
      <c r="IE80" s="65"/>
      <c r="IF80" s="65"/>
      <c r="IG80" s="65"/>
      <c r="IH80" s="65"/>
      <c r="II80" s="65"/>
      <c r="IJ80" s="65"/>
      <c r="IK80" s="65"/>
      <c r="IL80" s="65"/>
      <c r="IM80" s="65"/>
      <c r="IN80" s="65"/>
      <c r="IO80" s="65"/>
      <c r="IP80" s="65"/>
      <c r="IQ80" s="65"/>
      <c r="IR80" s="65"/>
      <c r="IS80" s="65"/>
      <c r="IT80" s="65"/>
      <c r="IU80" s="65"/>
      <c r="IV80" s="65"/>
      <c r="IW80" s="65"/>
      <c r="IX80" s="65"/>
      <c r="IY80" s="65"/>
      <c r="IZ80" s="65"/>
      <c r="JA80" s="65"/>
      <c r="JB80" s="65"/>
      <c r="JC80" s="65"/>
      <c r="JD80" s="65"/>
      <c r="JE80" s="65"/>
      <c r="JF80" s="65"/>
      <c r="JG80" s="65"/>
      <c r="JH80" s="65"/>
      <c r="JI80" s="65"/>
      <c r="JJ80" s="65"/>
      <c r="JK80" s="65"/>
      <c r="JL80" s="65"/>
      <c r="JM80" s="65"/>
      <c r="JN80" s="65"/>
      <c r="JO80" s="65"/>
      <c r="JP80" s="65"/>
      <c r="JQ80" s="65"/>
      <c r="JR80" s="65"/>
      <c r="JS80" s="65"/>
      <c r="JT80" s="65"/>
      <c r="JU80" s="65"/>
      <c r="JV80" s="65"/>
      <c r="JW80" s="65"/>
      <c r="JX80" s="65"/>
      <c r="JY80" s="65"/>
      <c r="JZ80" s="65"/>
      <c r="KA80" s="65"/>
      <c r="KB80" s="65"/>
      <c r="KC80" s="65"/>
      <c r="KD80" s="65"/>
      <c r="KE80" s="65"/>
      <c r="KF80" s="65"/>
      <c r="KG80" s="65"/>
      <c r="KH80" s="65"/>
      <c r="KI80" s="65"/>
      <c r="KJ80" s="65"/>
      <c r="KK80" s="65"/>
      <c r="KL80" s="65"/>
      <c r="KM80" s="65"/>
      <c r="KN80" s="65"/>
      <c r="KO80" s="65"/>
      <c r="KP80" s="65"/>
      <c r="KQ80" s="65"/>
      <c r="KR80" s="65"/>
      <c r="KS80" s="65"/>
      <c r="KT80" s="65"/>
      <c r="KU80" s="65"/>
      <c r="KV80" s="65"/>
      <c r="KW80" s="65"/>
      <c r="KX80" s="65"/>
      <c r="KY80" s="65"/>
      <c r="KZ80" s="65"/>
      <c r="LA80" s="65"/>
      <c r="LB80" s="65"/>
      <c r="LC80" s="65"/>
      <c r="LD80" s="65"/>
      <c r="LE80" s="65"/>
      <c r="LF80" s="65"/>
      <c r="LG80" s="65"/>
      <c r="LH80" s="65"/>
      <c r="LI80" s="65"/>
      <c r="LJ80" s="65"/>
      <c r="LK80" s="65"/>
      <c r="LL80" s="65"/>
      <c r="LM80" s="65"/>
      <c r="LN80" s="65"/>
      <c r="LO80" s="65"/>
      <c r="LP80" s="65"/>
      <c r="LQ80" s="65"/>
      <c r="LR80" s="65"/>
      <c r="LS80" s="65"/>
    </row>
    <row r="81" spans="1:331" s="18" customFormat="1" ht="18.75" customHeight="1">
      <c r="A81" s="193">
        <v>68</v>
      </c>
      <c r="B81" s="213">
        <v>9919110051</v>
      </c>
      <c r="C81" s="200" t="s">
        <v>925</v>
      </c>
      <c r="D81" s="433" t="s">
        <v>113</v>
      </c>
      <c r="E81" s="55" t="s">
        <v>344</v>
      </c>
      <c r="F81" s="58">
        <v>43774</v>
      </c>
      <c r="G81" s="58">
        <v>43774</v>
      </c>
      <c r="H81" s="58"/>
      <c r="I81" s="58"/>
      <c r="J81" s="57">
        <f t="shared" ca="1" si="48"/>
        <v>1</v>
      </c>
      <c r="K81" s="57">
        <f t="shared" ca="1" si="49"/>
        <v>2</v>
      </c>
      <c r="L81" s="58"/>
      <c r="M81" s="58"/>
      <c r="N81" s="51" t="s">
        <v>35</v>
      </c>
      <c r="O81" s="55" t="s">
        <v>36</v>
      </c>
      <c r="P81" s="55" t="s">
        <v>41</v>
      </c>
      <c r="Q81" s="58">
        <v>31396</v>
      </c>
      <c r="R81" s="77">
        <f t="shared" ca="1" si="3"/>
        <v>35</v>
      </c>
      <c r="S81" s="77">
        <f t="shared" ca="1" si="36"/>
        <v>0</v>
      </c>
      <c r="T81" s="51" t="s">
        <v>68</v>
      </c>
      <c r="U81" s="51"/>
      <c r="V81" s="51"/>
      <c r="W81" s="51"/>
      <c r="X81" s="51"/>
      <c r="Y81" s="249"/>
      <c r="Z81" s="51"/>
      <c r="AA81" s="195"/>
      <c r="AB81" s="195"/>
      <c r="AC81" s="202"/>
      <c r="AD81" s="195"/>
      <c r="AE81" s="195"/>
      <c r="AF81" s="51" t="s">
        <v>48</v>
      </c>
      <c r="AG81" s="51" t="s">
        <v>48</v>
      </c>
      <c r="AH81" s="51" t="s">
        <v>48</v>
      </c>
      <c r="AI81" s="70" t="s">
        <v>926</v>
      </c>
      <c r="AJ81" s="60" t="s">
        <v>927</v>
      </c>
      <c r="AK81" s="60" t="s">
        <v>927</v>
      </c>
      <c r="AL81" s="198"/>
      <c r="AM81" s="73"/>
      <c r="AN81" s="73"/>
      <c r="AO81" s="70" t="s">
        <v>928</v>
      </c>
      <c r="AP81" s="63" t="s">
        <v>929</v>
      </c>
      <c r="AQ81" s="70" t="s">
        <v>986</v>
      </c>
      <c r="AR81" s="51" t="s">
        <v>64</v>
      </c>
      <c r="AS81" s="51" t="s">
        <v>95</v>
      </c>
      <c r="AT81" s="244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  <c r="DK81" s="65"/>
      <c r="DL81" s="65"/>
      <c r="DM81" s="65"/>
      <c r="DN81" s="65"/>
      <c r="DO81" s="65"/>
      <c r="DP81" s="65"/>
      <c r="DQ81" s="65"/>
      <c r="DR81" s="65"/>
      <c r="DS81" s="65"/>
      <c r="DT81" s="65"/>
      <c r="DU81" s="65"/>
      <c r="DV81" s="65"/>
      <c r="DW81" s="65"/>
      <c r="DX81" s="65"/>
      <c r="DY81" s="65"/>
      <c r="DZ81" s="65"/>
      <c r="EA81" s="65"/>
      <c r="EB81" s="65"/>
      <c r="EC81" s="65"/>
      <c r="ED81" s="65"/>
      <c r="EE81" s="65"/>
      <c r="EF81" s="65"/>
      <c r="EG81" s="65"/>
      <c r="EH81" s="65"/>
      <c r="EI81" s="65"/>
      <c r="EJ81" s="65"/>
      <c r="EK81" s="65"/>
      <c r="EL81" s="65"/>
      <c r="EM81" s="65"/>
      <c r="EN81" s="65"/>
      <c r="EO81" s="65"/>
      <c r="EP81" s="65"/>
      <c r="EQ81" s="65"/>
      <c r="ER81" s="65"/>
      <c r="ES81" s="65"/>
      <c r="ET81" s="65"/>
      <c r="EU81" s="65"/>
      <c r="EV81" s="65"/>
      <c r="EW81" s="65"/>
      <c r="EX81" s="65"/>
      <c r="EY81" s="65"/>
      <c r="EZ81" s="65"/>
      <c r="FA81" s="65"/>
      <c r="FB81" s="65"/>
      <c r="FC81" s="65"/>
      <c r="FD81" s="65"/>
      <c r="FE81" s="65"/>
      <c r="FF81" s="65"/>
      <c r="FG81" s="65"/>
      <c r="FH81" s="65"/>
      <c r="FI81" s="65"/>
      <c r="FJ81" s="65"/>
      <c r="FK81" s="65"/>
      <c r="FL81" s="65"/>
      <c r="FM81" s="65"/>
      <c r="FN81" s="65"/>
      <c r="FO81" s="65"/>
      <c r="FP81" s="65"/>
      <c r="FQ81" s="65"/>
      <c r="FR81" s="65"/>
      <c r="FS81" s="65"/>
      <c r="FT81" s="65"/>
      <c r="FU81" s="65"/>
      <c r="FV81" s="65"/>
      <c r="FW81" s="65"/>
      <c r="FX81" s="65"/>
      <c r="FY81" s="65"/>
      <c r="FZ81" s="65"/>
      <c r="GA81" s="65"/>
      <c r="GB81" s="65"/>
      <c r="GC81" s="65"/>
      <c r="GD81" s="65"/>
      <c r="GE81" s="65"/>
      <c r="GF81" s="65"/>
      <c r="GG81" s="65"/>
      <c r="GH81" s="65"/>
      <c r="GI81" s="65"/>
      <c r="GJ81" s="65"/>
      <c r="GK81" s="65"/>
      <c r="GL81" s="65"/>
      <c r="GM81" s="65"/>
      <c r="GN81" s="65"/>
      <c r="GO81" s="65"/>
      <c r="GP81" s="65"/>
      <c r="GQ81" s="65"/>
      <c r="GR81" s="65"/>
      <c r="GS81" s="65"/>
      <c r="GT81" s="65"/>
      <c r="GU81" s="65"/>
      <c r="GV81" s="65"/>
      <c r="GW81" s="65"/>
      <c r="GX81" s="65"/>
      <c r="GY81" s="65"/>
      <c r="GZ81" s="65"/>
      <c r="HA81" s="65"/>
      <c r="HB81" s="65"/>
      <c r="HC81" s="65"/>
      <c r="HD81" s="65"/>
      <c r="HE81" s="65"/>
      <c r="HF81" s="65"/>
      <c r="HG81" s="65"/>
      <c r="HH81" s="65"/>
      <c r="HI81" s="65"/>
      <c r="HJ81" s="65"/>
      <c r="HK81" s="65"/>
      <c r="HL81" s="65"/>
      <c r="HM81" s="65"/>
      <c r="HN81" s="65"/>
      <c r="HO81" s="65"/>
      <c r="HP81" s="65"/>
      <c r="HQ81" s="65"/>
      <c r="HR81" s="65"/>
      <c r="HS81" s="65"/>
      <c r="HT81" s="65"/>
      <c r="HU81" s="65"/>
      <c r="HV81" s="65"/>
      <c r="HW81" s="65"/>
      <c r="HX81" s="65"/>
      <c r="HY81" s="65"/>
      <c r="HZ81" s="65"/>
      <c r="IA81" s="65"/>
      <c r="IB81" s="65"/>
      <c r="IC81" s="65"/>
      <c r="ID81" s="65"/>
      <c r="IE81" s="65"/>
      <c r="IF81" s="65"/>
      <c r="IG81" s="65"/>
      <c r="IH81" s="65"/>
      <c r="II81" s="65"/>
      <c r="IJ81" s="65"/>
      <c r="IK81" s="65"/>
      <c r="IL81" s="65"/>
      <c r="IM81" s="65"/>
      <c r="IN81" s="65"/>
      <c r="IO81" s="65"/>
      <c r="IP81" s="65"/>
      <c r="IQ81" s="65"/>
      <c r="IR81" s="65"/>
      <c r="IS81" s="65"/>
      <c r="IT81" s="65"/>
      <c r="IU81" s="65"/>
      <c r="IV81" s="65"/>
      <c r="IW81" s="65"/>
      <c r="IX81" s="65"/>
      <c r="IY81" s="65"/>
      <c r="IZ81" s="65"/>
      <c r="JA81" s="65"/>
      <c r="JB81" s="65"/>
      <c r="JC81" s="65"/>
      <c r="JD81" s="65"/>
      <c r="JE81" s="65"/>
      <c r="JF81" s="65"/>
      <c r="JG81" s="65"/>
      <c r="JH81" s="65"/>
      <c r="JI81" s="65"/>
      <c r="JJ81" s="65"/>
      <c r="JK81" s="65"/>
      <c r="JL81" s="65"/>
      <c r="JM81" s="65"/>
      <c r="JN81" s="65"/>
      <c r="JO81" s="65"/>
      <c r="JP81" s="65"/>
      <c r="JQ81" s="65"/>
      <c r="JR81" s="65"/>
      <c r="JS81" s="65"/>
      <c r="JT81" s="65"/>
      <c r="JU81" s="65"/>
      <c r="JV81" s="65"/>
      <c r="JW81" s="65"/>
      <c r="JX81" s="65"/>
      <c r="JY81" s="65"/>
      <c r="JZ81" s="65"/>
      <c r="KA81" s="65"/>
      <c r="KB81" s="65"/>
      <c r="KC81" s="65"/>
      <c r="KD81" s="65"/>
      <c r="KE81" s="65"/>
      <c r="KF81" s="65"/>
      <c r="KG81" s="65"/>
      <c r="KH81" s="65"/>
      <c r="KI81" s="65"/>
      <c r="KJ81" s="65"/>
      <c r="KK81" s="65"/>
      <c r="KL81" s="65"/>
      <c r="KM81" s="65"/>
      <c r="KN81" s="65"/>
      <c r="KO81" s="65"/>
      <c r="KP81" s="65"/>
      <c r="KQ81" s="65"/>
      <c r="KR81" s="65"/>
      <c r="KS81" s="65"/>
      <c r="KT81" s="65"/>
      <c r="KU81" s="65"/>
      <c r="KV81" s="65"/>
      <c r="KW81" s="65"/>
      <c r="KX81" s="65"/>
      <c r="KY81" s="65"/>
      <c r="KZ81" s="65"/>
      <c r="LA81" s="65"/>
      <c r="LB81" s="65"/>
      <c r="LC81" s="65"/>
      <c r="LD81" s="65"/>
      <c r="LE81" s="65"/>
      <c r="LF81" s="65"/>
      <c r="LG81" s="65"/>
      <c r="LH81" s="65"/>
      <c r="LI81" s="65"/>
      <c r="LJ81" s="65"/>
      <c r="LK81" s="65"/>
      <c r="LL81" s="65"/>
      <c r="LM81" s="65"/>
      <c r="LN81" s="65"/>
      <c r="LO81" s="65"/>
      <c r="LP81" s="65"/>
      <c r="LQ81" s="65"/>
      <c r="LR81" s="65"/>
      <c r="LS81" s="65"/>
    </row>
    <row r="82" spans="1:331">
      <c r="A82" s="689" t="s">
        <v>380</v>
      </c>
      <c r="B82" s="690"/>
      <c r="C82" s="323"/>
      <c r="D82" s="35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5"/>
      <c r="Q82" s="34"/>
      <c r="R82" s="34"/>
      <c r="S82" s="34"/>
      <c r="T82" s="34"/>
      <c r="U82" s="35"/>
      <c r="V82" s="34"/>
      <c r="W82" s="34"/>
      <c r="X82" s="35"/>
      <c r="Y82" s="34"/>
      <c r="Z82" s="35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5"/>
      <c r="AN82" s="35"/>
      <c r="AO82" s="35"/>
      <c r="AP82" s="35"/>
      <c r="AQ82" s="35"/>
      <c r="AR82" s="35"/>
      <c r="AS82" s="35"/>
      <c r="AT82" s="245"/>
    </row>
    <row r="83" spans="1:331">
      <c r="A83" s="188">
        <v>69</v>
      </c>
      <c r="B83" s="250" t="s">
        <v>875</v>
      </c>
      <c r="C83" s="277" t="s">
        <v>873</v>
      </c>
      <c r="D83" s="251" t="s">
        <v>832</v>
      </c>
      <c r="E83" s="55" t="s">
        <v>344</v>
      </c>
      <c r="F83" s="56">
        <v>43733</v>
      </c>
      <c r="G83" s="56">
        <v>43733</v>
      </c>
      <c r="H83" s="251"/>
      <c r="I83" s="251"/>
      <c r="J83" s="57">
        <f t="shared" ca="1" si="48"/>
        <v>1</v>
      </c>
      <c r="K83" s="57">
        <f t="shared" ca="1" si="49"/>
        <v>3</v>
      </c>
      <c r="L83" s="252"/>
      <c r="M83" s="252"/>
      <c r="N83" s="55" t="s">
        <v>35</v>
      </c>
      <c r="O83" s="55" t="s">
        <v>36</v>
      </c>
      <c r="P83" s="253" t="s">
        <v>37</v>
      </c>
      <c r="Q83" s="56">
        <v>32429</v>
      </c>
      <c r="R83" s="77">
        <f t="shared" ca="1" si="3"/>
        <v>32</v>
      </c>
      <c r="S83" s="77">
        <f t="shared" ca="1" si="36"/>
        <v>2</v>
      </c>
      <c r="T83" s="251" t="s">
        <v>876</v>
      </c>
      <c r="U83" s="253" t="s">
        <v>153</v>
      </c>
      <c r="V83" s="51" t="s">
        <v>44</v>
      </c>
      <c r="W83" s="51" t="s">
        <v>45</v>
      </c>
      <c r="X83" s="293" t="s">
        <v>877</v>
      </c>
      <c r="Y83" s="66">
        <v>33185</v>
      </c>
      <c r="Z83" s="293" t="s">
        <v>878</v>
      </c>
      <c r="AA83" s="66">
        <v>41761</v>
      </c>
      <c r="AB83" s="77">
        <f t="shared" ref="AB83" ca="1" si="51">DATEDIF(AA83,$A$3,"Y")</f>
        <v>6</v>
      </c>
      <c r="AC83" s="254" t="s">
        <v>879</v>
      </c>
      <c r="AD83" s="66">
        <v>43674</v>
      </c>
      <c r="AE83" s="51" t="s">
        <v>48</v>
      </c>
      <c r="AF83" s="55" t="s">
        <v>48</v>
      </c>
      <c r="AG83" s="55" t="s">
        <v>48</v>
      </c>
      <c r="AH83" s="55" t="s">
        <v>48</v>
      </c>
      <c r="AI83" s="256" t="s">
        <v>880</v>
      </c>
      <c r="AJ83" s="254" t="s">
        <v>881</v>
      </c>
      <c r="AK83" s="254" t="s">
        <v>881</v>
      </c>
      <c r="AL83" s="255"/>
      <c r="AM83" s="251"/>
      <c r="AN83" s="73" t="s">
        <v>48</v>
      </c>
      <c r="AO83" s="256" t="s">
        <v>882</v>
      </c>
      <c r="AP83" s="157" t="s">
        <v>873</v>
      </c>
      <c r="AQ83" s="253" t="s">
        <v>884</v>
      </c>
      <c r="AR83" s="51" t="s">
        <v>64</v>
      </c>
      <c r="AS83" s="55" t="s">
        <v>95</v>
      </c>
      <c r="AT83" s="248"/>
    </row>
    <row r="84" spans="1:331">
      <c r="A84" s="689" t="s">
        <v>1001</v>
      </c>
      <c r="B84" s="690"/>
      <c r="C84" s="34"/>
      <c r="D84" s="35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5"/>
      <c r="Q84" s="34"/>
      <c r="R84" s="34"/>
      <c r="S84" s="34"/>
      <c r="T84" s="34"/>
      <c r="U84" s="35"/>
      <c r="V84" s="34"/>
      <c r="W84" s="34"/>
      <c r="X84" s="35"/>
      <c r="Y84" s="34"/>
      <c r="Z84" s="35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5"/>
      <c r="AN84" s="35"/>
      <c r="AO84" s="35"/>
      <c r="AP84" s="35"/>
      <c r="AQ84" s="35"/>
      <c r="AR84" s="35"/>
      <c r="AS84" s="35"/>
      <c r="AT84" s="245"/>
    </row>
    <row r="85" spans="1:331">
      <c r="A85" s="51">
        <v>1</v>
      </c>
      <c r="B85" s="55" t="s">
        <v>318</v>
      </c>
      <c r="C85" s="106" t="s">
        <v>208</v>
      </c>
      <c r="D85" s="55" t="s">
        <v>501</v>
      </c>
      <c r="E85" s="55" t="s">
        <v>344</v>
      </c>
      <c r="F85" s="56">
        <v>43202</v>
      </c>
      <c r="G85" s="56">
        <v>43202</v>
      </c>
      <c r="H85" s="56"/>
      <c r="I85" s="56"/>
      <c r="J85" s="108">
        <f ca="1">DATEDIF(F85,$A$3,"Y")</f>
        <v>2</v>
      </c>
      <c r="K85" s="108">
        <f ca="1">DATEDIF(F85,$A$3,"YM")</f>
        <v>8</v>
      </c>
      <c r="L85" s="56"/>
      <c r="M85" s="56"/>
      <c r="N85" s="55" t="s">
        <v>35</v>
      </c>
      <c r="O85" s="55" t="s">
        <v>36</v>
      </c>
      <c r="P85" s="55" t="s">
        <v>41</v>
      </c>
      <c r="Q85" s="56">
        <v>28657</v>
      </c>
      <c r="R85" s="109">
        <f ca="1">DATEDIF(Q85,$A$3,"Y")</f>
        <v>42</v>
      </c>
      <c r="S85" s="109">
        <f ca="1">DATEDIF(Q85,$A$3,"YM")</f>
        <v>6</v>
      </c>
      <c r="T85" s="55" t="s">
        <v>184</v>
      </c>
      <c r="U85" s="55" t="s">
        <v>48</v>
      </c>
      <c r="V85" s="55" t="s">
        <v>48</v>
      </c>
      <c r="W85" s="55" t="s">
        <v>210</v>
      </c>
      <c r="X85" s="55" t="s">
        <v>233</v>
      </c>
      <c r="Y85" s="56"/>
      <c r="Z85" s="55" t="s">
        <v>211</v>
      </c>
      <c r="AA85" s="56"/>
      <c r="AB85" s="59"/>
      <c r="AC85" s="59" t="s">
        <v>212</v>
      </c>
      <c r="AD85" s="110"/>
      <c r="AE85" s="59"/>
      <c r="AF85" s="111"/>
      <c r="AG85" s="56"/>
      <c r="AH85" s="55"/>
      <c r="AI85" s="74" t="s">
        <v>213</v>
      </c>
      <c r="AJ85" s="59" t="s">
        <v>84</v>
      </c>
      <c r="AK85" s="59" t="s">
        <v>84</v>
      </c>
      <c r="AL85" s="59"/>
      <c r="AM85" s="55"/>
      <c r="AN85" s="55" t="s">
        <v>48</v>
      </c>
      <c r="AO85" s="74" t="s">
        <v>214</v>
      </c>
      <c r="AP85" s="74" t="s">
        <v>208</v>
      </c>
      <c r="AQ85" s="74" t="s">
        <v>954</v>
      </c>
      <c r="AR85" s="55" t="s">
        <v>64</v>
      </c>
      <c r="AS85" s="55" t="s">
        <v>95</v>
      </c>
      <c r="AT85" s="226" t="s">
        <v>215</v>
      </c>
    </row>
    <row r="86" spans="1:331">
      <c r="A86" s="51">
        <v>2</v>
      </c>
      <c r="B86" s="51" t="s">
        <v>332</v>
      </c>
      <c r="C86" s="53" t="s">
        <v>220</v>
      </c>
      <c r="D86" s="433" t="s">
        <v>144</v>
      </c>
      <c r="E86" s="55" t="s">
        <v>344</v>
      </c>
      <c r="F86" s="56">
        <v>43202</v>
      </c>
      <c r="G86" s="56">
        <v>43202</v>
      </c>
      <c r="H86" s="56"/>
      <c r="I86" s="56"/>
      <c r="J86" s="57">
        <f ca="1">DATEDIF(F86,$A$3,"Y")</f>
        <v>2</v>
      </c>
      <c r="K86" s="57">
        <f ca="1">DATEDIF(F86,$A$3,"YM")</f>
        <v>8</v>
      </c>
      <c r="L86" s="58"/>
      <c r="M86" s="58"/>
      <c r="N86" s="55" t="s">
        <v>35</v>
      </c>
      <c r="O86" s="55" t="s">
        <v>36</v>
      </c>
      <c r="P86" s="55" t="s">
        <v>41</v>
      </c>
      <c r="Q86" s="56">
        <v>35463</v>
      </c>
      <c r="R86" s="77">
        <f t="shared" ref="R86" ca="1" si="52">DATEDIF(Q86,$A$3,"Y")</f>
        <v>23</v>
      </c>
      <c r="S86" s="77">
        <f t="shared" ref="S86" ca="1" si="53">DATEDIF(Q86,$A$3,"YM")</f>
        <v>11</v>
      </c>
      <c r="T86" s="51" t="s">
        <v>244</v>
      </c>
      <c r="U86" s="51" t="s">
        <v>153</v>
      </c>
      <c r="V86" s="55" t="s">
        <v>44</v>
      </c>
      <c r="W86" s="55" t="s">
        <v>59</v>
      </c>
      <c r="X86" s="51"/>
      <c r="Y86" s="58"/>
      <c r="Z86" s="51"/>
      <c r="AA86" s="58"/>
      <c r="AB86" s="57"/>
      <c r="AC86" s="62"/>
      <c r="AD86" s="71"/>
      <c r="AE86" s="57"/>
      <c r="AF86" s="71"/>
      <c r="AG86" s="71"/>
      <c r="AH86" s="71"/>
      <c r="AI86" s="63" t="s">
        <v>245</v>
      </c>
      <c r="AJ86" s="60" t="s">
        <v>246</v>
      </c>
      <c r="AK86" s="60" t="s">
        <v>246</v>
      </c>
      <c r="AL86" s="60"/>
      <c r="AM86" s="51"/>
      <c r="AN86" s="51" t="s">
        <v>48</v>
      </c>
      <c r="AO86" s="63" t="s">
        <v>247</v>
      </c>
      <c r="AP86" s="63" t="s">
        <v>220</v>
      </c>
      <c r="AQ86" s="57" t="s">
        <v>955</v>
      </c>
      <c r="AR86" s="51" t="s">
        <v>64</v>
      </c>
      <c r="AS86" s="55" t="s">
        <v>95</v>
      </c>
      <c r="AT86" s="242" t="s">
        <v>48</v>
      </c>
    </row>
    <row r="87" spans="1:331">
      <c r="A87" s="51">
        <v>3</v>
      </c>
      <c r="B87" s="51" t="s">
        <v>453</v>
      </c>
      <c r="C87" s="53" t="s">
        <v>488</v>
      </c>
      <c r="D87" s="433" t="s">
        <v>144</v>
      </c>
      <c r="E87" s="51" t="s">
        <v>344</v>
      </c>
      <c r="F87" s="58">
        <v>43468</v>
      </c>
      <c r="G87" s="56">
        <v>43468</v>
      </c>
      <c r="H87" s="56"/>
      <c r="I87" s="56"/>
      <c r="J87" s="57">
        <f ca="1">DATEDIF(F87,$A$3,"Y")</f>
        <v>2</v>
      </c>
      <c r="K87" s="57">
        <f ca="1">DATEDIF(F87,$A$3,"YM")</f>
        <v>0</v>
      </c>
      <c r="L87" s="58"/>
      <c r="M87" s="58"/>
      <c r="N87" s="55" t="s">
        <v>76</v>
      </c>
      <c r="O87" s="55" t="s">
        <v>36</v>
      </c>
      <c r="P87" s="55" t="s">
        <v>41</v>
      </c>
      <c r="Q87" s="56">
        <v>35122</v>
      </c>
      <c r="R87" s="131">
        <f ca="1">DATEDIF(Q87,$A$3,"Y")</f>
        <v>24</v>
      </c>
      <c r="S87" s="131">
        <f ca="1">DATEDIF(Q87,$A$3,"YM")</f>
        <v>10</v>
      </c>
      <c r="T87" s="51" t="s">
        <v>68</v>
      </c>
      <c r="U87" s="51" t="s">
        <v>69</v>
      </c>
      <c r="V87" s="55" t="s">
        <v>105</v>
      </c>
      <c r="W87" s="55" t="s">
        <v>59</v>
      </c>
      <c r="X87" s="51"/>
      <c r="Y87" s="58"/>
      <c r="Z87" s="51"/>
      <c r="AA87" s="58"/>
      <c r="AB87" s="57"/>
      <c r="AC87" s="62"/>
      <c r="AD87" s="71"/>
      <c r="AE87" s="57"/>
      <c r="AF87" s="71"/>
      <c r="AG87" s="71"/>
      <c r="AH87" s="71"/>
      <c r="AI87" s="63" t="s">
        <v>489</v>
      </c>
      <c r="AJ87" s="60" t="s">
        <v>490</v>
      </c>
      <c r="AK87" s="60" t="s">
        <v>490</v>
      </c>
      <c r="AL87" s="60"/>
      <c r="AM87" s="51"/>
      <c r="AN87" s="51" t="s">
        <v>48</v>
      </c>
      <c r="AO87" s="70" t="s">
        <v>491</v>
      </c>
      <c r="AP87" s="63" t="s">
        <v>488</v>
      </c>
      <c r="AQ87" s="57" t="s">
        <v>906</v>
      </c>
      <c r="AR87" s="51" t="s">
        <v>64</v>
      </c>
      <c r="AS87" s="55" t="s">
        <v>95</v>
      </c>
      <c r="AT87" s="242"/>
    </row>
    <row r="88" spans="1:331">
      <c r="A88" s="51">
        <v>4</v>
      </c>
      <c r="B88" s="51"/>
      <c r="C88" s="276" t="s">
        <v>550</v>
      </c>
      <c r="D88" s="433" t="s">
        <v>1000</v>
      </c>
      <c r="E88" s="51" t="s">
        <v>344</v>
      </c>
      <c r="F88" s="58"/>
      <c r="G88" s="56"/>
      <c r="H88" s="56"/>
      <c r="I88" s="56"/>
      <c r="J88" s="57"/>
      <c r="K88" s="57"/>
      <c r="L88" s="58"/>
      <c r="M88" s="58"/>
      <c r="N88" s="55"/>
      <c r="O88" s="55"/>
      <c r="P88" s="55"/>
      <c r="Q88" s="56"/>
      <c r="R88" s="131"/>
      <c r="S88" s="131"/>
      <c r="T88" s="51"/>
      <c r="U88" s="51"/>
      <c r="V88" s="55"/>
      <c r="W88" s="55"/>
      <c r="X88" s="51"/>
      <c r="Y88" s="58"/>
      <c r="Z88" s="51"/>
      <c r="AA88" s="58"/>
      <c r="AB88" s="57"/>
      <c r="AC88" s="62"/>
      <c r="AD88" s="71"/>
      <c r="AE88" s="57"/>
      <c r="AF88" s="71"/>
      <c r="AG88" s="71"/>
      <c r="AH88" s="71"/>
      <c r="AI88" s="63"/>
      <c r="AJ88" s="60"/>
      <c r="AK88" s="60"/>
      <c r="AL88" s="60"/>
      <c r="AM88" s="51"/>
      <c r="AN88" s="51" t="s">
        <v>48</v>
      </c>
      <c r="AO88" s="70"/>
      <c r="AP88" s="184" t="s">
        <v>550</v>
      </c>
      <c r="AQ88" s="57" t="s">
        <v>907</v>
      </c>
      <c r="AR88" s="51" t="s">
        <v>64</v>
      </c>
      <c r="AS88" s="55" t="s">
        <v>95</v>
      </c>
      <c r="AT88" s="242"/>
    </row>
    <row r="89" spans="1:331">
      <c r="A89" s="51">
        <v>5</v>
      </c>
      <c r="B89" s="51"/>
      <c r="C89" s="276" t="s">
        <v>552</v>
      </c>
      <c r="D89" s="433" t="s">
        <v>144</v>
      </c>
      <c r="E89" s="51" t="s">
        <v>344</v>
      </c>
      <c r="F89" s="58"/>
      <c r="G89" s="56"/>
      <c r="H89" s="56"/>
      <c r="I89" s="56"/>
      <c r="J89" s="57"/>
      <c r="K89" s="57"/>
      <c r="L89" s="58"/>
      <c r="M89" s="58"/>
      <c r="N89" s="55"/>
      <c r="O89" s="55"/>
      <c r="P89" s="55"/>
      <c r="Q89" s="56"/>
      <c r="R89" s="131"/>
      <c r="S89" s="131"/>
      <c r="T89" s="51"/>
      <c r="U89" s="51"/>
      <c r="V89" s="55"/>
      <c r="W89" s="55"/>
      <c r="X89" s="51"/>
      <c r="Y89" s="58"/>
      <c r="Z89" s="51"/>
      <c r="AA89" s="58"/>
      <c r="AB89" s="57"/>
      <c r="AC89" s="62"/>
      <c r="AD89" s="71"/>
      <c r="AE89" s="57"/>
      <c r="AF89" s="71"/>
      <c r="AG89" s="71"/>
      <c r="AH89" s="71"/>
      <c r="AI89" s="63"/>
      <c r="AJ89" s="60"/>
      <c r="AK89" s="60"/>
      <c r="AL89" s="60"/>
      <c r="AM89" s="51"/>
      <c r="AN89" s="51" t="s">
        <v>48</v>
      </c>
      <c r="AO89" s="70"/>
      <c r="AP89" s="184" t="s">
        <v>552</v>
      </c>
      <c r="AQ89" s="57" t="s">
        <v>908</v>
      </c>
      <c r="AR89" s="51" t="s">
        <v>64</v>
      </c>
      <c r="AS89" s="55" t="s">
        <v>95</v>
      </c>
      <c r="AT89" s="242"/>
    </row>
    <row r="90" spans="1:331">
      <c r="A90" s="51">
        <v>6</v>
      </c>
      <c r="B90" s="185"/>
      <c r="C90" s="276" t="s">
        <v>553</v>
      </c>
      <c r="D90" s="433" t="s">
        <v>144</v>
      </c>
      <c r="E90" s="51" t="s">
        <v>344</v>
      </c>
      <c r="F90" s="185"/>
      <c r="G90" s="185"/>
      <c r="H90" s="185"/>
      <c r="I90" s="185"/>
      <c r="J90" s="57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294"/>
      <c r="Y90" s="185"/>
      <c r="Z90" s="294"/>
      <c r="AA90" s="185"/>
      <c r="AB90" s="185"/>
      <c r="AC90" s="185"/>
      <c r="AD90" s="185"/>
      <c r="AE90" s="185"/>
      <c r="AF90" s="185"/>
      <c r="AG90" s="185"/>
      <c r="AH90" s="185"/>
      <c r="AI90" s="185"/>
      <c r="AJ90" s="185"/>
      <c r="AK90" s="185"/>
      <c r="AL90" s="185"/>
      <c r="AM90" s="185"/>
      <c r="AN90" s="51" t="s">
        <v>48</v>
      </c>
      <c r="AO90" s="185"/>
      <c r="AP90" s="184" t="s">
        <v>553</v>
      </c>
      <c r="AQ90" s="188" t="s">
        <v>909</v>
      </c>
      <c r="AR90" s="51" t="s">
        <v>64</v>
      </c>
      <c r="AS90" s="55" t="s">
        <v>95</v>
      </c>
      <c r="AT90" s="185"/>
    </row>
    <row r="91" spans="1:331">
      <c r="A91" s="51">
        <v>7</v>
      </c>
      <c r="B91" s="185"/>
      <c r="C91" s="276" t="s">
        <v>644</v>
      </c>
      <c r="D91" s="433" t="s">
        <v>144</v>
      </c>
      <c r="E91" s="51" t="s">
        <v>344</v>
      </c>
      <c r="F91" s="58">
        <v>43633</v>
      </c>
      <c r="G91" s="56">
        <v>43633</v>
      </c>
      <c r="H91" s="185"/>
      <c r="I91" s="185"/>
      <c r="J91" s="57">
        <f ca="1">DATEDIF(F91,$A$3,"Y")</f>
        <v>1</v>
      </c>
      <c r="K91" s="57">
        <f ca="1">DATEDIF(F91,$A$3,"YM")</f>
        <v>6</v>
      </c>
      <c r="L91" s="185"/>
      <c r="M91" s="185"/>
      <c r="N91" s="55" t="s">
        <v>35</v>
      </c>
      <c r="O91" s="55" t="s">
        <v>36</v>
      </c>
      <c r="P91" s="55" t="s">
        <v>41</v>
      </c>
      <c r="Q91" s="56">
        <v>30142</v>
      </c>
      <c r="R91" s="131">
        <f t="shared" ref="R91:R97" ca="1" si="54">DATEDIF(Q91,$A$3,"Y")</f>
        <v>38</v>
      </c>
      <c r="S91" s="131">
        <f t="shared" ref="S91:S97" ca="1" si="55">DATEDIF(Q91,$A$3,"YM")</f>
        <v>5</v>
      </c>
      <c r="T91" s="188" t="s">
        <v>136</v>
      </c>
      <c r="U91" s="185"/>
      <c r="V91" s="185"/>
      <c r="W91" s="55" t="s">
        <v>192</v>
      </c>
      <c r="X91" s="294"/>
      <c r="Y91" s="185"/>
      <c r="Z91" s="294"/>
      <c r="AA91" s="185"/>
      <c r="AB91" s="185"/>
      <c r="AC91" s="185"/>
      <c r="AD91" s="185"/>
      <c r="AE91" s="185"/>
      <c r="AF91" s="185"/>
      <c r="AG91" s="185"/>
      <c r="AH91" s="185"/>
      <c r="AI91" s="309" t="s">
        <v>646</v>
      </c>
      <c r="AJ91" s="185" t="s">
        <v>647</v>
      </c>
      <c r="AK91" s="312" t="s">
        <v>647</v>
      </c>
      <c r="AL91" s="185"/>
      <c r="AM91" s="185"/>
      <c r="AN91" s="51"/>
      <c r="AO91" s="185"/>
      <c r="AP91" s="184" t="s">
        <v>644</v>
      </c>
      <c r="AQ91" s="188" t="s">
        <v>669</v>
      </c>
      <c r="AR91" s="51" t="s">
        <v>64</v>
      </c>
      <c r="AS91" s="55" t="s">
        <v>95</v>
      </c>
      <c r="AT91" s="185"/>
    </row>
    <row r="92" spans="1:331">
      <c r="A92" s="51">
        <v>8</v>
      </c>
      <c r="B92" s="51" t="s">
        <v>335</v>
      </c>
      <c r="C92" s="53" t="s">
        <v>216</v>
      </c>
      <c r="D92" s="433" t="s">
        <v>113</v>
      </c>
      <c r="E92" s="51" t="s">
        <v>344</v>
      </c>
      <c r="F92" s="58">
        <v>43202</v>
      </c>
      <c r="G92" s="143">
        <v>43202</v>
      </c>
      <c r="H92" s="56">
        <v>43567</v>
      </c>
      <c r="I92" s="56"/>
      <c r="J92" s="57">
        <f ca="1">DATEDIF(F92,$A$3,"Y")</f>
        <v>2</v>
      </c>
      <c r="K92" s="57">
        <f ca="1">DATEDIF(F92,$A$3,"YM")</f>
        <v>8</v>
      </c>
      <c r="L92" s="58"/>
      <c r="M92" s="58"/>
      <c r="N92" s="55" t="s">
        <v>35</v>
      </c>
      <c r="O92" s="55" t="s">
        <v>36</v>
      </c>
      <c r="P92" s="55" t="s">
        <v>41</v>
      </c>
      <c r="Q92" s="56">
        <v>25632</v>
      </c>
      <c r="R92" s="77">
        <f t="shared" ca="1" si="54"/>
        <v>50</v>
      </c>
      <c r="S92" s="77">
        <f t="shared" ca="1" si="55"/>
        <v>10</v>
      </c>
      <c r="T92" s="51" t="s">
        <v>223</v>
      </c>
      <c r="U92" s="51" t="s">
        <v>48</v>
      </c>
      <c r="V92" s="55" t="s">
        <v>224</v>
      </c>
      <c r="W92" s="55" t="s">
        <v>210</v>
      </c>
      <c r="X92" s="66" t="s">
        <v>226</v>
      </c>
      <c r="Y92" s="66">
        <v>27760</v>
      </c>
      <c r="Z92" s="66" t="s">
        <v>227</v>
      </c>
      <c r="AA92" s="66">
        <v>35604</v>
      </c>
      <c r="AB92" s="77">
        <f ca="1">DATEDIF(AA92,$A$3,"Y")</f>
        <v>23</v>
      </c>
      <c r="AC92" s="67" t="s">
        <v>228</v>
      </c>
      <c r="AD92" s="66">
        <v>37862</v>
      </c>
      <c r="AE92" s="77">
        <f ca="1">DATEDIF(AD92,$A$3,"Y")</f>
        <v>17</v>
      </c>
      <c r="AF92" s="66"/>
      <c r="AG92" s="66"/>
      <c r="AH92" s="66"/>
      <c r="AI92" s="310" t="s">
        <v>229</v>
      </c>
      <c r="AJ92" s="60" t="s">
        <v>230</v>
      </c>
      <c r="AK92" s="201" t="s">
        <v>230</v>
      </c>
      <c r="AL92" s="60"/>
      <c r="AM92" s="71"/>
      <c r="AN92" s="71" t="s">
        <v>48</v>
      </c>
      <c r="AO92" s="63" t="s">
        <v>231</v>
      </c>
      <c r="AP92" s="63" t="s">
        <v>216</v>
      </c>
      <c r="AQ92" s="63" t="s">
        <v>911</v>
      </c>
      <c r="AR92" s="51" t="s">
        <v>64</v>
      </c>
      <c r="AS92" s="55" t="s">
        <v>95</v>
      </c>
      <c r="AT92" s="242" t="s">
        <v>48</v>
      </c>
    </row>
    <row r="93" spans="1:331">
      <c r="A93" s="51">
        <v>9</v>
      </c>
      <c r="B93" s="51"/>
      <c r="C93" s="53" t="s">
        <v>775</v>
      </c>
      <c r="D93" s="433" t="s">
        <v>144</v>
      </c>
      <c r="E93" s="51" t="s">
        <v>344</v>
      </c>
      <c r="F93" s="58">
        <v>43661</v>
      </c>
      <c r="G93" s="56">
        <v>43661</v>
      </c>
      <c r="H93" s="185"/>
      <c r="I93" s="185"/>
      <c r="J93" s="57">
        <f ca="1">DATEDIF(F93,$A$3,"Y")</f>
        <v>1</v>
      </c>
      <c r="K93" s="57">
        <f ca="1">DATEDIF(F93,$A$3,"YM")</f>
        <v>5</v>
      </c>
      <c r="L93" s="58"/>
      <c r="M93" s="58"/>
      <c r="N93" s="55" t="s">
        <v>35</v>
      </c>
      <c r="O93" s="55" t="s">
        <v>36</v>
      </c>
      <c r="P93" s="55" t="s">
        <v>41</v>
      </c>
      <c r="Q93" s="56">
        <v>32315</v>
      </c>
      <c r="R93" s="77">
        <f t="shared" ca="1" si="54"/>
        <v>32</v>
      </c>
      <c r="S93" s="77">
        <f t="shared" ca="1" si="55"/>
        <v>6</v>
      </c>
      <c r="T93" s="188" t="s">
        <v>136</v>
      </c>
      <c r="U93" s="51" t="s">
        <v>48</v>
      </c>
      <c r="V93" s="185"/>
      <c r="W93" s="51" t="s">
        <v>45</v>
      </c>
      <c r="X93" s="290" t="s">
        <v>776</v>
      </c>
      <c r="Y93" s="66">
        <v>34304</v>
      </c>
      <c r="Z93" s="290" t="s">
        <v>777</v>
      </c>
      <c r="AA93" s="66">
        <v>41880</v>
      </c>
      <c r="AB93" s="77">
        <f ca="1">DATEDIF(AA93,$A$3,"Y")</f>
        <v>6</v>
      </c>
      <c r="AC93" s="185"/>
      <c r="AD93" s="185"/>
      <c r="AE93" s="185"/>
      <c r="AF93" s="185"/>
      <c r="AG93" s="185"/>
      <c r="AH93" s="185"/>
      <c r="AI93" s="197" t="s">
        <v>778</v>
      </c>
      <c r="AJ93" s="60" t="s">
        <v>779</v>
      </c>
      <c r="AK93" s="198" t="s">
        <v>779</v>
      </c>
      <c r="AL93" s="60"/>
      <c r="AM93" s="60"/>
      <c r="AN93" s="71" t="s">
        <v>48</v>
      </c>
      <c r="AO93" s="70" t="s">
        <v>780</v>
      </c>
      <c r="AP93" s="63" t="s">
        <v>775</v>
      </c>
      <c r="AQ93" s="188" t="s">
        <v>805</v>
      </c>
      <c r="AR93" s="51" t="s">
        <v>64</v>
      </c>
      <c r="AS93" s="55" t="s">
        <v>95</v>
      </c>
      <c r="AT93" s="242" t="s">
        <v>48</v>
      </c>
    </row>
    <row r="94" spans="1:331">
      <c r="A94" s="51">
        <v>10</v>
      </c>
      <c r="B94" s="51"/>
      <c r="C94" s="53" t="s">
        <v>781</v>
      </c>
      <c r="D94" s="433" t="s">
        <v>144</v>
      </c>
      <c r="E94" s="51" t="s">
        <v>344</v>
      </c>
      <c r="F94" s="58">
        <v>43663</v>
      </c>
      <c r="G94" s="56">
        <v>43663</v>
      </c>
      <c r="H94" s="185"/>
      <c r="I94" s="185"/>
      <c r="J94" s="57">
        <f t="shared" ref="J94:J97" ca="1" si="56">DATEDIF(F94,$A$3,"Y")</f>
        <v>1</v>
      </c>
      <c r="K94" s="57">
        <f t="shared" ref="K94:K97" ca="1" si="57">DATEDIF(F94,$A$3,"YM")</f>
        <v>5</v>
      </c>
      <c r="L94" s="58"/>
      <c r="M94" s="58"/>
      <c r="N94" s="55" t="s">
        <v>35</v>
      </c>
      <c r="O94" s="55" t="s">
        <v>36</v>
      </c>
      <c r="P94" s="202" t="s">
        <v>197</v>
      </c>
      <c r="Q94" s="56">
        <v>33049</v>
      </c>
      <c r="R94" s="77">
        <f t="shared" ca="1" si="54"/>
        <v>30</v>
      </c>
      <c r="S94" s="77">
        <f t="shared" ca="1" si="55"/>
        <v>6</v>
      </c>
      <c r="T94" s="188" t="s">
        <v>152</v>
      </c>
      <c r="U94" s="51" t="s">
        <v>48</v>
      </c>
      <c r="V94" s="185"/>
      <c r="W94" s="55"/>
      <c r="X94" s="294"/>
      <c r="Y94" s="185"/>
      <c r="Z94" s="294"/>
      <c r="AA94" s="185"/>
      <c r="AB94" s="185"/>
      <c r="AC94" s="185"/>
      <c r="AD94" s="185"/>
      <c r="AE94" s="185"/>
      <c r="AF94" s="185"/>
      <c r="AG94" s="185"/>
      <c r="AH94" s="185"/>
      <c r="AI94" s="309" t="s">
        <v>782</v>
      </c>
      <c r="AJ94" s="60" t="s">
        <v>783</v>
      </c>
      <c r="AK94" s="198" t="s">
        <v>783</v>
      </c>
      <c r="AL94" s="198"/>
      <c r="AM94" s="198"/>
      <c r="AN94" s="71" t="s">
        <v>48</v>
      </c>
      <c r="AO94" s="70" t="s">
        <v>784</v>
      </c>
      <c r="AP94" s="63" t="s">
        <v>781</v>
      </c>
      <c r="AQ94" s="188" t="s">
        <v>804</v>
      </c>
      <c r="AR94" s="51" t="s">
        <v>64</v>
      </c>
      <c r="AS94" s="55" t="s">
        <v>95</v>
      </c>
      <c r="AT94" s="185"/>
    </row>
    <row r="95" spans="1:331">
      <c r="A95" s="51">
        <v>11</v>
      </c>
      <c r="B95" s="51"/>
      <c r="C95" s="53" t="s">
        <v>774</v>
      </c>
      <c r="D95" s="433" t="s">
        <v>144</v>
      </c>
      <c r="E95" s="51" t="s">
        <v>344</v>
      </c>
      <c r="F95" s="58">
        <v>43647</v>
      </c>
      <c r="G95" s="56">
        <v>43647</v>
      </c>
      <c r="H95" s="185"/>
      <c r="I95" s="185"/>
      <c r="J95" s="57">
        <f t="shared" ca="1" si="56"/>
        <v>1</v>
      </c>
      <c r="K95" s="57">
        <f t="shared" ca="1" si="57"/>
        <v>6</v>
      </c>
      <c r="L95" s="58"/>
      <c r="M95" s="58"/>
      <c r="N95" s="55" t="s">
        <v>35</v>
      </c>
      <c r="O95" s="55" t="s">
        <v>36</v>
      </c>
      <c r="P95" s="55" t="s">
        <v>41</v>
      </c>
      <c r="Q95" s="56">
        <v>34318</v>
      </c>
      <c r="R95" s="77">
        <f t="shared" ca="1" si="54"/>
        <v>27</v>
      </c>
      <c r="S95" s="77">
        <f t="shared" ca="1" si="55"/>
        <v>0</v>
      </c>
      <c r="T95" s="188" t="s">
        <v>184</v>
      </c>
      <c r="U95" s="51" t="s">
        <v>48</v>
      </c>
      <c r="V95" s="185"/>
      <c r="W95" s="55"/>
      <c r="X95" s="294"/>
      <c r="Y95" s="185"/>
      <c r="Z95" s="294"/>
      <c r="AA95" s="185"/>
      <c r="AB95" s="185"/>
      <c r="AC95" s="185"/>
      <c r="AD95" s="185"/>
      <c r="AE95" s="185"/>
      <c r="AF95" s="185"/>
      <c r="AG95" s="185"/>
      <c r="AH95" s="185"/>
      <c r="AI95" s="197" t="s">
        <v>785</v>
      </c>
      <c r="AJ95" s="60" t="s">
        <v>649</v>
      </c>
      <c r="AK95" s="198" t="s">
        <v>649</v>
      </c>
      <c r="AL95" s="198"/>
      <c r="AM95" s="198"/>
      <c r="AN95" s="71" t="s">
        <v>48</v>
      </c>
      <c r="AO95" s="70" t="s">
        <v>786</v>
      </c>
      <c r="AP95" s="63" t="s">
        <v>774</v>
      </c>
      <c r="AQ95" s="188" t="s">
        <v>803</v>
      </c>
      <c r="AR95" s="51" t="s">
        <v>64</v>
      </c>
      <c r="AS95" s="55" t="s">
        <v>95</v>
      </c>
      <c r="AT95" s="185"/>
    </row>
    <row r="96" spans="1:331">
      <c r="A96" s="51">
        <v>12</v>
      </c>
      <c r="B96" s="51"/>
      <c r="C96" s="53" t="s">
        <v>840</v>
      </c>
      <c r="D96" s="433" t="s">
        <v>144</v>
      </c>
      <c r="E96" s="51" t="s">
        <v>344</v>
      </c>
      <c r="F96" s="58">
        <v>43703</v>
      </c>
      <c r="G96" s="58">
        <v>43703</v>
      </c>
      <c r="H96" s="185"/>
      <c r="I96" s="185"/>
      <c r="J96" s="57">
        <f t="shared" ca="1" si="56"/>
        <v>1</v>
      </c>
      <c r="K96" s="57">
        <f t="shared" ca="1" si="57"/>
        <v>4</v>
      </c>
      <c r="L96" s="58"/>
      <c r="M96" s="58"/>
      <c r="N96" s="55" t="s">
        <v>35</v>
      </c>
      <c r="O96" s="55" t="s">
        <v>36</v>
      </c>
      <c r="P96" s="55" t="s">
        <v>41</v>
      </c>
      <c r="Q96" s="56">
        <v>34858</v>
      </c>
      <c r="R96" s="77">
        <f t="shared" ca="1" si="54"/>
        <v>25</v>
      </c>
      <c r="S96" s="77">
        <f t="shared" ca="1" si="55"/>
        <v>6</v>
      </c>
      <c r="T96" s="188" t="s">
        <v>184</v>
      </c>
      <c r="U96" s="51" t="s">
        <v>48</v>
      </c>
      <c r="V96" s="185"/>
      <c r="W96" s="55" t="s">
        <v>59</v>
      </c>
      <c r="X96" s="294"/>
      <c r="Y96" s="185"/>
      <c r="Z96" s="294"/>
      <c r="AA96" s="185"/>
      <c r="AB96" s="185"/>
      <c r="AC96" s="185"/>
      <c r="AD96" s="185"/>
      <c r="AE96" s="185"/>
      <c r="AF96" s="185"/>
      <c r="AG96" s="185"/>
      <c r="AH96" s="185"/>
      <c r="AI96" s="311" t="s">
        <v>841</v>
      </c>
      <c r="AJ96" s="60" t="s">
        <v>842</v>
      </c>
      <c r="AK96" s="201" t="s">
        <v>842</v>
      </c>
      <c r="AL96" s="60"/>
      <c r="AM96" s="60"/>
      <c r="AN96" s="71" t="s">
        <v>48</v>
      </c>
      <c r="AO96" s="70" t="s">
        <v>843</v>
      </c>
      <c r="AP96" s="63" t="s">
        <v>840</v>
      </c>
      <c r="AQ96" s="188" t="s">
        <v>844</v>
      </c>
      <c r="AR96" s="51" t="s">
        <v>64</v>
      </c>
      <c r="AS96" s="55" t="s">
        <v>95</v>
      </c>
      <c r="AT96" s="185"/>
    </row>
    <row r="97" spans="1:331" s="65" customFormat="1" ht="18.75" customHeight="1">
      <c r="A97" s="51">
        <v>13</v>
      </c>
      <c r="B97" s="51"/>
      <c r="C97" s="200" t="s">
        <v>900</v>
      </c>
      <c r="D97" s="433" t="s">
        <v>144</v>
      </c>
      <c r="E97" s="51" t="s">
        <v>344</v>
      </c>
      <c r="F97" s="58">
        <v>43752</v>
      </c>
      <c r="G97" s="58">
        <v>43752</v>
      </c>
      <c r="H97" s="58"/>
      <c r="I97" s="58"/>
      <c r="J97" s="57">
        <f t="shared" ca="1" si="56"/>
        <v>1</v>
      </c>
      <c r="K97" s="57">
        <f t="shared" ca="1" si="57"/>
        <v>2</v>
      </c>
      <c r="L97" s="58"/>
      <c r="M97" s="58"/>
      <c r="N97" s="55" t="s">
        <v>35</v>
      </c>
      <c r="O97" s="55" t="s">
        <v>36</v>
      </c>
      <c r="P97" s="202" t="s">
        <v>197</v>
      </c>
      <c r="Q97" s="56">
        <v>35984</v>
      </c>
      <c r="R97" s="131">
        <f t="shared" ca="1" si="54"/>
        <v>22</v>
      </c>
      <c r="S97" s="131">
        <f t="shared" ca="1" si="55"/>
        <v>5</v>
      </c>
      <c r="T97" s="51"/>
      <c r="U97" s="51" t="s">
        <v>48</v>
      </c>
      <c r="V97" s="51"/>
      <c r="W97" s="55" t="s">
        <v>59</v>
      </c>
      <c r="X97" s="249"/>
      <c r="Y97" s="249"/>
      <c r="Z97" s="249"/>
      <c r="AA97" s="249"/>
      <c r="AB97" s="131"/>
      <c r="AC97" s="266"/>
      <c r="AD97" s="249"/>
      <c r="AE97" s="131"/>
      <c r="AF97" s="249"/>
      <c r="AG97" s="249"/>
      <c r="AH97" s="249"/>
      <c r="AI97" s="311" t="s">
        <v>901</v>
      </c>
      <c r="AJ97" s="60" t="s">
        <v>902</v>
      </c>
      <c r="AK97" s="201" t="s">
        <v>902</v>
      </c>
      <c r="AL97" s="60"/>
      <c r="AM97" s="71"/>
      <c r="AN97" s="71" t="s">
        <v>48</v>
      </c>
      <c r="AO97" s="63"/>
      <c r="AP97" s="203" t="s">
        <v>900</v>
      </c>
      <c r="AQ97" s="63" t="s">
        <v>910</v>
      </c>
      <c r="AR97" s="51" t="s">
        <v>64</v>
      </c>
      <c r="AS97" s="55" t="s">
        <v>95</v>
      </c>
      <c r="AT97" s="64"/>
    </row>
    <row r="98" spans="1:331" s="65" customFormat="1" ht="20.25" customHeight="1">
      <c r="A98" s="51">
        <v>14</v>
      </c>
      <c r="B98" s="229">
        <v>9919080039</v>
      </c>
      <c r="C98" s="53" t="s">
        <v>809</v>
      </c>
      <c r="D98" s="433" t="s">
        <v>144</v>
      </c>
      <c r="E98" s="51" t="s">
        <v>344</v>
      </c>
      <c r="F98" s="58">
        <v>43680</v>
      </c>
      <c r="G98" s="58">
        <v>43680</v>
      </c>
      <c r="H98" s="58"/>
      <c r="I98" s="58"/>
      <c r="J98" s="57">
        <f ca="1">DATEDIF(F98,$A$3,"Y")</f>
        <v>1</v>
      </c>
      <c r="K98" s="57">
        <f ca="1">DATEDIF(F98,$A$3,"YM")</f>
        <v>5</v>
      </c>
      <c r="L98" s="58"/>
      <c r="M98" s="58"/>
      <c r="N98" s="55" t="s">
        <v>35</v>
      </c>
      <c r="O98" s="55" t="s">
        <v>36</v>
      </c>
      <c r="P98" s="55" t="s">
        <v>41</v>
      </c>
      <c r="Q98" s="56">
        <v>31735</v>
      </c>
      <c r="R98" s="190">
        <f t="shared" ref="R98:R101" ca="1" si="58">DATEDIF(Q98,$A$3,"Y")</f>
        <v>34</v>
      </c>
      <c r="S98" s="131">
        <f t="shared" ref="S98:S101" ca="1" si="59">DATEDIF(Q98,$A$3,"YM")</f>
        <v>1</v>
      </c>
      <c r="T98" s="51" t="s">
        <v>68</v>
      </c>
      <c r="U98" s="195" t="s">
        <v>364</v>
      </c>
      <c r="V98" s="51" t="s">
        <v>224</v>
      </c>
      <c r="W98" s="51" t="s">
        <v>45</v>
      </c>
      <c r="X98" s="55" t="s">
        <v>48</v>
      </c>
      <c r="Y98" s="55" t="s">
        <v>48</v>
      </c>
      <c r="Z98" s="55" t="s">
        <v>48</v>
      </c>
      <c r="AA98" s="55" t="s">
        <v>48</v>
      </c>
      <c r="AB98" s="55" t="s">
        <v>48</v>
      </c>
      <c r="AC98" s="55" t="s">
        <v>48</v>
      </c>
      <c r="AD98" s="55" t="s">
        <v>48</v>
      </c>
      <c r="AE98" s="55" t="s">
        <v>48</v>
      </c>
      <c r="AF98" s="55" t="s">
        <v>48</v>
      </c>
      <c r="AG98" s="55" t="s">
        <v>48</v>
      </c>
      <c r="AH98" s="55" t="s">
        <v>48</v>
      </c>
      <c r="AI98" s="197" t="s">
        <v>810</v>
      </c>
      <c r="AJ98" s="60" t="s">
        <v>811</v>
      </c>
      <c r="AK98" s="198" t="s">
        <v>1061</v>
      </c>
      <c r="AL98" s="60"/>
      <c r="AM98" s="60"/>
      <c r="AN98" s="60"/>
      <c r="AO98" s="197" t="s">
        <v>812</v>
      </c>
      <c r="AP98" s="63" t="s">
        <v>809</v>
      </c>
      <c r="AQ98" s="196" t="s">
        <v>930</v>
      </c>
      <c r="AR98" s="51" t="s">
        <v>64</v>
      </c>
      <c r="AS98" s="55" t="s">
        <v>95</v>
      </c>
      <c r="AT98" s="242"/>
    </row>
    <row r="99" spans="1:331" s="65" customFormat="1" ht="20.25" customHeight="1">
      <c r="A99" s="51">
        <v>15</v>
      </c>
      <c r="B99" s="229" t="str">
        <f>NIK!B111</f>
        <v>9919120063</v>
      </c>
      <c r="C99" s="53" t="s">
        <v>1058</v>
      </c>
      <c r="D99" s="433" t="s">
        <v>144</v>
      </c>
      <c r="E99" s="51" t="s">
        <v>344</v>
      </c>
      <c r="F99" s="58">
        <v>43812</v>
      </c>
      <c r="G99" s="58">
        <v>43812</v>
      </c>
      <c r="H99" s="58"/>
      <c r="I99" s="58"/>
      <c r="J99" s="57">
        <f ca="1">DATEDIF(F99,$A$3,"Y")</f>
        <v>1</v>
      </c>
      <c r="K99" s="57">
        <f ca="1">DATEDIF(F99,$A$3,"YM")</f>
        <v>0</v>
      </c>
      <c r="L99" s="58"/>
      <c r="M99" s="58"/>
      <c r="N99" s="51" t="s">
        <v>35</v>
      </c>
      <c r="O99" s="55" t="s">
        <v>36</v>
      </c>
      <c r="P99" s="51" t="s">
        <v>37</v>
      </c>
      <c r="Q99" s="58">
        <v>34631</v>
      </c>
      <c r="R99" s="131">
        <f t="shared" ca="1" si="58"/>
        <v>26</v>
      </c>
      <c r="S99" s="131">
        <f t="shared" ca="1" si="59"/>
        <v>2</v>
      </c>
      <c r="T99" s="51" t="s">
        <v>68</v>
      </c>
      <c r="U99" s="51" t="s">
        <v>1059</v>
      </c>
      <c r="V99" s="51" t="s">
        <v>224</v>
      </c>
      <c r="W99" s="51" t="s">
        <v>59</v>
      </c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70" t="s">
        <v>1060</v>
      </c>
      <c r="AJ99" s="60" t="s">
        <v>1062</v>
      </c>
      <c r="AK99" s="60" t="s">
        <v>1062</v>
      </c>
      <c r="AL99" s="60"/>
      <c r="AM99" s="60"/>
      <c r="AN99" s="60"/>
      <c r="AO99" s="70" t="s">
        <v>1063</v>
      </c>
      <c r="AP99" s="63" t="s">
        <v>1058</v>
      </c>
      <c r="AQ99" s="314" t="s">
        <v>1096</v>
      </c>
      <c r="AR99" s="51" t="s">
        <v>64</v>
      </c>
      <c r="AS99" s="51" t="s">
        <v>95</v>
      </c>
      <c r="AT99" s="242"/>
    </row>
    <row r="100" spans="1:331" s="65" customFormat="1" ht="20.25" customHeight="1">
      <c r="A100" s="51">
        <v>16</v>
      </c>
      <c r="B100" s="229" t="str">
        <f>NIK!B114</f>
        <v>9919120066</v>
      </c>
      <c r="C100" s="53" t="s">
        <v>1066</v>
      </c>
      <c r="D100" s="433" t="s">
        <v>144</v>
      </c>
      <c r="E100" s="51" t="s">
        <v>344</v>
      </c>
      <c r="F100" s="58">
        <v>43813</v>
      </c>
      <c r="G100" s="58">
        <v>43813</v>
      </c>
      <c r="H100" s="58"/>
      <c r="I100" s="58"/>
      <c r="J100" s="57">
        <f t="shared" ref="J100:J103" ca="1" si="60">DATEDIF(F100,$A$3,"Y")</f>
        <v>1</v>
      </c>
      <c r="K100" s="57">
        <f t="shared" ref="K100:K103" ca="1" si="61">DATEDIF(F100,$A$3,"YM")</f>
        <v>0</v>
      </c>
      <c r="L100" s="58"/>
      <c r="M100" s="58"/>
      <c r="N100" s="51" t="s">
        <v>35</v>
      </c>
      <c r="O100" s="51" t="s">
        <v>36</v>
      </c>
      <c r="P100" s="51" t="s">
        <v>197</v>
      </c>
      <c r="Q100" s="58">
        <v>33518</v>
      </c>
      <c r="R100" s="131">
        <f t="shared" ca="1" si="58"/>
        <v>29</v>
      </c>
      <c r="S100" s="131">
        <f t="shared" ca="1" si="59"/>
        <v>2</v>
      </c>
      <c r="T100" s="51" t="s">
        <v>152</v>
      </c>
      <c r="U100" s="51" t="s">
        <v>153</v>
      </c>
      <c r="V100" s="51"/>
      <c r="W100" s="51" t="s">
        <v>59</v>
      </c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70" t="s">
        <v>1067</v>
      </c>
      <c r="AJ100" s="60" t="s">
        <v>1068</v>
      </c>
      <c r="AK100" s="60" t="s">
        <v>1068</v>
      </c>
      <c r="AL100" s="60"/>
      <c r="AM100" s="60"/>
      <c r="AN100" s="60"/>
      <c r="AO100" s="70" t="s">
        <v>1069</v>
      </c>
      <c r="AP100" s="63" t="s">
        <v>1066</v>
      </c>
      <c r="AQ100" s="314" t="s">
        <v>1097</v>
      </c>
      <c r="AR100" s="51" t="s">
        <v>64</v>
      </c>
      <c r="AS100" s="51" t="s">
        <v>95</v>
      </c>
      <c r="AT100" s="242"/>
    </row>
    <row r="101" spans="1:331" s="65" customFormat="1" ht="20.25" customHeight="1">
      <c r="A101" s="51">
        <v>17</v>
      </c>
      <c r="B101" s="229" t="str">
        <f>NIK!$B$116</f>
        <v>9919120068</v>
      </c>
      <c r="C101" s="53" t="s">
        <v>1099</v>
      </c>
      <c r="D101" s="433" t="s">
        <v>144</v>
      </c>
      <c r="E101" s="51" t="s">
        <v>344</v>
      </c>
      <c r="F101" s="58">
        <v>43819</v>
      </c>
      <c r="G101" s="58">
        <v>43819</v>
      </c>
      <c r="H101" s="58"/>
      <c r="I101" s="58"/>
      <c r="J101" s="57">
        <f t="shared" ca="1" si="60"/>
        <v>1</v>
      </c>
      <c r="K101" s="57">
        <f t="shared" ca="1" si="61"/>
        <v>0</v>
      </c>
      <c r="L101" s="58"/>
      <c r="M101" s="58"/>
      <c r="N101" s="51" t="s">
        <v>1100</v>
      </c>
      <c r="O101" s="51" t="s">
        <v>36</v>
      </c>
      <c r="P101" s="51" t="s">
        <v>41</v>
      </c>
      <c r="Q101" s="58">
        <v>35594</v>
      </c>
      <c r="R101" s="131">
        <f t="shared" ca="1" si="58"/>
        <v>23</v>
      </c>
      <c r="S101" s="131">
        <f t="shared" ca="1" si="59"/>
        <v>6</v>
      </c>
      <c r="T101" s="51" t="s">
        <v>68</v>
      </c>
      <c r="U101" s="51" t="s">
        <v>1101</v>
      </c>
      <c r="V101" s="51"/>
      <c r="W101" s="51" t="s">
        <v>59</v>
      </c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70" t="s">
        <v>1102</v>
      </c>
      <c r="AJ101" s="60" t="s">
        <v>1103</v>
      </c>
      <c r="AK101" s="60" t="s">
        <v>1103</v>
      </c>
      <c r="AL101" s="60"/>
      <c r="AM101" s="60"/>
      <c r="AN101" s="60"/>
      <c r="AO101" s="70" t="s">
        <v>1104</v>
      </c>
      <c r="AP101" s="63" t="s">
        <v>1099</v>
      </c>
      <c r="AQ101" s="314"/>
      <c r="AR101" s="51" t="s">
        <v>64</v>
      </c>
      <c r="AS101" s="51" t="s">
        <v>95</v>
      </c>
      <c r="AT101" s="242"/>
    </row>
    <row r="102" spans="1:331" s="65" customFormat="1" ht="20.25" customHeight="1">
      <c r="A102" s="51">
        <v>18</v>
      </c>
      <c r="B102" s="229" t="str">
        <f>NIK!B125</f>
        <v>9919120082</v>
      </c>
      <c r="C102" s="53" t="s">
        <v>1159</v>
      </c>
      <c r="D102" s="433" t="s">
        <v>144</v>
      </c>
      <c r="E102" s="51" t="s">
        <v>344</v>
      </c>
      <c r="F102" s="58">
        <v>43822</v>
      </c>
      <c r="G102" s="58"/>
      <c r="H102" s="58"/>
      <c r="I102" s="58"/>
      <c r="J102" s="57"/>
      <c r="K102" s="57"/>
      <c r="L102" s="58"/>
      <c r="M102" s="58"/>
      <c r="N102" s="51"/>
      <c r="O102" s="51" t="s">
        <v>36</v>
      </c>
      <c r="P102" s="51"/>
      <c r="Q102" s="58"/>
      <c r="R102" s="131"/>
      <c r="S102" s="13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70"/>
      <c r="AJ102" s="60"/>
      <c r="AK102" s="60"/>
      <c r="AL102" s="60"/>
      <c r="AM102" s="60"/>
      <c r="AN102" s="60"/>
      <c r="AO102" s="70"/>
      <c r="AP102" s="63"/>
      <c r="AQ102" s="314"/>
      <c r="AR102" s="51"/>
      <c r="AS102" s="51"/>
      <c r="AT102" s="242"/>
    </row>
    <row r="103" spans="1:331" s="65" customFormat="1" ht="20.25" customHeight="1">
      <c r="A103" s="51">
        <v>19</v>
      </c>
      <c r="B103" s="229" t="str">
        <f>NIK!B126</f>
        <v>9919120083</v>
      </c>
      <c r="C103" s="53" t="s">
        <v>1156</v>
      </c>
      <c r="D103" s="433" t="s">
        <v>144</v>
      </c>
      <c r="E103" s="51" t="s">
        <v>344</v>
      </c>
      <c r="F103" s="58">
        <v>43823</v>
      </c>
      <c r="G103" s="58"/>
      <c r="H103" s="58"/>
      <c r="I103" s="58"/>
      <c r="J103" s="57">
        <f t="shared" ca="1" si="60"/>
        <v>1</v>
      </c>
      <c r="K103" s="57">
        <f t="shared" ca="1" si="61"/>
        <v>0</v>
      </c>
      <c r="L103" s="58"/>
      <c r="M103" s="58"/>
      <c r="N103" s="51"/>
      <c r="O103" s="51" t="s">
        <v>36</v>
      </c>
      <c r="P103" s="51"/>
      <c r="Q103" s="58"/>
      <c r="R103" s="131"/>
      <c r="S103" s="13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70"/>
      <c r="AJ103" s="60"/>
      <c r="AK103" s="60"/>
      <c r="AL103" s="60"/>
      <c r="AM103" s="60"/>
      <c r="AN103" s="60"/>
      <c r="AO103" s="70"/>
      <c r="AP103" s="63"/>
      <c r="AQ103" s="314"/>
      <c r="AR103" s="51"/>
      <c r="AS103" s="51"/>
      <c r="AT103" s="242"/>
    </row>
    <row r="104" spans="1:331" s="65" customFormat="1" ht="20.25" customHeight="1">
      <c r="A104" s="51">
        <v>20</v>
      </c>
      <c r="B104" s="229" t="str">
        <f>NIK!B127</f>
        <v>9919120084</v>
      </c>
      <c r="C104" s="53" t="s">
        <v>1158</v>
      </c>
      <c r="D104" s="433" t="s">
        <v>144</v>
      </c>
      <c r="E104" s="51" t="s">
        <v>344</v>
      </c>
      <c r="F104" s="58">
        <v>43823</v>
      </c>
      <c r="G104" s="58"/>
      <c r="H104" s="58"/>
      <c r="I104" s="58"/>
      <c r="J104" s="57"/>
      <c r="K104" s="57"/>
      <c r="L104" s="58"/>
      <c r="M104" s="58"/>
      <c r="N104" s="51"/>
      <c r="O104" s="51" t="s">
        <v>36</v>
      </c>
      <c r="P104" s="51"/>
      <c r="Q104" s="58"/>
      <c r="R104" s="131"/>
      <c r="S104" s="13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70"/>
      <c r="AJ104" s="60"/>
      <c r="AK104" s="60"/>
      <c r="AL104" s="60"/>
      <c r="AM104" s="60"/>
      <c r="AN104" s="60"/>
      <c r="AO104" s="70"/>
      <c r="AP104" s="63"/>
      <c r="AQ104" s="314"/>
      <c r="AR104" s="51"/>
      <c r="AS104" s="51"/>
      <c r="AT104" s="242"/>
    </row>
    <row r="105" spans="1:331" s="65" customFormat="1" ht="20.25" customHeight="1">
      <c r="A105" s="51">
        <v>21</v>
      </c>
      <c r="B105" s="229" t="str">
        <f>NIK!B128</f>
        <v>9919120085</v>
      </c>
      <c r="C105" s="53" t="s">
        <v>1157</v>
      </c>
      <c r="D105" s="433" t="s">
        <v>144</v>
      </c>
      <c r="E105" s="51" t="s">
        <v>344</v>
      </c>
      <c r="F105" s="58">
        <v>43823</v>
      </c>
      <c r="G105" s="58"/>
      <c r="H105" s="58"/>
      <c r="I105" s="58"/>
      <c r="J105" s="57"/>
      <c r="K105" s="57"/>
      <c r="L105" s="58"/>
      <c r="M105" s="58"/>
      <c r="N105" s="51"/>
      <c r="O105" s="51" t="s">
        <v>36</v>
      </c>
      <c r="P105" s="51"/>
      <c r="Q105" s="58"/>
      <c r="R105" s="131"/>
      <c r="S105" s="13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70"/>
      <c r="AJ105" s="60"/>
      <c r="AK105" s="60"/>
      <c r="AL105" s="60"/>
      <c r="AM105" s="60"/>
      <c r="AN105" s="60"/>
      <c r="AO105" s="70"/>
      <c r="AP105" s="63"/>
      <c r="AQ105" s="314"/>
      <c r="AR105" s="51"/>
      <c r="AS105" s="51"/>
      <c r="AT105" s="242"/>
    </row>
    <row r="106" spans="1:331" s="65" customFormat="1" ht="20.25" customHeight="1">
      <c r="A106" s="51">
        <v>22</v>
      </c>
      <c r="B106" s="229" t="str">
        <f>NIK!B129</f>
        <v>9919120086</v>
      </c>
      <c r="C106" s="53" t="s">
        <v>1160</v>
      </c>
      <c r="D106" s="433" t="s">
        <v>144</v>
      </c>
      <c r="E106" s="51" t="s">
        <v>344</v>
      </c>
      <c r="F106" s="58">
        <v>43823</v>
      </c>
      <c r="G106" s="58"/>
      <c r="H106" s="58"/>
      <c r="I106" s="58"/>
      <c r="J106" s="57"/>
      <c r="K106" s="57"/>
      <c r="L106" s="58"/>
      <c r="M106" s="58"/>
      <c r="N106" s="51"/>
      <c r="O106" s="51" t="s">
        <v>36</v>
      </c>
      <c r="P106" s="51"/>
      <c r="Q106" s="58"/>
      <c r="R106" s="131"/>
      <c r="S106" s="13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70"/>
      <c r="AJ106" s="60"/>
      <c r="AK106" s="60"/>
      <c r="AL106" s="60"/>
      <c r="AM106" s="60"/>
      <c r="AN106" s="60"/>
      <c r="AO106" s="70"/>
      <c r="AP106" s="63"/>
      <c r="AQ106" s="314"/>
      <c r="AR106" s="51"/>
      <c r="AS106" s="51"/>
      <c r="AT106" s="242"/>
    </row>
    <row r="107" spans="1:331" s="65" customFormat="1" ht="20.25" customHeight="1">
      <c r="A107" s="772" t="s">
        <v>1002</v>
      </c>
      <c r="B107" s="773"/>
      <c r="C107" s="773"/>
      <c r="D107" s="279"/>
      <c r="E107" s="279"/>
      <c r="F107" s="280"/>
      <c r="G107" s="280"/>
      <c r="H107" s="280"/>
      <c r="I107" s="280"/>
      <c r="J107" s="281"/>
      <c r="K107" s="281"/>
      <c r="L107" s="280"/>
      <c r="M107" s="280"/>
      <c r="N107" s="282"/>
      <c r="O107" s="282"/>
      <c r="P107" s="282"/>
      <c r="Q107" s="283"/>
      <c r="R107" s="284"/>
      <c r="S107" s="284"/>
      <c r="T107" s="279"/>
      <c r="U107" s="279"/>
      <c r="V107" s="279"/>
      <c r="W107" s="279"/>
      <c r="X107" s="282"/>
      <c r="Y107" s="282"/>
      <c r="Z107" s="282"/>
      <c r="AA107" s="282"/>
      <c r="AB107" s="282"/>
      <c r="AC107" s="282"/>
      <c r="AD107" s="282"/>
      <c r="AE107" s="282"/>
      <c r="AF107" s="282"/>
      <c r="AG107" s="282"/>
      <c r="AH107" s="282"/>
      <c r="AI107" s="285"/>
      <c r="AJ107" s="286"/>
      <c r="AK107" s="286"/>
      <c r="AL107" s="286"/>
      <c r="AM107" s="286"/>
      <c r="AN107" s="286"/>
      <c r="AO107" s="285"/>
      <c r="AP107" s="287"/>
      <c r="AQ107" s="281"/>
      <c r="AR107" s="279"/>
      <c r="AS107" s="282"/>
      <c r="AT107" s="288"/>
    </row>
    <row r="108" spans="1:331" s="18" customFormat="1" ht="18.75" customHeight="1">
      <c r="A108" s="51">
        <v>1</v>
      </c>
      <c r="B108" s="91" t="str">
        <f>NIK!$B$93</f>
        <v>9919090045</v>
      </c>
      <c r="C108" s="53" t="s">
        <v>535</v>
      </c>
      <c r="D108" s="433"/>
      <c r="E108" s="51" t="s">
        <v>344</v>
      </c>
      <c r="F108" s="56">
        <v>43344</v>
      </c>
      <c r="G108" s="56">
        <v>43709</v>
      </c>
      <c r="H108" s="58"/>
      <c r="I108" s="58"/>
      <c r="J108" s="57">
        <f ca="1">DATEDIF(F108,$A$3,"Y")</f>
        <v>2</v>
      </c>
      <c r="K108" s="57">
        <f ca="1">DATEDIF(F108,$A$3,"YM")</f>
        <v>4</v>
      </c>
      <c r="L108" s="58"/>
      <c r="M108" s="58"/>
      <c r="N108" s="142" t="s">
        <v>35</v>
      </c>
      <c r="O108" s="55" t="s">
        <v>36</v>
      </c>
      <c r="P108" s="51" t="s">
        <v>865</v>
      </c>
      <c r="Q108" s="56">
        <v>34823</v>
      </c>
      <c r="R108" s="77">
        <f ca="1">DATEDIF(Q108,$A$3,"Y")</f>
        <v>25</v>
      </c>
      <c r="S108" s="77">
        <f ca="1">DATEDIF(Q108,$A$3,"YM")</f>
        <v>8</v>
      </c>
      <c r="T108" s="51" t="s">
        <v>57</v>
      </c>
      <c r="U108" s="51" t="s">
        <v>858</v>
      </c>
      <c r="V108" s="51" t="s">
        <v>459</v>
      </c>
      <c r="W108" s="55" t="s">
        <v>350</v>
      </c>
      <c r="X108" s="63" t="s">
        <v>396</v>
      </c>
      <c r="Y108" s="56">
        <v>34813</v>
      </c>
      <c r="Z108" s="55" t="s">
        <v>48</v>
      </c>
      <c r="AA108" s="55" t="s">
        <v>48</v>
      </c>
      <c r="AB108" s="55" t="s">
        <v>48</v>
      </c>
      <c r="AC108" s="55" t="s">
        <v>48</v>
      </c>
      <c r="AD108" s="55" t="s">
        <v>48</v>
      </c>
      <c r="AE108" s="55" t="s">
        <v>48</v>
      </c>
      <c r="AF108" s="249"/>
      <c r="AG108" s="249"/>
      <c r="AH108" s="249"/>
      <c r="AI108" s="70" t="s">
        <v>868</v>
      </c>
      <c r="AJ108" s="60" t="s">
        <v>536</v>
      </c>
      <c r="AK108" s="60" t="s">
        <v>871</v>
      </c>
      <c r="AL108" s="60"/>
      <c r="AM108" s="51"/>
      <c r="AN108" s="51" t="s">
        <v>48</v>
      </c>
      <c r="AO108" s="70" t="s">
        <v>423</v>
      </c>
      <c r="AP108" s="63" t="s">
        <v>535</v>
      </c>
      <c r="AQ108" s="70" t="s">
        <v>937</v>
      </c>
      <c r="AR108" s="51" t="s">
        <v>64</v>
      </c>
      <c r="AS108" s="55" t="s">
        <v>95</v>
      </c>
      <c r="AT108" s="87"/>
      <c r="CC108" s="65"/>
      <c r="CD108" s="65"/>
      <c r="CE108" s="65"/>
      <c r="CF108" s="65"/>
      <c r="CG108" s="65"/>
      <c r="CH108" s="65"/>
      <c r="CI108" s="65"/>
      <c r="CJ108" s="65"/>
      <c r="CK108" s="65"/>
      <c r="CL108" s="65"/>
      <c r="CM108" s="65"/>
      <c r="CN108" s="65"/>
      <c r="CO108" s="65"/>
      <c r="CP108" s="65"/>
      <c r="CQ108" s="65"/>
      <c r="CR108" s="65"/>
      <c r="CS108" s="65"/>
      <c r="CT108" s="65"/>
      <c r="CU108" s="65"/>
      <c r="CV108" s="65"/>
      <c r="CW108" s="65"/>
      <c r="CX108" s="65"/>
      <c r="CY108" s="65"/>
      <c r="CZ108" s="65"/>
      <c r="DA108" s="65"/>
      <c r="DB108" s="65"/>
      <c r="DC108" s="65"/>
      <c r="DD108" s="65"/>
      <c r="DE108" s="65"/>
      <c r="DF108" s="65"/>
      <c r="DG108" s="65"/>
      <c r="DH108" s="65"/>
      <c r="DI108" s="65"/>
      <c r="DJ108" s="65"/>
      <c r="DK108" s="65"/>
      <c r="DL108" s="65"/>
      <c r="DM108" s="65"/>
      <c r="DN108" s="65"/>
      <c r="DO108" s="65"/>
      <c r="DP108" s="65"/>
      <c r="DQ108" s="65"/>
      <c r="DR108" s="65"/>
      <c r="DS108" s="65"/>
      <c r="DT108" s="65"/>
      <c r="DU108" s="65"/>
      <c r="DV108" s="65"/>
      <c r="DW108" s="65"/>
      <c r="DX108" s="65"/>
      <c r="DY108" s="65"/>
      <c r="DZ108" s="65"/>
      <c r="EA108" s="65"/>
      <c r="EB108" s="65"/>
      <c r="EC108" s="65"/>
      <c r="ED108" s="65"/>
      <c r="EE108" s="65"/>
      <c r="EF108" s="65"/>
      <c r="EG108" s="65"/>
      <c r="EH108" s="65"/>
      <c r="EI108" s="65"/>
      <c r="EJ108" s="65"/>
      <c r="EK108" s="65"/>
      <c r="EL108" s="65"/>
      <c r="EM108" s="65"/>
      <c r="EN108" s="65"/>
      <c r="EO108" s="65"/>
      <c r="EP108" s="65"/>
      <c r="EQ108" s="65"/>
      <c r="ER108" s="65"/>
      <c r="ES108" s="65"/>
      <c r="ET108" s="65"/>
      <c r="EU108" s="65"/>
      <c r="EV108" s="65"/>
      <c r="EW108" s="65"/>
      <c r="EX108" s="65"/>
      <c r="EY108" s="65"/>
      <c r="EZ108" s="65"/>
      <c r="FA108" s="65"/>
      <c r="FB108" s="65"/>
      <c r="FC108" s="65"/>
      <c r="FD108" s="65"/>
      <c r="FE108" s="65"/>
      <c r="FF108" s="65"/>
      <c r="FG108" s="65"/>
      <c r="FH108" s="65"/>
      <c r="FI108" s="65"/>
      <c r="FJ108" s="65"/>
      <c r="FK108" s="65"/>
      <c r="FL108" s="65"/>
      <c r="FM108" s="65"/>
      <c r="FN108" s="65"/>
      <c r="FO108" s="65"/>
      <c r="FP108" s="65"/>
      <c r="FQ108" s="65"/>
      <c r="FR108" s="65"/>
      <c r="FS108" s="65"/>
      <c r="FT108" s="65"/>
      <c r="FU108" s="65"/>
      <c r="FV108" s="65"/>
      <c r="FW108" s="65"/>
      <c r="FX108" s="65"/>
      <c r="FY108" s="65"/>
      <c r="FZ108" s="65"/>
      <c r="GA108" s="65"/>
      <c r="GB108" s="65"/>
      <c r="GC108" s="65"/>
      <c r="GD108" s="65"/>
      <c r="GE108" s="65"/>
      <c r="GF108" s="65"/>
      <c r="GG108" s="65"/>
      <c r="GH108" s="65"/>
      <c r="GI108" s="65"/>
      <c r="GJ108" s="65"/>
      <c r="GK108" s="65"/>
      <c r="GL108" s="65"/>
      <c r="GM108" s="65"/>
      <c r="GN108" s="65"/>
      <c r="GO108" s="65"/>
      <c r="GP108" s="65"/>
      <c r="GQ108" s="65"/>
      <c r="GR108" s="65"/>
      <c r="GS108" s="65"/>
      <c r="GT108" s="65"/>
      <c r="GU108" s="65"/>
      <c r="GV108" s="65"/>
      <c r="GW108" s="65"/>
      <c r="GX108" s="65"/>
      <c r="GY108" s="65"/>
      <c r="GZ108" s="65"/>
      <c r="HA108" s="65"/>
      <c r="HB108" s="65"/>
      <c r="HC108" s="65"/>
      <c r="HD108" s="65"/>
      <c r="HE108" s="65"/>
      <c r="HF108" s="65"/>
      <c r="HG108" s="65"/>
      <c r="HH108" s="65"/>
      <c r="HI108" s="65"/>
      <c r="HJ108" s="65"/>
      <c r="HK108" s="65"/>
      <c r="HL108" s="65"/>
      <c r="HM108" s="65"/>
      <c r="HN108" s="65"/>
      <c r="HO108" s="65"/>
      <c r="HP108" s="65"/>
      <c r="HQ108" s="65"/>
      <c r="HR108" s="65"/>
      <c r="HS108" s="65"/>
      <c r="HT108" s="65"/>
      <c r="HU108" s="65"/>
      <c r="HV108" s="65"/>
      <c r="HW108" s="65"/>
      <c r="HX108" s="65"/>
      <c r="HY108" s="65"/>
      <c r="HZ108" s="65"/>
      <c r="IA108" s="65"/>
      <c r="IB108" s="65"/>
      <c r="IC108" s="65"/>
      <c r="ID108" s="65"/>
      <c r="IE108" s="65"/>
      <c r="IF108" s="65"/>
      <c r="IG108" s="65"/>
      <c r="IH108" s="65"/>
      <c r="II108" s="65"/>
      <c r="IJ108" s="65"/>
      <c r="IK108" s="65"/>
      <c r="IL108" s="65"/>
      <c r="IM108" s="65"/>
      <c r="IN108" s="65"/>
      <c r="IO108" s="65"/>
      <c r="IP108" s="65"/>
      <c r="IQ108" s="65"/>
      <c r="IR108" s="65"/>
      <c r="IS108" s="65"/>
      <c r="IT108" s="65"/>
      <c r="IU108" s="65"/>
      <c r="IV108" s="65"/>
      <c r="IW108" s="65"/>
      <c r="IX108" s="65"/>
      <c r="IY108" s="65"/>
      <c r="IZ108" s="65"/>
      <c r="JA108" s="65"/>
      <c r="JB108" s="65"/>
      <c r="JC108" s="65"/>
      <c r="JD108" s="65"/>
      <c r="JE108" s="65"/>
      <c r="JF108" s="65"/>
      <c r="JG108" s="65"/>
      <c r="JH108" s="65"/>
      <c r="JI108" s="65"/>
      <c r="JJ108" s="65"/>
      <c r="JK108" s="65"/>
      <c r="JL108" s="65"/>
      <c r="JM108" s="65"/>
      <c r="JN108" s="65"/>
      <c r="JO108" s="65"/>
      <c r="JP108" s="65"/>
      <c r="JQ108" s="65"/>
      <c r="JR108" s="65"/>
      <c r="JS108" s="65"/>
      <c r="JT108" s="65"/>
      <c r="JU108" s="65"/>
      <c r="JV108" s="65"/>
      <c r="JW108" s="65"/>
      <c r="JX108" s="65"/>
      <c r="JY108" s="65"/>
      <c r="JZ108" s="65"/>
      <c r="KA108" s="65"/>
      <c r="KB108" s="65"/>
      <c r="KC108" s="65"/>
      <c r="KD108" s="65"/>
      <c r="KE108" s="65"/>
      <c r="KF108" s="65"/>
      <c r="KG108" s="65"/>
      <c r="KH108" s="65"/>
      <c r="KI108" s="65"/>
      <c r="KJ108" s="65"/>
      <c r="KK108" s="65"/>
      <c r="KL108" s="65"/>
      <c r="KM108" s="65"/>
      <c r="KN108" s="65"/>
      <c r="KO108" s="65"/>
      <c r="KP108" s="65"/>
      <c r="KQ108" s="65"/>
      <c r="KR108" s="65"/>
      <c r="KS108" s="65"/>
      <c r="KT108" s="65"/>
      <c r="KU108" s="65"/>
      <c r="KV108" s="65"/>
      <c r="KW108" s="65"/>
      <c r="KX108" s="65"/>
      <c r="KY108" s="65"/>
      <c r="KZ108" s="65"/>
      <c r="LA108" s="65"/>
      <c r="LB108" s="65"/>
      <c r="LC108" s="65"/>
      <c r="LD108" s="65"/>
      <c r="LE108" s="65"/>
      <c r="LF108" s="65"/>
      <c r="LG108" s="65"/>
      <c r="LH108" s="65"/>
      <c r="LI108" s="65"/>
      <c r="LJ108" s="65"/>
      <c r="LK108" s="65"/>
      <c r="LL108" s="65"/>
      <c r="LM108" s="65"/>
      <c r="LN108" s="65"/>
      <c r="LO108" s="65"/>
      <c r="LP108" s="65"/>
      <c r="LQ108" s="65"/>
      <c r="LR108" s="65"/>
      <c r="LS108" s="65"/>
    </row>
    <row r="109" spans="1:331" s="18" customFormat="1" ht="18.75" customHeight="1">
      <c r="A109" s="51">
        <v>2</v>
      </c>
      <c r="B109" s="91" t="str">
        <f>NIK!$B$106</f>
        <v>9919120058</v>
      </c>
      <c r="C109" s="265" t="s">
        <v>506</v>
      </c>
      <c r="D109" s="433" t="s">
        <v>1022</v>
      </c>
      <c r="E109" s="51" t="s">
        <v>344</v>
      </c>
      <c r="F109" s="56">
        <v>43801</v>
      </c>
      <c r="G109" s="56">
        <v>43801</v>
      </c>
      <c r="H109" s="58"/>
      <c r="I109" s="58"/>
      <c r="J109" s="57">
        <f ca="1">DATEDIF(F109,$A$3,"Y")</f>
        <v>1</v>
      </c>
      <c r="K109" s="57">
        <f ca="1">DATEDIF(F109,$A$3,"YM")</f>
        <v>1</v>
      </c>
      <c r="L109" s="58"/>
      <c r="M109" s="58"/>
      <c r="N109" s="142" t="s">
        <v>35</v>
      </c>
      <c r="O109" s="55" t="s">
        <v>36</v>
      </c>
      <c r="P109" s="51" t="s">
        <v>1023</v>
      </c>
      <c r="Q109" s="56">
        <v>30600</v>
      </c>
      <c r="R109" s="77">
        <f ca="1">DATEDIF(Q109,$A$3,"Y")</f>
        <v>37</v>
      </c>
      <c r="S109" s="77">
        <f t="shared" ref="S109" ca="1" si="62">DATEDIF(Q109,$A$3,"YM")</f>
        <v>2</v>
      </c>
      <c r="T109" s="51" t="s">
        <v>57</v>
      </c>
      <c r="U109" s="51" t="s">
        <v>1024</v>
      </c>
      <c r="V109" s="55" t="s">
        <v>459</v>
      </c>
      <c r="W109" s="55" t="s">
        <v>59</v>
      </c>
      <c r="X109" s="55" t="s">
        <v>505</v>
      </c>
      <c r="Y109" s="147">
        <v>30600</v>
      </c>
      <c r="Z109" s="147" t="s">
        <v>507</v>
      </c>
      <c r="AA109" s="147">
        <v>41939</v>
      </c>
      <c r="AB109" s="148">
        <f ca="1">DATEDIF(AA109,$A$3,"Y")</f>
        <v>6</v>
      </c>
      <c r="AC109" s="55" t="s">
        <v>48</v>
      </c>
      <c r="AD109" s="55" t="s">
        <v>48</v>
      </c>
      <c r="AE109" s="55" t="s">
        <v>48</v>
      </c>
      <c r="AF109" s="147"/>
      <c r="AG109" s="147"/>
      <c r="AH109" s="147"/>
      <c r="AI109" s="70" t="s">
        <v>1025</v>
      </c>
      <c r="AJ109" s="60" t="s">
        <v>1026</v>
      </c>
      <c r="AK109" s="60" t="s">
        <v>1026</v>
      </c>
      <c r="AL109" s="60"/>
      <c r="AM109" s="51"/>
      <c r="AN109" s="51"/>
      <c r="AO109" s="70" t="s">
        <v>1027</v>
      </c>
      <c r="AP109" s="63" t="s">
        <v>506</v>
      </c>
      <c r="AQ109" s="70" t="s">
        <v>1093</v>
      </c>
      <c r="AR109" s="51" t="s">
        <v>64</v>
      </c>
      <c r="AS109" s="51" t="s">
        <v>95</v>
      </c>
      <c r="AT109" s="87"/>
      <c r="CC109" s="65"/>
      <c r="CD109" s="65"/>
      <c r="CE109" s="65"/>
      <c r="CF109" s="65"/>
      <c r="CG109" s="65"/>
      <c r="CH109" s="65"/>
      <c r="CI109" s="65"/>
      <c r="CJ109" s="65"/>
      <c r="CK109" s="65"/>
      <c r="CL109" s="65"/>
      <c r="CM109" s="65"/>
      <c r="CN109" s="65"/>
      <c r="CO109" s="65"/>
      <c r="CP109" s="65"/>
      <c r="CQ109" s="65"/>
      <c r="CR109" s="65"/>
      <c r="CS109" s="65"/>
      <c r="CT109" s="65"/>
      <c r="CU109" s="65"/>
      <c r="CV109" s="65"/>
      <c r="CW109" s="65"/>
      <c r="CX109" s="65"/>
      <c r="CY109" s="65"/>
      <c r="CZ109" s="65"/>
      <c r="DA109" s="65"/>
      <c r="DB109" s="65"/>
      <c r="DC109" s="65"/>
      <c r="DD109" s="65"/>
      <c r="DE109" s="65"/>
      <c r="DF109" s="65"/>
      <c r="DG109" s="65"/>
      <c r="DH109" s="65"/>
      <c r="DI109" s="65"/>
      <c r="DJ109" s="65"/>
      <c r="DK109" s="65"/>
      <c r="DL109" s="65"/>
      <c r="DM109" s="65"/>
      <c r="DN109" s="65"/>
      <c r="DO109" s="65"/>
      <c r="DP109" s="65"/>
      <c r="DQ109" s="65"/>
      <c r="DR109" s="65"/>
      <c r="DS109" s="65"/>
      <c r="DT109" s="65"/>
      <c r="DU109" s="65"/>
      <c r="DV109" s="65"/>
      <c r="DW109" s="65"/>
      <c r="DX109" s="65"/>
      <c r="DY109" s="65"/>
      <c r="DZ109" s="65"/>
      <c r="EA109" s="65"/>
      <c r="EB109" s="65"/>
      <c r="EC109" s="65"/>
      <c r="ED109" s="65"/>
      <c r="EE109" s="65"/>
      <c r="EF109" s="65"/>
      <c r="EG109" s="65"/>
      <c r="EH109" s="65"/>
      <c r="EI109" s="65"/>
      <c r="EJ109" s="65"/>
      <c r="EK109" s="65"/>
      <c r="EL109" s="65"/>
      <c r="EM109" s="65"/>
      <c r="EN109" s="65"/>
      <c r="EO109" s="65"/>
      <c r="EP109" s="65"/>
      <c r="EQ109" s="65"/>
      <c r="ER109" s="65"/>
      <c r="ES109" s="65"/>
      <c r="ET109" s="65"/>
      <c r="EU109" s="65"/>
      <c r="EV109" s="65"/>
      <c r="EW109" s="65"/>
      <c r="EX109" s="65"/>
      <c r="EY109" s="65"/>
      <c r="EZ109" s="65"/>
      <c r="FA109" s="65"/>
      <c r="FB109" s="65"/>
      <c r="FC109" s="65"/>
      <c r="FD109" s="65"/>
      <c r="FE109" s="65"/>
      <c r="FF109" s="65"/>
      <c r="FG109" s="65"/>
      <c r="FH109" s="65"/>
      <c r="FI109" s="65"/>
      <c r="FJ109" s="65"/>
      <c r="FK109" s="65"/>
      <c r="FL109" s="65"/>
      <c r="FM109" s="65"/>
      <c r="FN109" s="65"/>
      <c r="FO109" s="65"/>
      <c r="FP109" s="65"/>
      <c r="FQ109" s="65"/>
      <c r="FR109" s="65"/>
      <c r="FS109" s="65"/>
      <c r="FT109" s="65"/>
      <c r="FU109" s="65"/>
      <c r="FV109" s="65"/>
      <c r="FW109" s="65"/>
      <c r="FX109" s="65"/>
      <c r="FY109" s="65"/>
      <c r="FZ109" s="65"/>
      <c r="GA109" s="65"/>
      <c r="GB109" s="65"/>
      <c r="GC109" s="65"/>
      <c r="GD109" s="65"/>
      <c r="GE109" s="65"/>
      <c r="GF109" s="65"/>
      <c r="GG109" s="65"/>
      <c r="GH109" s="65"/>
      <c r="GI109" s="65"/>
      <c r="GJ109" s="65"/>
      <c r="GK109" s="65"/>
      <c r="GL109" s="65"/>
      <c r="GM109" s="65"/>
      <c r="GN109" s="65"/>
      <c r="GO109" s="65"/>
      <c r="GP109" s="65"/>
      <c r="GQ109" s="65"/>
      <c r="GR109" s="65"/>
      <c r="GS109" s="65"/>
      <c r="GT109" s="65"/>
      <c r="GU109" s="65"/>
      <c r="GV109" s="65"/>
      <c r="GW109" s="65"/>
      <c r="GX109" s="65"/>
      <c r="GY109" s="65"/>
      <c r="GZ109" s="65"/>
      <c r="HA109" s="65"/>
      <c r="HB109" s="65"/>
      <c r="HC109" s="65"/>
      <c r="HD109" s="65"/>
      <c r="HE109" s="65"/>
      <c r="HF109" s="65"/>
      <c r="HG109" s="65"/>
      <c r="HH109" s="65"/>
      <c r="HI109" s="65"/>
      <c r="HJ109" s="65"/>
      <c r="HK109" s="65"/>
      <c r="HL109" s="65"/>
      <c r="HM109" s="65"/>
      <c r="HN109" s="65"/>
      <c r="HO109" s="65"/>
      <c r="HP109" s="65"/>
      <c r="HQ109" s="65"/>
      <c r="HR109" s="65"/>
      <c r="HS109" s="65"/>
      <c r="HT109" s="65"/>
      <c r="HU109" s="65"/>
      <c r="HV109" s="65"/>
      <c r="HW109" s="65"/>
      <c r="HX109" s="65"/>
      <c r="HY109" s="65"/>
      <c r="HZ109" s="65"/>
      <c r="IA109" s="65"/>
      <c r="IB109" s="65"/>
      <c r="IC109" s="65"/>
      <c r="ID109" s="65"/>
      <c r="IE109" s="65"/>
      <c r="IF109" s="65"/>
      <c r="IG109" s="65"/>
      <c r="IH109" s="65"/>
      <c r="II109" s="65"/>
      <c r="IJ109" s="65"/>
      <c r="IK109" s="65"/>
      <c r="IL109" s="65"/>
      <c r="IM109" s="65"/>
      <c r="IN109" s="65"/>
      <c r="IO109" s="65"/>
      <c r="IP109" s="65"/>
      <c r="IQ109" s="65"/>
      <c r="IR109" s="65"/>
      <c r="IS109" s="65"/>
      <c r="IT109" s="65"/>
      <c r="IU109" s="65"/>
      <c r="IV109" s="65"/>
      <c r="IW109" s="65"/>
      <c r="IX109" s="65"/>
      <c r="IY109" s="65"/>
      <c r="IZ109" s="65"/>
      <c r="JA109" s="65"/>
      <c r="JB109" s="65"/>
      <c r="JC109" s="65"/>
      <c r="JD109" s="65"/>
      <c r="JE109" s="65"/>
      <c r="JF109" s="65"/>
      <c r="JG109" s="65"/>
      <c r="JH109" s="65"/>
      <c r="JI109" s="65"/>
      <c r="JJ109" s="65"/>
      <c r="JK109" s="65"/>
      <c r="JL109" s="65"/>
      <c r="JM109" s="65"/>
      <c r="JN109" s="65"/>
      <c r="JO109" s="65"/>
      <c r="JP109" s="65"/>
      <c r="JQ109" s="65"/>
      <c r="JR109" s="65"/>
      <c r="JS109" s="65"/>
      <c r="JT109" s="65"/>
      <c r="JU109" s="65"/>
      <c r="JV109" s="65"/>
      <c r="JW109" s="65"/>
      <c r="JX109" s="65"/>
      <c r="JY109" s="65"/>
      <c r="JZ109" s="65"/>
      <c r="KA109" s="65"/>
      <c r="KB109" s="65"/>
      <c r="KC109" s="65"/>
      <c r="KD109" s="65"/>
      <c r="KE109" s="65"/>
      <c r="KF109" s="65"/>
      <c r="KG109" s="65"/>
      <c r="KH109" s="65"/>
      <c r="KI109" s="65"/>
      <c r="KJ109" s="65"/>
      <c r="KK109" s="65"/>
      <c r="KL109" s="65"/>
      <c r="KM109" s="65"/>
      <c r="KN109" s="65"/>
      <c r="KO109" s="65"/>
      <c r="KP109" s="65"/>
      <c r="KQ109" s="65"/>
      <c r="KR109" s="65"/>
      <c r="KS109" s="65"/>
      <c r="KT109" s="65"/>
      <c r="KU109" s="65"/>
      <c r="KV109" s="65"/>
      <c r="KW109" s="65"/>
      <c r="KX109" s="65"/>
      <c r="KY109" s="65"/>
      <c r="KZ109" s="65"/>
      <c r="LA109" s="65"/>
      <c r="LB109" s="65"/>
      <c r="LC109" s="65"/>
      <c r="LD109" s="65"/>
      <c r="LE109" s="65"/>
      <c r="LF109" s="65"/>
      <c r="LG109" s="65"/>
      <c r="LH109" s="65"/>
      <c r="LI109" s="65"/>
      <c r="LJ109" s="65"/>
      <c r="LK109" s="65"/>
      <c r="LL109" s="65"/>
      <c r="LM109" s="65"/>
      <c r="LN109" s="65"/>
      <c r="LO109" s="65"/>
      <c r="LP109" s="65"/>
      <c r="LQ109" s="65"/>
      <c r="LR109" s="65"/>
      <c r="LS109" s="65"/>
    </row>
    <row r="110" spans="1:331" s="18" customFormat="1" ht="18.75" customHeight="1">
      <c r="A110" s="51">
        <v>3</v>
      </c>
      <c r="B110" s="91" t="str">
        <f>NIK!$B$102</f>
        <v>9919120054</v>
      </c>
      <c r="C110" s="265" t="s">
        <v>1003</v>
      </c>
      <c r="D110" s="433" t="s">
        <v>1004</v>
      </c>
      <c r="E110" s="51" t="s">
        <v>344</v>
      </c>
      <c r="F110" s="56">
        <v>43801</v>
      </c>
      <c r="G110" s="56">
        <v>43801</v>
      </c>
      <c r="H110" s="58"/>
      <c r="I110" s="58"/>
      <c r="J110" s="57">
        <f ca="1">DATEDIF(F110,$A$3,"Y")</f>
        <v>1</v>
      </c>
      <c r="K110" s="57">
        <f ca="1">DATEDIF(F110,$A$3,"YM")</f>
        <v>1</v>
      </c>
      <c r="L110" s="58"/>
      <c r="M110" s="58"/>
      <c r="N110" s="142" t="s">
        <v>35</v>
      </c>
      <c r="O110" s="55" t="s">
        <v>36</v>
      </c>
      <c r="P110" s="51" t="s">
        <v>41</v>
      </c>
      <c r="Q110" s="56">
        <v>34618</v>
      </c>
      <c r="R110" s="77">
        <f ca="1">DATEDIF(Q110,$A$3,"Y")</f>
        <v>26</v>
      </c>
      <c r="S110" s="77">
        <f ca="1">DATEDIF(Q110,$A$3,"YM")</f>
        <v>2</v>
      </c>
      <c r="T110" s="51" t="s">
        <v>57</v>
      </c>
      <c r="U110" s="51" t="s">
        <v>848</v>
      </c>
      <c r="V110" s="55" t="s">
        <v>105</v>
      </c>
      <c r="W110" s="55" t="s">
        <v>59</v>
      </c>
      <c r="X110" s="55"/>
      <c r="Y110" s="55"/>
      <c r="Z110" s="55"/>
      <c r="AA110" s="55"/>
      <c r="AB110" s="55"/>
      <c r="AC110" s="55"/>
      <c r="AD110" s="55"/>
      <c r="AE110" s="55"/>
      <c r="AF110" s="249"/>
      <c r="AG110" s="249"/>
      <c r="AH110" s="249"/>
      <c r="AI110" s="70" t="s">
        <v>1005</v>
      </c>
      <c r="AJ110" s="60" t="s">
        <v>1006</v>
      </c>
      <c r="AK110" s="60" t="s">
        <v>1006</v>
      </c>
      <c r="AL110" s="60"/>
      <c r="AM110" s="51"/>
      <c r="AN110" s="51"/>
      <c r="AO110" s="70" t="s">
        <v>1007</v>
      </c>
      <c r="AP110" s="63" t="s">
        <v>1003</v>
      </c>
      <c r="AQ110" s="70" t="s">
        <v>1092</v>
      </c>
      <c r="AR110" s="51" t="s">
        <v>64</v>
      </c>
      <c r="AS110" s="51" t="s">
        <v>95</v>
      </c>
      <c r="AT110" s="87"/>
      <c r="CC110" s="65"/>
      <c r="CD110" s="65"/>
      <c r="CE110" s="65"/>
      <c r="CF110" s="65"/>
      <c r="CG110" s="65"/>
      <c r="CH110" s="65"/>
      <c r="CI110" s="65"/>
      <c r="CJ110" s="65"/>
      <c r="CK110" s="65"/>
      <c r="CL110" s="65"/>
      <c r="CM110" s="65"/>
      <c r="CN110" s="65"/>
      <c r="CO110" s="65"/>
      <c r="CP110" s="65"/>
      <c r="CQ110" s="65"/>
      <c r="CR110" s="65"/>
      <c r="CS110" s="65"/>
      <c r="CT110" s="65"/>
      <c r="CU110" s="65"/>
      <c r="CV110" s="65"/>
      <c r="CW110" s="65"/>
      <c r="CX110" s="65"/>
      <c r="CY110" s="65"/>
      <c r="CZ110" s="65"/>
      <c r="DA110" s="65"/>
      <c r="DB110" s="65"/>
      <c r="DC110" s="65"/>
      <c r="DD110" s="65"/>
      <c r="DE110" s="65"/>
      <c r="DF110" s="65"/>
      <c r="DG110" s="65"/>
      <c r="DH110" s="65"/>
      <c r="DI110" s="65"/>
      <c r="DJ110" s="65"/>
      <c r="DK110" s="65"/>
      <c r="DL110" s="65"/>
      <c r="DM110" s="65"/>
      <c r="DN110" s="65"/>
      <c r="DO110" s="65"/>
      <c r="DP110" s="65"/>
      <c r="DQ110" s="65"/>
      <c r="DR110" s="65"/>
      <c r="DS110" s="65"/>
      <c r="DT110" s="65"/>
      <c r="DU110" s="65"/>
      <c r="DV110" s="65"/>
      <c r="DW110" s="65"/>
      <c r="DX110" s="65"/>
      <c r="DY110" s="65"/>
      <c r="DZ110" s="65"/>
      <c r="EA110" s="65"/>
      <c r="EB110" s="65"/>
      <c r="EC110" s="65"/>
      <c r="ED110" s="65"/>
      <c r="EE110" s="65"/>
      <c r="EF110" s="65"/>
      <c r="EG110" s="65"/>
      <c r="EH110" s="65"/>
      <c r="EI110" s="65"/>
      <c r="EJ110" s="65"/>
      <c r="EK110" s="65"/>
      <c r="EL110" s="65"/>
      <c r="EM110" s="65"/>
      <c r="EN110" s="65"/>
      <c r="EO110" s="65"/>
      <c r="EP110" s="65"/>
      <c r="EQ110" s="65"/>
      <c r="ER110" s="65"/>
      <c r="ES110" s="65"/>
      <c r="ET110" s="65"/>
      <c r="EU110" s="65"/>
      <c r="EV110" s="65"/>
      <c r="EW110" s="65"/>
      <c r="EX110" s="65"/>
      <c r="EY110" s="65"/>
      <c r="EZ110" s="65"/>
      <c r="FA110" s="65"/>
      <c r="FB110" s="65"/>
      <c r="FC110" s="65"/>
      <c r="FD110" s="65"/>
      <c r="FE110" s="65"/>
      <c r="FF110" s="65"/>
      <c r="FG110" s="65"/>
      <c r="FH110" s="65"/>
      <c r="FI110" s="65"/>
      <c r="FJ110" s="65"/>
      <c r="FK110" s="65"/>
      <c r="FL110" s="65"/>
      <c r="FM110" s="65"/>
      <c r="FN110" s="65"/>
      <c r="FO110" s="65"/>
      <c r="FP110" s="65"/>
      <c r="FQ110" s="65"/>
      <c r="FR110" s="65"/>
      <c r="FS110" s="65"/>
      <c r="FT110" s="65"/>
      <c r="FU110" s="65"/>
      <c r="FV110" s="65"/>
      <c r="FW110" s="65"/>
      <c r="FX110" s="65"/>
      <c r="FY110" s="65"/>
      <c r="FZ110" s="65"/>
      <c r="GA110" s="65"/>
      <c r="GB110" s="65"/>
      <c r="GC110" s="65"/>
      <c r="GD110" s="65"/>
      <c r="GE110" s="65"/>
      <c r="GF110" s="65"/>
      <c r="GG110" s="65"/>
      <c r="GH110" s="65"/>
      <c r="GI110" s="65"/>
      <c r="GJ110" s="65"/>
      <c r="GK110" s="65"/>
      <c r="GL110" s="65"/>
      <c r="GM110" s="65"/>
      <c r="GN110" s="65"/>
      <c r="GO110" s="65"/>
      <c r="GP110" s="65"/>
      <c r="GQ110" s="65"/>
      <c r="GR110" s="65"/>
      <c r="GS110" s="65"/>
      <c r="GT110" s="65"/>
      <c r="GU110" s="65"/>
      <c r="GV110" s="65"/>
      <c r="GW110" s="65"/>
      <c r="GX110" s="65"/>
      <c r="GY110" s="65"/>
      <c r="GZ110" s="65"/>
      <c r="HA110" s="65"/>
      <c r="HB110" s="65"/>
      <c r="HC110" s="65"/>
      <c r="HD110" s="65"/>
      <c r="HE110" s="65"/>
      <c r="HF110" s="65"/>
      <c r="HG110" s="65"/>
      <c r="HH110" s="65"/>
      <c r="HI110" s="65"/>
      <c r="HJ110" s="65"/>
      <c r="HK110" s="65"/>
      <c r="HL110" s="65"/>
      <c r="HM110" s="65"/>
      <c r="HN110" s="65"/>
      <c r="HO110" s="65"/>
      <c r="HP110" s="65"/>
      <c r="HQ110" s="65"/>
      <c r="HR110" s="65"/>
      <c r="HS110" s="65"/>
      <c r="HT110" s="65"/>
      <c r="HU110" s="65"/>
      <c r="HV110" s="65"/>
      <c r="HW110" s="65"/>
      <c r="HX110" s="65"/>
      <c r="HY110" s="65"/>
      <c r="HZ110" s="65"/>
      <c r="IA110" s="65"/>
      <c r="IB110" s="65"/>
      <c r="IC110" s="65"/>
      <c r="ID110" s="65"/>
      <c r="IE110" s="65"/>
      <c r="IF110" s="65"/>
      <c r="IG110" s="65"/>
      <c r="IH110" s="65"/>
      <c r="II110" s="65"/>
      <c r="IJ110" s="65"/>
      <c r="IK110" s="65"/>
      <c r="IL110" s="65"/>
      <c r="IM110" s="65"/>
      <c r="IN110" s="65"/>
      <c r="IO110" s="65"/>
      <c r="IP110" s="65"/>
      <c r="IQ110" s="65"/>
      <c r="IR110" s="65"/>
      <c r="IS110" s="65"/>
      <c r="IT110" s="65"/>
      <c r="IU110" s="65"/>
      <c r="IV110" s="65"/>
      <c r="IW110" s="65"/>
      <c r="IX110" s="65"/>
      <c r="IY110" s="65"/>
      <c r="IZ110" s="65"/>
      <c r="JA110" s="65"/>
      <c r="JB110" s="65"/>
      <c r="JC110" s="65"/>
      <c r="JD110" s="65"/>
      <c r="JE110" s="65"/>
      <c r="JF110" s="65"/>
      <c r="JG110" s="65"/>
      <c r="JH110" s="65"/>
      <c r="JI110" s="65"/>
      <c r="JJ110" s="65"/>
      <c r="JK110" s="65"/>
      <c r="JL110" s="65"/>
      <c r="JM110" s="65"/>
      <c r="JN110" s="65"/>
      <c r="JO110" s="65"/>
      <c r="JP110" s="65"/>
      <c r="JQ110" s="65"/>
      <c r="JR110" s="65"/>
      <c r="JS110" s="65"/>
      <c r="JT110" s="65"/>
      <c r="JU110" s="65"/>
      <c r="JV110" s="65"/>
      <c r="JW110" s="65"/>
      <c r="JX110" s="65"/>
      <c r="JY110" s="65"/>
      <c r="JZ110" s="65"/>
      <c r="KA110" s="65"/>
      <c r="KB110" s="65"/>
      <c r="KC110" s="65"/>
      <c r="KD110" s="65"/>
      <c r="KE110" s="65"/>
      <c r="KF110" s="65"/>
      <c r="KG110" s="65"/>
      <c r="KH110" s="65"/>
      <c r="KI110" s="65"/>
      <c r="KJ110" s="65"/>
      <c r="KK110" s="65"/>
      <c r="KL110" s="65"/>
      <c r="KM110" s="65"/>
      <c r="KN110" s="65"/>
      <c r="KO110" s="65"/>
      <c r="KP110" s="65"/>
      <c r="KQ110" s="65"/>
      <c r="KR110" s="65"/>
      <c r="KS110" s="65"/>
      <c r="KT110" s="65"/>
      <c r="KU110" s="65"/>
      <c r="KV110" s="65"/>
      <c r="KW110" s="65"/>
      <c r="KX110" s="65"/>
      <c r="KY110" s="65"/>
      <c r="KZ110" s="65"/>
      <c r="LA110" s="65"/>
      <c r="LB110" s="65"/>
      <c r="LC110" s="65"/>
      <c r="LD110" s="65"/>
      <c r="LE110" s="65"/>
      <c r="LF110" s="65"/>
      <c r="LG110" s="65"/>
      <c r="LH110" s="65"/>
      <c r="LI110" s="65"/>
      <c r="LJ110" s="65"/>
      <c r="LK110" s="65"/>
      <c r="LL110" s="65"/>
      <c r="LM110" s="65"/>
      <c r="LN110" s="65"/>
      <c r="LO110" s="65"/>
      <c r="LP110" s="65"/>
      <c r="LQ110" s="65"/>
      <c r="LR110" s="65"/>
      <c r="LS110" s="65"/>
    </row>
    <row r="111" spans="1:331" s="18" customFormat="1" ht="18.75" customHeight="1">
      <c r="A111" s="51">
        <v>4</v>
      </c>
      <c r="B111" s="91" t="str">
        <f>NIK!$B$108</f>
        <v>9919120060</v>
      </c>
      <c r="C111" s="265" t="s">
        <v>1045</v>
      </c>
      <c r="D111" s="433" t="s">
        <v>1048</v>
      </c>
      <c r="E111" s="51" t="s">
        <v>344</v>
      </c>
      <c r="F111" s="56">
        <v>43811</v>
      </c>
      <c r="G111" s="56">
        <v>43811</v>
      </c>
      <c r="H111" s="58"/>
      <c r="I111" s="58"/>
      <c r="J111" s="57">
        <f ca="1">DATEDIF(F111,$A$3,"Y")</f>
        <v>1</v>
      </c>
      <c r="K111" s="57">
        <f ca="1">DATEDIF(F111,$A$3,"YM")</f>
        <v>0</v>
      </c>
      <c r="L111" s="58"/>
      <c r="M111" s="58"/>
      <c r="N111" s="142" t="s">
        <v>35</v>
      </c>
      <c r="O111" s="55" t="s">
        <v>36</v>
      </c>
      <c r="P111" s="51" t="s">
        <v>1049</v>
      </c>
      <c r="Q111" s="56">
        <v>34239</v>
      </c>
      <c r="R111" s="77">
        <f ca="1">DATEDIF(Q111,$A$3,"Y")</f>
        <v>27</v>
      </c>
      <c r="S111" s="77">
        <f ca="1">DATEDIF(Q111,$A$3,"YM")</f>
        <v>3</v>
      </c>
      <c r="T111" s="51" t="s">
        <v>1050</v>
      </c>
      <c r="U111" s="51" t="s">
        <v>1051</v>
      </c>
      <c r="V111" s="55" t="s">
        <v>44</v>
      </c>
      <c r="W111" s="55" t="s">
        <v>59</v>
      </c>
      <c r="X111" s="55"/>
      <c r="Y111" s="55"/>
      <c r="Z111" s="55"/>
      <c r="AA111" s="55"/>
      <c r="AB111" s="55"/>
      <c r="AC111" s="55"/>
      <c r="AD111" s="55"/>
      <c r="AE111" s="55"/>
      <c r="AF111" s="249"/>
      <c r="AG111" s="249"/>
      <c r="AH111" s="249"/>
      <c r="AI111" s="70" t="s">
        <v>1052</v>
      </c>
      <c r="AJ111" s="60" t="s">
        <v>1053</v>
      </c>
      <c r="AK111" s="60" t="s">
        <v>1053</v>
      </c>
      <c r="AL111" s="60"/>
      <c r="AM111" s="51"/>
      <c r="AN111" s="51"/>
      <c r="AO111" s="70" t="s">
        <v>1054</v>
      </c>
      <c r="AP111" s="307" t="s">
        <v>1045</v>
      </c>
      <c r="AQ111" s="70" t="s">
        <v>1094</v>
      </c>
      <c r="AR111" s="51" t="s">
        <v>64</v>
      </c>
      <c r="AS111" s="51" t="s">
        <v>95</v>
      </c>
      <c r="AT111" s="87"/>
      <c r="CC111" s="65"/>
      <c r="CD111" s="65"/>
      <c r="CE111" s="65"/>
      <c r="CF111" s="65"/>
      <c r="CG111" s="65"/>
      <c r="CH111" s="65"/>
      <c r="CI111" s="65"/>
      <c r="CJ111" s="65"/>
      <c r="CK111" s="65"/>
      <c r="CL111" s="65"/>
      <c r="CM111" s="65"/>
      <c r="CN111" s="65"/>
      <c r="CO111" s="65"/>
      <c r="CP111" s="65"/>
      <c r="CQ111" s="65"/>
      <c r="CR111" s="65"/>
      <c r="CS111" s="65"/>
      <c r="CT111" s="65"/>
      <c r="CU111" s="65"/>
      <c r="CV111" s="65"/>
      <c r="CW111" s="65"/>
      <c r="CX111" s="65"/>
      <c r="CY111" s="65"/>
      <c r="CZ111" s="65"/>
      <c r="DA111" s="65"/>
      <c r="DB111" s="65"/>
      <c r="DC111" s="65"/>
      <c r="DD111" s="65"/>
      <c r="DE111" s="65"/>
      <c r="DF111" s="65"/>
      <c r="DG111" s="65"/>
      <c r="DH111" s="65"/>
      <c r="DI111" s="65"/>
      <c r="DJ111" s="65"/>
      <c r="DK111" s="65"/>
      <c r="DL111" s="65"/>
      <c r="DM111" s="65"/>
      <c r="DN111" s="65"/>
      <c r="DO111" s="65"/>
      <c r="DP111" s="65"/>
      <c r="DQ111" s="65"/>
      <c r="DR111" s="65"/>
      <c r="DS111" s="65"/>
      <c r="DT111" s="65"/>
      <c r="DU111" s="65"/>
      <c r="DV111" s="65"/>
      <c r="DW111" s="65"/>
      <c r="DX111" s="65"/>
      <c r="DY111" s="65"/>
      <c r="DZ111" s="65"/>
      <c r="EA111" s="65"/>
      <c r="EB111" s="65"/>
      <c r="EC111" s="65"/>
      <c r="ED111" s="65"/>
      <c r="EE111" s="65"/>
      <c r="EF111" s="65"/>
      <c r="EG111" s="65"/>
      <c r="EH111" s="65"/>
      <c r="EI111" s="65"/>
      <c r="EJ111" s="65"/>
      <c r="EK111" s="65"/>
      <c r="EL111" s="65"/>
      <c r="EM111" s="65"/>
      <c r="EN111" s="65"/>
      <c r="EO111" s="65"/>
      <c r="EP111" s="65"/>
      <c r="EQ111" s="65"/>
      <c r="ER111" s="65"/>
      <c r="ES111" s="65"/>
      <c r="ET111" s="65"/>
      <c r="EU111" s="65"/>
      <c r="EV111" s="65"/>
      <c r="EW111" s="65"/>
      <c r="EX111" s="65"/>
      <c r="EY111" s="65"/>
      <c r="EZ111" s="65"/>
      <c r="FA111" s="65"/>
      <c r="FB111" s="65"/>
      <c r="FC111" s="65"/>
      <c r="FD111" s="65"/>
      <c r="FE111" s="65"/>
      <c r="FF111" s="65"/>
      <c r="FG111" s="65"/>
      <c r="FH111" s="65"/>
      <c r="FI111" s="65"/>
      <c r="FJ111" s="65"/>
      <c r="FK111" s="65"/>
      <c r="FL111" s="65"/>
      <c r="FM111" s="65"/>
      <c r="FN111" s="65"/>
      <c r="FO111" s="65"/>
      <c r="FP111" s="65"/>
      <c r="FQ111" s="65"/>
      <c r="FR111" s="65"/>
      <c r="FS111" s="65"/>
      <c r="FT111" s="65"/>
      <c r="FU111" s="65"/>
      <c r="FV111" s="65"/>
      <c r="FW111" s="65"/>
      <c r="FX111" s="65"/>
      <c r="FY111" s="65"/>
      <c r="FZ111" s="65"/>
      <c r="GA111" s="65"/>
      <c r="GB111" s="65"/>
      <c r="GC111" s="65"/>
      <c r="GD111" s="65"/>
      <c r="GE111" s="65"/>
      <c r="GF111" s="65"/>
      <c r="GG111" s="65"/>
      <c r="GH111" s="65"/>
      <c r="GI111" s="65"/>
      <c r="GJ111" s="65"/>
      <c r="GK111" s="65"/>
      <c r="GL111" s="65"/>
      <c r="GM111" s="65"/>
      <c r="GN111" s="65"/>
      <c r="GO111" s="65"/>
      <c r="GP111" s="65"/>
      <c r="GQ111" s="65"/>
      <c r="GR111" s="65"/>
      <c r="GS111" s="65"/>
      <c r="GT111" s="65"/>
      <c r="GU111" s="65"/>
      <c r="GV111" s="65"/>
      <c r="GW111" s="65"/>
      <c r="GX111" s="65"/>
      <c r="GY111" s="65"/>
      <c r="GZ111" s="65"/>
      <c r="HA111" s="65"/>
      <c r="HB111" s="65"/>
      <c r="HC111" s="65"/>
      <c r="HD111" s="65"/>
      <c r="HE111" s="65"/>
      <c r="HF111" s="65"/>
      <c r="HG111" s="65"/>
      <c r="HH111" s="65"/>
      <c r="HI111" s="65"/>
      <c r="HJ111" s="65"/>
      <c r="HK111" s="65"/>
      <c r="HL111" s="65"/>
      <c r="HM111" s="65"/>
      <c r="HN111" s="65"/>
      <c r="HO111" s="65"/>
      <c r="HP111" s="65"/>
      <c r="HQ111" s="65"/>
      <c r="HR111" s="65"/>
      <c r="HS111" s="65"/>
      <c r="HT111" s="65"/>
      <c r="HU111" s="65"/>
      <c r="HV111" s="65"/>
      <c r="HW111" s="65"/>
      <c r="HX111" s="65"/>
      <c r="HY111" s="65"/>
      <c r="HZ111" s="65"/>
      <c r="IA111" s="65"/>
      <c r="IB111" s="65"/>
      <c r="IC111" s="65"/>
      <c r="ID111" s="65"/>
      <c r="IE111" s="65"/>
      <c r="IF111" s="65"/>
      <c r="IG111" s="65"/>
      <c r="IH111" s="65"/>
      <c r="II111" s="65"/>
      <c r="IJ111" s="65"/>
      <c r="IK111" s="65"/>
      <c r="IL111" s="65"/>
      <c r="IM111" s="65"/>
      <c r="IN111" s="65"/>
      <c r="IO111" s="65"/>
      <c r="IP111" s="65"/>
      <c r="IQ111" s="65"/>
      <c r="IR111" s="65"/>
      <c r="IS111" s="65"/>
      <c r="IT111" s="65"/>
      <c r="IU111" s="65"/>
      <c r="IV111" s="65"/>
      <c r="IW111" s="65"/>
      <c r="IX111" s="65"/>
      <c r="IY111" s="65"/>
      <c r="IZ111" s="65"/>
      <c r="JA111" s="65"/>
      <c r="JB111" s="65"/>
      <c r="JC111" s="65"/>
      <c r="JD111" s="65"/>
      <c r="JE111" s="65"/>
      <c r="JF111" s="65"/>
      <c r="JG111" s="65"/>
      <c r="JH111" s="65"/>
      <c r="JI111" s="65"/>
      <c r="JJ111" s="65"/>
      <c r="JK111" s="65"/>
      <c r="JL111" s="65"/>
      <c r="JM111" s="65"/>
      <c r="JN111" s="65"/>
      <c r="JO111" s="65"/>
      <c r="JP111" s="65"/>
      <c r="JQ111" s="65"/>
      <c r="JR111" s="65"/>
      <c r="JS111" s="65"/>
      <c r="JT111" s="65"/>
      <c r="JU111" s="65"/>
      <c r="JV111" s="65"/>
      <c r="JW111" s="65"/>
      <c r="JX111" s="65"/>
      <c r="JY111" s="65"/>
      <c r="JZ111" s="65"/>
      <c r="KA111" s="65"/>
      <c r="KB111" s="65"/>
      <c r="KC111" s="65"/>
      <c r="KD111" s="65"/>
      <c r="KE111" s="65"/>
      <c r="KF111" s="65"/>
      <c r="KG111" s="65"/>
      <c r="KH111" s="65"/>
      <c r="KI111" s="65"/>
      <c r="KJ111" s="65"/>
      <c r="KK111" s="65"/>
      <c r="KL111" s="65"/>
      <c r="KM111" s="65"/>
      <c r="KN111" s="65"/>
      <c r="KO111" s="65"/>
      <c r="KP111" s="65"/>
      <c r="KQ111" s="65"/>
      <c r="KR111" s="65"/>
      <c r="KS111" s="65"/>
      <c r="KT111" s="65"/>
      <c r="KU111" s="65"/>
      <c r="KV111" s="65"/>
      <c r="KW111" s="65"/>
      <c r="KX111" s="65"/>
      <c r="KY111" s="65"/>
      <c r="KZ111" s="65"/>
      <c r="LA111" s="65"/>
      <c r="LB111" s="65"/>
      <c r="LC111" s="65"/>
      <c r="LD111" s="65"/>
      <c r="LE111" s="65"/>
      <c r="LF111" s="65"/>
      <c r="LG111" s="65"/>
      <c r="LH111" s="65"/>
      <c r="LI111" s="65"/>
      <c r="LJ111" s="65"/>
      <c r="LK111" s="65"/>
      <c r="LL111" s="65"/>
      <c r="LM111" s="65"/>
      <c r="LN111" s="65"/>
      <c r="LO111" s="65"/>
      <c r="LP111" s="65"/>
      <c r="LQ111" s="65"/>
      <c r="LR111" s="65"/>
      <c r="LS111" s="65"/>
    </row>
    <row r="112" spans="1:331" s="18" customFormat="1" ht="18.75" customHeight="1">
      <c r="A112" s="51">
        <v>5</v>
      </c>
      <c r="B112" s="91" t="str">
        <f>NIK!$B$94</f>
        <v>9919090046</v>
      </c>
      <c r="C112" s="265" t="s">
        <v>862</v>
      </c>
      <c r="D112" s="433" t="s">
        <v>450</v>
      </c>
      <c r="E112" s="51" t="s">
        <v>344</v>
      </c>
      <c r="F112" s="56">
        <v>43724</v>
      </c>
      <c r="G112" s="56">
        <v>43724</v>
      </c>
      <c r="H112" s="58"/>
      <c r="I112" s="58"/>
      <c r="J112" s="57">
        <f ca="1">DATEDIF(F112,$A$3,"Y")</f>
        <v>1</v>
      </c>
      <c r="K112" s="57">
        <f ca="1">DATEDIF(F112,$A$3,"YM")</f>
        <v>3</v>
      </c>
      <c r="L112" s="58"/>
      <c r="M112" s="58"/>
      <c r="N112" s="142" t="s">
        <v>35</v>
      </c>
      <c r="O112" s="55" t="s">
        <v>36</v>
      </c>
      <c r="P112" s="51" t="s">
        <v>866</v>
      </c>
      <c r="Q112" s="56">
        <v>34480</v>
      </c>
      <c r="R112" s="77">
        <f ca="1">DATEDIF(Q112,$A$3,"Y")</f>
        <v>26</v>
      </c>
      <c r="S112" s="77">
        <f ca="1">DATEDIF(Q112,$A$3,"YM")</f>
        <v>7</v>
      </c>
      <c r="T112" s="51" t="s">
        <v>57</v>
      </c>
      <c r="U112" s="51" t="s">
        <v>867</v>
      </c>
      <c r="V112" s="55" t="s">
        <v>44</v>
      </c>
      <c r="W112" s="55" t="s">
        <v>59</v>
      </c>
      <c r="X112" s="55" t="s">
        <v>48</v>
      </c>
      <c r="Y112" s="55" t="s">
        <v>48</v>
      </c>
      <c r="Z112" s="55" t="s">
        <v>48</v>
      </c>
      <c r="AA112" s="55" t="s">
        <v>48</v>
      </c>
      <c r="AB112" s="55" t="s">
        <v>48</v>
      </c>
      <c r="AC112" s="55" t="s">
        <v>48</v>
      </c>
      <c r="AD112" s="55" t="s">
        <v>48</v>
      </c>
      <c r="AE112" s="55" t="s">
        <v>48</v>
      </c>
      <c r="AF112" s="249"/>
      <c r="AG112" s="249"/>
      <c r="AH112" s="249"/>
      <c r="AI112" s="70" t="s">
        <v>869</v>
      </c>
      <c r="AJ112" s="60" t="s">
        <v>870</v>
      </c>
      <c r="AK112" s="60" t="s">
        <v>870</v>
      </c>
      <c r="AL112" s="60"/>
      <c r="AM112" s="51"/>
      <c r="AN112" s="51" t="s">
        <v>48</v>
      </c>
      <c r="AO112" s="70" t="s">
        <v>872</v>
      </c>
      <c r="AP112" s="63" t="s">
        <v>862</v>
      </c>
      <c r="AQ112" s="70" t="s">
        <v>947</v>
      </c>
      <c r="AR112" s="51" t="s">
        <v>64</v>
      </c>
      <c r="AS112" s="51"/>
      <c r="AT112" s="87"/>
      <c r="CC112" s="65"/>
      <c r="CD112" s="65"/>
      <c r="CE112" s="65"/>
      <c r="CF112" s="65"/>
      <c r="CG112" s="65"/>
      <c r="CH112" s="65"/>
      <c r="CI112" s="65"/>
      <c r="CJ112" s="65"/>
      <c r="CK112" s="65"/>
      <c r="CL112" s="65"/>
      <c r="CM112" s="65"/>
      <c r="CN112" s="65"/>
      <c r="CO112" s="65"/>
      <c r="CP112" s="65"/>
      <c r="CQ112" s="65"/>
      <c r="CR112" s="65"/>
      <c r="CS112" s="65"/>
      <c r="CT112" s="65"/>
      <c r="CU112" s="65"/>
      <c r="CV112" s="65"/>
      <c r="CW112" s="65"/>
      <c r="CX112" s="65"/>
      <c r="CY112" s="65"/>
      <c r="CZ112" s="65"/>
      <c r="DA112" s="65"/>
      <c r="DB112" s="65"/>
      <c r="DC112" s="65"/>
      <c r="DD112" s="65"/>
      <c r="DE112" s="65"/>
      <c r="DF112" s="65"/>
      <c r="DG112" s="65"/>
      <c r="DH112" s="65"/>
      <c r="DI112" s="65"/>
      <c r="DJ112" s="65"/>
      <c r="DK112" s="65"/>
      <c r="DL112" s="65"/>
      <c r="DM112" s="65"/>
      <c r="DN112" s="65"/>
      <c r="DO112" s="65"/>
      <c r="DP112" s="65"/>
      <c r="DQ112" s="65"/>
      <c r="DR112" s="65"/>
      <c r="DS112" s="65"/>
      <c r="DT112" s="65"/>
      <c r="DU112" s="65"/>
      <c r="DV112" s="65"/>
      <c r="DW112" s="65"/>
      <c r="DX112" s="65"/>
      <c r="DY112" s="65"/>
      <c r="DZ112" s="65"/>
      <c r="EA112" s="65"/>
      <c r="EB112" s="65"/>
      <c r="EC112" s="65"/>
      <c r="ED112" s="65"/>
      <c r="EE112" s="65"/>
      <c r="EF112" s="65"/>
      <c r="EG112" s="65"/>
      <c r="EH112" s="65"/>
      <c r="EI112" s="65"/>
      <c r="EJ112" s="65"/>
      <c r="EK112" s="65"/>
      <c r="EL112" s="65"/>
      <c r="EM112" s="65"/>
      <c r="EN112" s="65"/>
      <c r="EO112" s="65"/>
      <c r="EP112" s="65"/>
      <c r="EQ112" s="65"/>
      <c r="ER112" s="65"/>
      <c r="ES112" s="65"/>
      <c r="ET112" s="65"/>
      <c r="EU112" s="65"/>
      <c r="EV112" s="65"/>
      <c r="EW112" s="65"/>
      <c r="EX112" s="65"/>
      <c r="EY112" s="65"/>
      <c r="EZ112" s="65"/>
      <c r="FA112" s="65"/>
      <c r="FB112" s="65"/>
      <c r="FC112" s="65"/>
      <c r="FD112" s="65"/>
      <c r="FE112" s="65"/>
      <c r="FF112" s="65"/>
      <c r="FG112" s="65"/>
      <c r="FH112" s="65"/>
      <c r="FI112" s="65"/>
      <c r="FJ112" s="65"/>
      <c r="FK112" s="65"/>
      <c r="FL112" s="65"/>
      <c r="FM112" s="65"/>
      <c r="FN112" s="65"/>
      <c r="FO112" s="65"/>
      <c r="FP112" s="65"/>
      <c r="FQ112" s="65"/>
      <c r="FR112" s="65"/>
      <c r="FS112" s="65"/>
      <c r="FT112" s="65"/>
      <c r="FU112" s="65"/>
      <c r="FV112" s="65"/>
      <c r="FW112" s="65"/>
      <c r="FX112" s="65"/>
      <c r="FY112" s="65"/>
      <c r="FZ112" s="65"/>
      <c r="GA112" s="65"/>
      <c r="GB112" s="65"/>
      <c r="GC112" s="65"/>
      <c r="GD112" s="65"/>
      <c r="GE112" s="65"/>
      <c r="GF112" s="65"/>
      <c r="GG112" s="65"/>
      <c r="GH112" s="65"/>
      <c r="GI112" s="65"/>
      <c r="GJ112" s="65"/>
      <c r="GK112" s="65"/>
      <c r="GL112" s="65"/>
      <c r="GM112" s="65"/>
      <c r="GN112" s="65"/>
      <c r="GO112" s="65"/>
      <c r="GP112" s="65"/>
      <c r="GQ112" s="65"/>
      <c r="GR112" s="65"/>
      <c r="GS112" s="65"/>
      <c r="GT112" s="65"/>
      <c r="GU112" s="65"/>
      <c r="GV112" s="65"/>
      <c r="GW112" s="65"/>
      <c r="GX112" s="65"/>
      <c r="GY112" s="65"/>
      <c r="GZ112" s="65"/>
      <c r="HA112" s="65"/>
      <c r="HB112" s="65"/>
      <c r="HC112" s="65"/>
      <c r="HD112" s="65"/>
      <c r="HE112" s="65"/>
      <c r="HF112" s="65"/>
      <c r="HG112" s="65"/>
      <c r="HH112" s="65"/>
      <c r="HI112" s="65"/>
      <c r="HJ112" s="65"/>
      <c r="HK112" s="65"/>
      <c r="HL112" s="65"/>
      <c r="HM112" s="65"/>
      <c r="HN112" s="65"/>
      <c r="HO112" s="65"/>
      <c r="HP112" s="65"/>
      <c r="HQ112" s="65"/>
      <c r="HR112" s="65"/>
      <c r="HS112" s="65"/>
      <c r="HT112" s="65"/>
      <c r="HU112" s="65"/>
      <c r="HV112" s="65"/>
      <c r="HW112" s="65"/>
      <c r="HX112" s="65"/>
      <c r="HY112" s="65"/>
      <c r="HZ112" s="65"/>
      <c r="IA112" s="65"/>
      <c r="IB112" s="65"/>
      <c r="IC112" s="65"/>
      <c r="ID112" s="65"/>
      <c r="IE112" s="65"/>
      <c r="IF112" s="65"/>
      <c r="IG112" s="65"/>
      <c r="IH112" s="65"/>
      <c r="II112" s="65"/>
      <c r="IJ112" s="65"/>
      <c r="IK112" s="65"/>
      <c r="IL112" s="65"/>
      <c r="IM112" s="65"/>
      <c r="IN112" s="65"/>
      <c r="IO112" s="65"/>
      <c r="IP112" s="65"/>
      <c r="IQ112" s="65"/>
      <c r="IR112" s="65"/>
      <c r="IS112" s="65"/>
      <c r="IT112" s="65"/>
      <c r="IU112" s="65"/>
      <c r="IV112" s="65"/>
      <c r="IW112" s="65"/>
      <c r="IX112" s="65"/>
      <c r="IY112" s="65"/>
      <c r="IZ112" s="65"/>
      <c r="JA112" s="65"/>
      <c r="JB112" s="65"/>
      <c r="JC112" s="65"/>
      <c r="JD112" s="65"/>
      <c r="JE112" s="65"/>
      <c r="JF112" s="65"/>
      <c r="JG112" s="65"/>
      <c r="JH112" s="65"/>
      <c r="JI112" s="65"/>
      <c r="JJ112" s="65"/>
      <c r="JK112" s="65"/>
      <c r="JL112" s="65"/>
      <c r="JM112" s="65"/>
      <c r="JN112" s="65"/>
      <c r="JO112" s="65"/>
      <c r="JP112" s="65"/>
      <c r="JQ112" s="65"/>
      <c r="JR112" s="65"/>
      <c r="JS112" s="65"/>
      <c r="JT112" s="65"/>
      <c r="JU112" s="65"/>
      <c r="JV112" s="65"/>
      <c r="JW112" s="65"/>
      <c r="JX112" s="65"/>
      <c r="JY112" s="65"/>
      <c r="JZ112" s="65"/>
      <c r="KA112" s="65"/>
      <c r="KB112" s="65"/>
      <c r="KC112" s="65"/>
      <c r="KD112" s="65"/>
      <c r="KE112" s="65"/>
      <c r="KF112" s="65"/>
      <c r="KG112" s="65"/>
      <c r="KH112" s="65"/>
      <c r="KI112" s="65"/>
      <c r="KJ112" s="65"/>
      <c r="KK112" s="65"/>
      <c r="KL112" s="65"/>
      <c r="KM112" s="65"/>
      <c r="KN112" s="65"/>
      <c r="KO112" s="65"/>
      <c r="KP112" s="65"/>
      <c r="KQ112" s="65"/>
      <c r="KR112" s="65"/>
      <c r="KS112" s="65"/>
      <c r="KT112" s="65"/>
      <c r="KU112" s="65"/>
      <c r="KV112" s="65"/>
      <c r="KW112" s="65"/>
      <c r="KX112" s="65"/>
      <c r="KY112" s="65"/>
      <c r="KZ112" s="65"/>
      <c r="LA112" s="65"/>
      <c r="LB112" s="65"/>
      <c r="LC112" s="65"/>
      <c r="LD112" s="65"/>
      <c r="LE112" s="65"/>
      <c r="LF112" s="65"/>
      <c r="LG112" s="65"/>
      <c r="LH112" s="65"/>
      <c r="LI112" s="65"/>
      <c r="LJ112" s="65"/>
      <c r="LK112" s="65"/>
      <c r="LL112" s="65"/>
      <c r="LM112" s="65"/>
      <c r="LN112" s="65"/>
      <c r="LO112" s="65"/>
      <c r="LP112" s="65"/>
      <c r="LQ112" s="65"/>
      <c r="LR112" s="65"/>
      <c r="LS112" s="65"/>
    </row>
    <row r="113" spans="1:331" s="18" customFormat="1" ht="18.75" customHeight="1">
      <c r="A113" s="51">
        <v>6</v>
      </c>
      <c r="B113" s="91" t="str">
        <f>NIK!$B$105</f>
        <v>9919120057</v>
      </c>
      <c r="C113" s="265" t="s">
        <v>1017</v>
      </c>
      <c r="D113" s="431" t="s">
        <v>995</v>
      </c>
      <c r="E113" s="51" t="s">
        <v>344</v>
      </c>
      <c r="F113" s="56">
        <v>43801</v>
      </c>
      <c r="G113" s="56">
        <v>43801</v>
      </c>
      <c r="H113" s="58"/>
      <c r="I113" s="58"/>
      <c r="J113" s="57">
        <f t="shared" ref="J113" ca="1" si="63">DATEDIF(F113,$A$3,"Y")</f>
        <v>1</v>
      </c>
      <c r="K113" s="57">
        <f t="shared" ref="K113" ca="1" si="64">DATEDIF(F113,$A$3,"YM")</f>
        <v>1</v>
      </c>
      <c r="L113" s="58"/>
      <c r="M113" s="58"/>
      <c r="N113" s="142" t="s">
        <v>35</v>
      </c>
      <c r="O113" s="55" t="s">
        <v>36</v>
      </c>
      <c r="P113" s="51" t="s">
        <v>37</v>
      </c>
      <c r="Q113" s="56">
        <v>32606</v>
      </c>
      <c r="R113" s="77">
        <f t="shared" ref="R113" ca="1" si="65">DATEDIF(Q113,$A$3,"Y")</f>
        <v>31</v>
      </c>
      <c r="S113" s="77">
        <f t="shared" ref="S113" ca="1" si="66">DATEDIF(Q113,$A$3,"YM")</f>
        <v>8</v>
      </c>
      <c r="T113" s="51" t="s">
        <v>1018</v>
      </c>
      <c r="U113" s="51" t="s">
        <v>848</v>
      </c>
      <c r="V113" s="55" t="s">
        <v>105</v>
      </c>
      <c r="W113" s="55" t="s">
        <v>59</v>
      </c>
      <c r="X113" s="55"/>
      <c r="Y113" s="55"/>
      <c r="Z113" s="55"/>
      <c r="AA113" s="55"/>
      <c r="AB113" s="55"/>
      <c r="AC113" s="55"/>
      <c r="AD113" s="55"/>
      <c r="AE113" s="55"/>
      <c r="AF113" s="249"/>
      <c r="AG113" s="249"/>
      <c r="AH113" s="249"/>
      <c r="AI113" s="70" t="s">
        <v>1019</v>
      </c>
      <c r="AJ113" s="60" t="s">
        <v>1020</v>
      </c>
      <c r="AK113" s="60" t="s">
        <v>1020</v>
      </c>
      <c r="AL113" s="60"/>
      <c r="AM113" s="51"/>
      <c r="AN113" s="51"/>
      <c r="AO113" s="70" t="s">
        <v>1021</v>
      </c>
      <c r="AP113" s="63" t="s">
        <v>1017</v>
      </c>
      <c r="AQ113" s="70" t="s">
        <v>1090</v>
      </c>
      <c r="AR113" s="51" t="s">
        <v>64</v>
      </c>
      <c r="AS113" s="51" t="s">
        <v>95</v>
      </c>
      <c r="AT113" s="87"/>
      <c r="CC113" s="65"/>
      <c r="CD113" s="65"/>
      <c r="CE113" s="65"/>
      <c r="CF113" s="65"/>
      <c r="CG113" s="65"/>
      <c r="CH113" s="65"/>
      <c r="CI113" s="65"/>
      <c r="CJ113" s="65"/>
      <c r="CK113" s="65"/>
      <c r="CL113" s="65"/>
      <c r="CM113" s="65"/>
      <c r="CN113" s="65"/>
      <c r="CO113" s="65"/>
      <c r="CP113" s="65"/>
      <c r="CQ113" s="65"/>
      <c r="CR113" s="65"/>
      <c r="CS113" s="65"/>
      <c r="CT113" s="65"/>
      <c r="CU113" s="65"/>
      <c r="CV113" s="65"/>
      <c r="CW113" s="65"/>
      <c r="CX113" s="65"/>
      <c r="CY113" s="65"/>
      <c r="CZ113" s="65"/>
      <c r="DA113" s="65"/>
      <c r="DB113" s="65"/>
      <c r="DC113" s="65"/>
      <c r="DD113" s="65"/>
      <c r="DE113" s="65"/>
      <c r="DF113" s="65"/>
      <c r="DG113" s="65"/>
      <c r="DH113" s="65"/>
      <c r="DI113" s="65"/>
      <c r="DJ113" s="65"/>
      <c r="DK113" s="65"/>
      <c r="DL113" s="65"/>
      <c r="DM113" s="65"/>
      <c r="DN113" s="65"/>
      <c r="DO113" s="65"/>
      <c r="DP113" s="65"/>
      <c r="DQ113" s="65"/>
      <c r="DR113" s="65"/>
      <c r="DS113" s="65"/>
      <c r="DT113" s="65"/>
      <c r="DU113" s="65"/>
      <c r="DV113" s="65"/>
      <c r="DW113" s="65"/>
      <c r="DX113" s="65"/>
      <c r="DY113" s="65"/>
      <c r="DZ113" s="65"/>
      <c r="EA113" s="65"/>
      <c r="EB113" s="65"/>
      <c r="EC113" s="65"/>
      <c r="ED113" s="65"/>
      <c r="EE113" s="65"/>
      <c r="EF113" s="65"/>
      <c r="EG113" s="65"/>
      <c r="EH113" s="65"/>
      <c r="EI113" s="65"/>
      <c r="EJ113" s="65"/>
      <c r="EK113" s="65"/>
      <c r="EL113" s="65"/>
      <c r="EM113" s="65"/>
      <c r="EN113" s="65"/>
      <c r="EO113" s="65"/>
      <c r="EP113" s="65"/>
      <c r="EQ113" s="65"/>
      <c r="ER113" s="65"/>
      <c r="ES113" s="65"/>
      <c r="ET113" s="65"/>
      <c r="EU113" s="65"/>
      <c r="EV113" s="65"/>
      <c r="EW113" s="65"/>
      <c r="EX113" s="65"/>
      <c r="EY113" s="65"/>
      <c r="EZ113" s="65"/>
      <c r="FA113" s="65"/>
      <c r="FB113" s="65"/>
      <c r="FC113" s="65"/>
      <c r="FD113" s="65"/>
      <c r="FE113" s="65"/>
      <c r="FF113" s="65"/>
      <c r="FG113" s="65"/>
      <c r="FH113" s="65"/>
      <c r="FI113" s="65"/>
      <c r="FJ113" s="65"/>
      <c r="FK113" s="65"/>
      <c r="FL113" s="65"/>
      <c r="FM113" s="65"/>
      <c r="FN113" s="65"/>
      <c r="FO113" s="65"/>
      <c r="FP113" s="65"/>
      <c r="FQ113" s="65"/>
      <c r="FR113" s="65"/>
      <c r="FS113" s="65"/>
      <c r="FT113" s="65"/>
      <c r="FU113" s="65"/>
      <c r="FV113" s="65"/>
      <c r="FW113" s="65"/>
      <c r="FX113" s="65"/>
      <c r="FY113" s="65"/>
      <c r="FZ113" s="65"/>
      <c r="GA113" s="65"/>
      <c r="GB113" s="65"/>
      <c r="GC113" s="65"/>
      <c r="GD113" s="65"/>
      <c r="GE113" s="65"/>
      <c r="GF113" s="65"/>
      <c r="GG113" s="65"/>
      <c r="GH113" s="65"/>
      <c r="GI113" s="65"/>
      <c r="GJ113" s="65"/>
      <c r="GK113" s="65"/>
      <c r="GL113" s="65"/>
      <c r="GM113" s="65"/>
      <c r="GN113" s="65"/>
      <c r="GO113" s="65"/>
      <c r="GP113" s="65"/>
      <c r="GQ113" s="65"/>
      <c r="GR113" s="65"/>
      <c r="GS113" s="65"/>
      <c r="GT113" s="65"/>
      <c r="GU113" s="65"/>
      <c r="GV113" s="65"/>
      <c r="GW113" s="65"/>
      <c r="GX113" s="65"/>
      <c r="GY113" s="65"/>
      <c r="GZ113" s="65"/>
      <c r="HA113" s="65"/>
      <c r="HB113" s="65"/>
      <c r="HC113" s="65"/>
      <c r="HD113" s="65"/>
      <c r="HE113" s="65"/>
      <c r="HF113" s="65"/>
      <c r="HG113" s="65"/>
      <c r="HH113" s="65"/>
      <c r="HI113" s="65"/>
      <c r="HJ113" s="65"/>
      <c r="HK113" s="65"/>
      <c r="HL113" s="65"/>
      <c r="HM113" s="65"/>
      <c r="HN113" s="65"/>
      <c r="HO113" s="65"/>
      <c r="HP113" s="65"/>
      <c r="HQ113" s="65"/>
      <c r="HR113" s="65"/>
      <c r="HS113" s="65"/>
      <c r="HT113" s="65"/>
      <c r="HU113" s="65"/>
      <c r="HV113" s="65"/>
      <c r="HW113" s="65"/>
      <c r="HX113" s="65"/>
      <c r="HY113" s="65"/>
      <c r="HZ113" s="65"/>
      <c r="IA113" s="65"/>
      <c r="IB113" s="65"/>
      <c r="IC113" s="65"/>
      <c r="ID113" s="65"/>
      <c r="IE113" s="65"/>
      <c r="IF113" s="65"/>
      <c r="IG113" s="65"/>
      <c r="IH113" s="65"/>
      <c r="II113" s="65"/>
      <c r="IJ113" s="65"/>
      <c r="IK113" s="65"/>
      <c r="IL113" s="65"/>
      <c r="IM113" s="65"/>
      <c r="IN113" s="65"/>
      <c r="IO113" s="65"/>
      <c r="IP113" s="65"/>
      <c r="IQ113" s="65"/>
      <c r="IR113" s="65"/>
      <c r="IS113" s="65"/>
      <c r="IT113" s="65"/>
      <c r="IU113" s="65"/>
      <c r="IV113" s="65"/>
      <c r="IW113" s="65"/>
      <c r="IX113" s="65"/>
      <c r="IY113" s="65"/>
      <c r="IZ113" s="65"/>
      <c r="JA113" s="65"/>
      <c r="JB113" s="65"/>
      <c r="JC113" s="65"/>
      <c r="JD113" s="65"/>
      <c r="JE113" s="65"/>
      <c r="JF113" s="65"/>
      <c r="JG113" s="65"/>
      <c r="JH113" s="65"/>
      <c r="JI113" s="65"/>
      <c r="JJ113" s="65"/>
      <c r="JK113" s="65"/>
      <c r="JL113" s="65"/>
      <c r="JM113" s="65"/>
      <c r="JN113" s="65"/>
      <c r="JO113" s="65"/>
      <c r="JP113" s="65"/>
      <c r="JQ113" s="65"/>
      <c r="JR113" s="65"/>
      <c r="JS113" s="65"/>
      <c r="JT113" s="65"/>
      <c r="JU113" s="65"/>
      <c r="JV113" s="65"/>
      <c r="JW113" s="65"/>
      <c r="JX113" s="65"/>
      <c r="JY113" s="65"/>
      <c r="JZ113" s="65"/>
      <c r="KA113" s="65"/>
      <c r="KB113" s="65"/>
      <c r="KC113" s="65"/>
      <c r="KD113" s="65"/>
      <c r="KE113" s="65"/>
      <c r="KF113" s="65"/>
      <c r="KG113" s="65"/>
      <c r="KH113" s="65"/>
      <c r="KI113" s="65"/>
      <c r="KJ113" s="65"/>
      <c r="KK113" s="65"/>
      <c r="KL113" s="65"/>
      <c r="KM113" s="65"/>
      <c r="KN113" s="65"/>
      <c r="KO113" s="65"/>
      <c r="KP113" s="65"/>
      <c r="KQ113" s="65"/>
      <c r="KR113" s="65"/>
      <c r="KS113" s="65"/>
      <c r="KT113" s="65"/>
      <c r="KU113" s="65"/>
      <c r="KV113" s="65"/>
      <c r="KW113" s="65"/>
      <c r="KX113" s="65"/>
      <c r="KY113" s="65"/>
      <c r="KZ113" s="65"/>
      <c r="LA113" s="65"/>
      <c r="LB113" s="65"/>
      <c r="LC113" s="65"/>
      <c r="LD113" s="65"/>
      <c r="LE113" s="65"/>
      <c r="LF113" s="65"/>
      <c r="LG113" s="65"/>
      <c r="LH113" s="65"/>
      <c r="LI113" s="65"/>
      <c r="LJ113" s="65"/>
      <c r="LK113" s="65"/>
      <c r="LL113" s="65"/>
      <c r="LM113" s="65"/>
      <c r="LN113" s="65"/>
      <c r="LO113" s="65"/>
      <c r="LP113" s="65"/>
      <c r="LQ113" s="65"/>
      <c r="LR113" s="65"/>
      <c r="LS113" s="65"/>
    </row>
    <row r="114" spans="1:331" s="18" customFormat="1" ht="18.75" customHeight="1">
      <c r="A114" s="51">
        <v>7</v>
      </c>
      <c r="B114" s="91" t="str">
        <f>NIK!$B$103</f>
        <v>9919120055</v>
      </c>
      <c r="C114" s="265" t="s">
        <v>1008</v>
      </c>
      <c r="D114" s="433" t="s">
        <v>1009</v>
      </c>
      <c r="E114" s="51" t="s">
        <v>344</v>
      </c>
      <c r="F114" s="56">
        <v>43801</v>
      </c>
      <c r="G114" s="56">
        <v>43801</v>
      </c>
      <c r="H114" s="58"/>
      <c r="I114" s="58"/>
      <c r="J114" s="57">
        <f t="shared" ref="J114:J120" ca="1" si="67">DATEDIF(F114,$A$3,"Y")</f>
        <v>1</v>
      </c>
      <c r="K114" s="57">
        <f t="shared" ref="K114:K120" ca="1" si="68">DATEDIF(F114,$A$3,"YM")</f>
        <v>1</v>
      </c>
      <c r="L114" s="58"/>
      <c r="M114" s="58"/>
      <c r="N114" s="142" t="s">
        <v>35</v>
      </c>
      <c r="O114" s="55" t="s">
        <v>36</v>
      </c>
      <c r="P114" s="51" t="s">
        <v>661</v>
      </c>
      <c r="Q114" s="56">
        <v>33482</v>
      </c>
      <c r="R114" s="77">
        <f t="shared" ref="R114:R119" ca="1" si="69">DATEDIF(Q114,$A$3,"Y")</f>
        <v>29</v>
      </c>
      <c r="S114" s="77">
        <f t="shared" ref="S114:S119" ca="1" si="70">DATEDIF(Q114,$A$3,"YM")</f>
        <v>4</v>
      </c>
      <c r="T114" s="51" t="s">
        <v>1010</v>
      </c>
      <c r="U114" s="51" t="s">
        <v>598</v>
      </c>
      <c r="V114" s="55" t="s">
        <v>44</v>
      </c>
      <c r="W114" s="55" t="s">
        <v>59</v>
      </c>
      <c r="X114" s="55"/>
      <c r="Y114" s="55"/>
      <c r="Z114" s="55"/>
      <c r="AA114" s="55"/>
      <c r="AB114" s="55"/>
      <c r="AC114" s="55"/>
      <c r="AD114" s="55"/>
      <c r="AE114" s="55"/>
      <c r="AF114" s="249"/>
      <c r="AG114" s="249"/>
      <c r="AH114" s="249"/>
      <c r="AI114" s="70" t="s">
        <v>1011</v>
      </c>
      <c r="AJ114" s="60" t="s">
        <v>1012</v>
      </c>
      <c r="AK114" s="60" t="s">
        <v>1012</v>
      </c>
      <c r="AL114" s="60"/>
      <c r="AM114" s="51"/>
      <c r="AN114" s="51"/>
      <c r="AO114" s="70" t="s">
        <v>376</v>
      </c>
      <c r="AP114" s="63" t="s">
        <v>1008</v>
      </c>
      <c r="AQ114" s="70" t="s">
        <v>1089</v>
      </c>
      <c r="AR114" s="51" t="s">
        <v>64</v>
      </c>
      <c r="AS114" s="51" t="s">
        <v>95</v>
      </c>
      <c r="AT114" s="87"/>
      <c r="CC114" s="65"/>
      <c r="CD114" s="65"/>
      <c r="CE114" s="65"/>
      <c r="CF114" s="65"/>
      <c r="CG114" s="65"/>
      <c r="CH114" s="65"/>
      <c r="CI114" s="65"/>
      <c r="CJ114" s="65"/>
      <c r="CK114" s="65"/>
      <c r="CL114" s="65"/>
      <c r="CM114" s="65"/>
      <c r="CN114" s="65"/>
      <c r="CO114" s="65"/>
      <c r="CP114" s="65"/>
      <c r="CQ114" s="65"/>
      <c r="CR114" s="65"/>
      <c r="CS114" s="65"/>
      <c r="CT114" s="65"/>
      <c r="CU114" s="65"/>
      <c r="CV114" s="65"/>
      <c r="CW114" s="65"/>
      <c r="CX114" s="65"/>
      <c r="CY114" s="65"/>
      <c r="CZ114" s="65"/>
      <c r="DA114" s="65"/>
      <c r="DB114" s="65"/>
      <c r="DC114" s="65"/>
      <c r="DD114" s="65"/>
      <c r="DE114" s="65"/>
      <c r="DF114" s="65"/>
      <c r="DG114" s="65"/>
      <c r="DH114" s="65"/>
      <c r="DI114" s="65"/>
      <c r="DJ114" s="65"/>
      <c r="DK114" s="65"/>
      <c r="DL114" s="65"/>
      <c r="DM114" s="65"/>
      <c r="DN114" s="65"/>
      <c r="DO114" s="65"/>
      <c r="DP114" s="65"/>
      <c r="DQ114" s="65"/>
      <c r="DR114" s="65"/>
      <c r="DS114" s="65"/>
      <c r="DT114" s="65"/>
      <c r="DU114" s="65"/>
      <c r="DV114" s="65"/>
      <c r="DW114" s="65"/>
      <c r="DX114" s="65"/>
      <c r="DY114" s="65"/>
      <c r="DZ114" s="65"/>
      <c r="EA114" s="65"/>
      <c r="EB114" s="65"/>
      <c r="EC114" s="65"/>
      <c r="ED114" s="65"/>
      <c r="EE114" s="65"/>
      <c r="EF114" s="65"/>
      <c r="EG114" s="65"/>
      <c r="EH114" s="65"/>
      <c r="EI114" s="65"/>
      <c r="EJ114" s="65"/>
      <c r="EK114" s="65"/>
      <c r="EL114" s="65"/>
      <c r="EM114" s="65"/>
      <c r="EN114" s="65"/>
      <c r="EO114" s="65"/>
      <c r="EP114" s="65"/>
      <c r="EQ114" s="65"/>
      <c r="ER114" s="65"/>
      <c r="ES114" s="65"/>
      <c r="ET114" s="65"/>
      <c r="EU114" s="65"/>
      <c r="EV114" s="65"/>
      <c r="EW114" s="65"/>
      <c r="EX114" s="65"/>
      <c r="EY114" s="65"/>
      <c r="EZ114" s="65"/>
      <c r="FA114" s="65"/>
      <c r="FB114" s="65"/>
      <c r="FC114" s="65"/>
      <c r="FD114" s="65"/>
      <c r="FE114" s="65"/>
      <c r="FF114" s="65"/>
      <c r="FG114" s="65"/>
      <c r="FH114" s="65"/>
      <c r="FI114" s="65"/>
      <c r="FJ114" s="65"/>
      <c r="FK114" s="65"/>
      <c r="FL114" s="65"/>
      <c r="FM114" s="65"/>
      <c r="FN114" s="65"/>
      <c r="FO114" s="65"/>
      <c r="FP114" s="65"/>
      <c r="FQ114" s="65"/>
      <c r="FR114" s="65"/>
      <c r="FS114" s="65"/>
      <c r="FT114" s="65"/>
      <c r="FU114" s="65"/>
      <c r="FV114" s="65"/>
      <c r="FW114" s="65"/>
      <c r="FX114" s="65"/>
      <c r="FY114" s="65"/>
      <c r="FZ114" s="65"/>
      <c r="GA114" s="65"/>
      <c r="GB114" s="65"/>
      <c r="GC114" s="65"/>
      <c r="GD114" s="65"/>
      <c r="GE114" s="65"/>
      <c r="GF114" s="65"/>
      <c r="GG114" s="65"/>
      <c r="GH114" s="65"/>
      <c r="GI114" s="65"/>
      <c r="GJ114" s="65"/>
      <c r="GK114" s="65"/>
      <c r="GL114" s="65"/>
      <c r="GM114" s="65"/>
      <c r="GN114" s="65"/>
      <c r="GO114" s="65"/>
      <c r="GP114" s="65"/>
      <c r="GQ114" s="65"/>
      <c r="GR114" s="65"/>
      <c r="GS114" s="65"/>
      <c r="GT114" s="65"/>
      <c r="GU114" s="65"/>
      <c r="GV114" s="65"/>
      <c r="GW114" s="65"/>
      <c r="GX114" s="65"/>
      <c r="GY114" s="65"/>
      <c r="GZ114" s="65"/>
      <c r="HA114" s="65"/>
      <c r="HB114" s="65"/>
      <c r="HC114" s="65"/>
      <c r="HD114" s="65"/>
      <c r="HE114" s="65"/>
      <c r="HF114" s="65"/>
      <c r="HG114" s="65"/>
      <c r="HH114" s="65"/>
      <c r="HI114" s="65"/>
      <c r="HJ114" s="65"/>
      <c r="HK114" s="65"/>
      <c r="HL114" s="65"/>
      <c r="HM114" s="65"/>
      <c r="HN114" s="65"/>
      <c r="HO114" s="65"/>
      <c r="HP114" s="65"/>
      <c r="HQ114" s="65"/>
      <c r="HR114" s="65"/>
      <c r="HS114" s="65"/>
      <c r="HT114" s="65"/>
      <c r="HU114" s="65"/>
      <c r="HV114" s="65"/>
      <c r="HW114" s="65"/>
      <c r="HX114" s="65"/>
      <c r="HY114" s="65"/>
      <c r="HZ114" s="65"/>
      <c r="IA114" s="65"/>
      <c r="IB114" s="65"/>
      <c r="IC114" s="65"/>
      <c r="ID114" s="65"/>
      <c r="IE114" s="65"/>
      <c r="IF114" s="65"/>
      <c r="IG114" s="65"/>
      <c r="IH114" s="65"/>
      <c r="II114" s="65"/>
      <c r="IJ114" s="65"/>
      <c r="IK114" s="65"/>
      <c r="IL114" s="65"/>
      <c r="IM114" s="65"/>
      <c r="IN114" s="65"/>
      <c r="IO114" s="65"/>
      <c r="IP114" s="65"/>
      <c r="IQ114" s="65"/>
      <c r="IR114" s="65"/>
      <c r="IS114" s="65"/>
      <c r="IT114" s="65"/>
      <c r="IU114" s="65"/>
      <c r="IV114" s="65"/>
      <c r="IW114" s="65"/>
      <c r="IX114" s="65"/>
      <c r="IY114" s="65"/>
      <c r="IZ114" s="65"/>
      <c r="JA114" s="65"/>
      <c r="JB114" s="65"/>
      <c r="JC114" s="65"/>
      <c r="JD114" s="65"/>
      <c r="JE114" s="65"/>
      <c r="JF114" s="65"/>
      <c r="JG114" s="65"/>
      <c r="JH114" s="65"/>
      <c r="JI114" s="65"/>
      <c r="JJ114" s="65"/>
      <c r="JK114" s="65"/>
      <c r="JL114" s="65"/>
      <c r="JM114" s="65"/>
      <c r="JN114" s="65"/>
      <c r="JO114" s="65"/>
      <c r="JP114" s="65"/>
      <c r="JQ114" s="65"/>
      <c r="JR114" s="65"/>
      <c r="JS114" s="65"/>
      <c r="JT114" s="65"/>
      <c r="JU114" s="65"/>
      <c r="JV114" s="65"/>
      <c r="JW114" s="65"/>
      <c r="JX114" s="65"/>
      <c r="JY114" s="65"/>
      <c r="JZ114" s="65"/>
      <c r="KA114" s="65"/>
      <c r="KB114" s="65"/>
      <c r="KC114" s="65"/>
      <c r="KD114" s="65"/>
      <c r="KE114" s="65"/>
      <c r="KF114" s="65"/>
      <c r="KG114" s="65"/>
      <c r="KH114" s="65"/>
      <c r="KI114" s="65"/>
      <c r="KJ114" s="65"/>
      <c r="KK114" s="65"/>
      <c r="KL114" s="65"/>
      <c r="KM114" s="65"/>
      <c r="KN114" s="65"/>
      <c r="KO114" s="65"/>
      <c r="KP114" s="65"/>
      <c r="KQ114" s="65"/>
      <c r="KR114" s="65"/>
      <c r="KS114" s="65"/>
      <c r="KT114" s="65"/>
      <c r="KU114" s="65"/>
      <c r="KV114" s="65"/>
      <c r="KW114" s="65"/>
      <c r="KX114" s="65"/>
      <c r="KY114" s="65"/>
      <c r="KZ114" s="65"/>
      <c r="LA114" s="65"/>
      <c r="LB114" s="65"/>
      <c r="LC114" s="65"/>
      <c r="LD114" s="65"/>
      <c r="LE114" s="65"/>
      <c r="LF114" s="65"/>
      <c r="LG114" s="65"/>
      <c r="LH114" s="65"/>
      <c r="LI114" s="65"/>
      <c r="LJ114" s="65"/>
      <c r="LK114" s="65"/>
      <c r="LL114" s="65"/>
      <c r="LM114" s="65"/>
      <c r="LN114" s="65"/>
      <c r="LO114" s="65"/>
      <c r="LP114" s="65"/>
      <c r="LQ114" s="65"/>
      <c r="LR114" s="65"/>
      <c r="LS114" s="65"/>
    </row>
    <row r="115" spans="1:331" s="18" customFormat="1" ht="18.75" customHeight="1">
      <c r="A115" s="51">
        <v>8</v>
      </c>
      <c r="B115" s="91" t="str">
        <f>NIK!$B$104</f>
        <v>9919120056</v>
      </c>
      <c r="C115" s="265" t="s">
        <v>1013</v>
      </c>
      <c r="D115" s="433" t="s">
        <v>1009</v>
      </c>
      <c r="E115" s="51" t="s">
        <v>344</v>
      </c>
      <c r="F115" s="56">
        <v>43801</v>
      </c>
      <c r="G115" s="56">
        <v>43801</v>
      </c>
      <c r="H115" s="58"/>
      <c r="I115" s="58"/>
      <c r="J115" s="57">
        <f t="shared" ca="1" si="67"/>
        <v>1</v>
      </c>
      <c r="K115" s="57">
        <f t="shared" ca="1" si="68"/>
        <v>1</v>
      </c>
      <c r="L115" s="58"/>
      <c r="M115" s="58"/>
      <c r="N115" s="142" t="s">
        <v>76</v>
      </c>
      <c r="O115" s="55" t="s">
        <v>36</v>
      </c>
      <c r="P115" s="51" t="s">
        <v>41</v>
      </c>
      <c r="Q115" s="56">
        <v>33979</v>
      </c>
      <c r="R115" s="77">
        <f t="shared" ca="1" si="69"/>
        <v>27</v>
      </c>
      <c r="S115" s="77">
        <f t="shared" ca="1" si="70"/>
        <v>11</v>
      </c>
      <c r="T115" s="51" t="s">
        <v>57</v>
      </c>
      <c r="U115" s="51" t="s">
        <v>848</v>
      </c>
      <c r="V115" s="55" t="s">
        <v>105</v>
      </c>
      <c r="W115" s="55" t="s">
        <v>59</v>
      </c>
      <c r="X115" s="55"/>
      <c r="Y115" s="55"/>
      <c r="Z115" s="55"/>
      <c r="AA115" s="55"/>
      <c r="AB115" s="55"/>
      <c r="AC115" s="55"/>
      <c r="AD115" s="55"/>
      <c r="AE115" s="55"/>
      <c r="AF115" s="249"/>
      <c r="AG115" s="249"/>
      <c r="AH115" s="249"/>
      <c r="AI115" s="70" t="s">
        <v>1014</v>
      </c>
      <c r="AJ115" s="60" t="s">
        <v>1015</v>
      </c>
      <c r="AK115" s="60" t="s">
        <v>1015</v>
      </c>
      <c r="AL115" s="60"/>
      <c r="AM115" s="51"/>
      <c r="AN115" s="51"/>
      <c r="AO115" s="70" t="s">
        <v>1016</v>
      </c>
      <c r="AP115" s="63" t="s">
        <v>1013</v>
      </c>
      <c r="AQ115" s="70" t="s">
        <v>1091</v>
      </c>
      <c r="AR115" s="51" t="s">
        <v>64</v>
      </c>
      <c r="AS115" s="51" t="s">
        <v>95</v>
      </c>
      <c r="AT115" s="87"/>
      <c r="CC115" s="65"/>
      <c r="CD115" s="65"/>
      <c r="CE115" s="65"/>
      <c r="CF115" s="65"/>
      <c r="CG115" s="65"/>
      <c r="CH115" s="65"/>
      <c r="CI115" s="65"/>
      <c r="CJ115" s="65"/>
      <c r="CK115" s="65"/>
      <c r="CL115" s="65"/>
      <c r="CM115" s="65"/>
      <c r="CN115" s="65"/>
      <c r="CO115" s="65"/>
      <c r="CP115" s="65"/>
      <c r="CQ115" s="65"/>
      <c r="CR115" s="65"/>
      <c r="CS115" s="65"/>
      <c r="CT115" s="65"/>
      <c r="CU115" s="65"/>
      <c r="CV115" s="65"/>
      <c r="CW115" s="65"/>
      <c r="CX115" s="65"/>
      <c r="CY115" s="65"/>
      <c r="CZ115" s="65"/>
      <c r="DA115" s="65"/>
      <c r="DB115" s="65"/>
      <c r="DC115" s="65"/>
      <c r="DD115" s="65"/>
      <c r="DE115" s="65"/>
      <c r="DF115" s="65"/>
      <c r="DG115" s="65"/>
      <c r="DH115" s="65"/>
      <c r="DI115" s="65"/>
      <c r="DJ115" s="65"/>
      <c r="DK115" s="65"/>
      <c r="DL115" s="65"/>
      <c r="DM115" s="65"/>
      <c r="DN115" s="65"/>
      <c r="DO115" s="65"/>
      <c r="DP115" s="65"/>
      <c r="DQ115" s="65"/>
      <c r="DR115" s="65"/>
      <c r="DS115" s="65"/>
      <c r="DT115" s="65"/>
      <c r="DU115" s="65"/>
      <c r="DV115" s="65"/>
      <c r="DW115" s="65"/>
      <c r="DX115" s="65"/>
      <c r="DY115" s="65"/>
      <c r="DZ115" s="65"/>
      <c r="EA115" s="65"/>
      <c r="EB115" s="65"/>
      <c r="EC115" s="65"/>
      <c r="ED115" s="65"/>
      <c r="EE115" s="65"/>
      <c r="EF115" s="65"/>
      <c r="EG115" s="65"/>
      <c r="EH115" s="65"/>
      <c r="EI115" s="65"/>
      <c r="EJ115" s="65"/>
      <c r="EK115" s="65"/>
      <c r="EL115" s="65"/>
      <c r="EM115" s="65"/>
      <c r="EN115" s="65"/>
      <c r="EO115" s="65"/>
      <c r="EP115" s="65"/>
      <c r="EQ115" s="65"/>
      <c r="ER115" s="65"/>
      <c r="ES115" s="65"/>
      <c r="ET115" s="65"/>
      <c r="EU115" s="65"/>
      <c r="EV115" s="65"/>
      <c r="EW115" s="65"/>
      <c r="EX115" s="65"/>
      <c r="EY115" s="65"/>
      <c r="EZ115" s="65"/>
      <c r="FA115" s="65"/>
      <c r="FB115" s="65"/>
      <c r="FC115" s="65"/>
      <c r="FD115" s="65"/>
      <c r="FE115" s="65"/>
      <c r="FF115" s="65"/>
      <c r="FG115" s="65"/>
      <c r="FH115" s="65"/>
      <c r="FI115" s="65"/>
      <c r="FJ115" s="65"/>
      <c r="FK115" s="65"/>
      <c r="FL115" s="65"/>
      <c r="FM115" s="65"/>
      <c r="FN115" s="65"/>
      <c r="FO115" s="65"/>
      <c r="FP115" s="65"/>
      <c r="FQ115" s="65"/>
      <c r="FR115" s="65"/>
      <c r="FS115" s="65"/>
      <c r="FT115" s="65"/>
      <c r="FU115" s="65"/>
      <c r="FV115" s="65"/>
      <c r="FW115" s="65"/>
      <c r="FX115" s="65"/>
      <c r="FY115" s="65"/>
      <c r="FZ115" s="65"/>
      <c r="GA115" s="65"/>
      <c r="GB115" s="65"/>
      <c r="GC115" s="65"/>
      <c r="GD115" s="65"/>
      <c r="GE115" s="65"/>
      <c r="GF115" s="65"/>
      <c r="GG115" s="65"/>
      <c r="GH115" s="65"/>
      <c r="GI115" s="65"/>
      <c r="GJ115" s="65"/>
      <c r="GK115" s="65"/>
      <c r="GL115" s="65"/>
      <c r="GM115" s="65"/>
      <c r="GN115" s="65"/>
      <c r="GO115" s="65"/>
      <c r="GP115" s="65"/>
      <c r="GQ115" s="65"/>
      <c r="GR115" s="65"/>
      <c r="GS115" s="65"/>
      <c r="GT115" s="65"/>
      <c r="GU115" s="65"/>
      <c r="GV115" s="65"/>
      <c r="GW115" s="65"/>
      <c r="GX115" s="65"/>
      <c r="GY115" s="65"/>
      <c r="GZ115" s="65"/>
      <c r="HA115" s="65"/>
      <c r="HB115" s="65"/>
      <c r="HC115" s="65"/>
      <c r="HD115" s="65"/>
      <c r="HE115" s="65"/>
      <c r="HF115" s="65"/>
      <c r="HG115" s="65"/>
      <c r="HH115" s="65"/>
      <c r="HI115" s="65"/>
      <c r="HJ115" s="65"/>
      <c r="HK115" s="65"/>
      <c r="HL115" s="65"/>
      <c r="HM115" s="65"/>
      <c r="HN115" s="65"/>
      <c r="HO115" s="65"/>
      <c r="HP115" s="65"/>
      <c r="HQ115" s="65"/>
      <c r="HR115" s="65"/>
      <c r="HS115" s="65"/>
      <c r="HT115" s="65"/>
      <c r="HU115" s="65"/>
      <c r="HV115" s="65"/>
      <c r="HW115" s="65"/>
      <c r="HX115" s="65"/>
      <c r="HY115" s="65"/>
      <c r="HZ115" s="65"/>
      <c r="IA115" s="65"/>
      <c r="IB115" s="65"/>
      <c r="IC115" s="65"/>
      <c r="ID115" s="65"/>
      <c r="IE115" s="65"/>
      <c r="IF115" s="65"/>
      <c r="IG115" s="65"/>
      <c r="IH115" s="65"/>
      <c r="II115" s="65"/>
      <c r="IJ115" s="65"/>
      <c r="IK115" s="65"/>
      <c r="IL115" s="65"/>
      <c r="IM115" s="65"/>
      <c r="IN115" s="65"/>
      <c r="IO115" s="65"/>
      <c r="IP115" s="65"/>
      <c r="IQ115" s="65"/>
      <c r="IR115" s="65"/>
      <c r="IS115" s="65"/>
      <c r="IT115" s="65"/>
      <c r="IU115" s="65"/>
      <c r="IV115" s="65"/>
      <c r="IW115" s="65"/>
      <c r="IX115" s="65"/>
      <c r="IY115" s="65"/>
      <c r="IZ115" s="65"/>
      <c r="JA115" s="65"/>
      <c r="JB115" s="65"/>
      <c r="JC115" s="65"/>
      <c r="JD115" s="65"/>
      <c r="JE115" s="65"/>
      <c r="JF115" s="65"/>
      <c r="JG115" s="65"/>
      <c r="JH115" s="65"/>
      <c r="JI115" s="65"/>
      <c r="JJ115" s="65"/>
      <c r="JK115" s="65"/>
      <c r="JL115" s="65"/>
      <c r="JM115" s="65"/>
      <c r="JN115" s="65"/>
      <c r="JO115" s="65"/>
      <c r="JP115" s="65"/>
      <c r="JQ115" s="65"/>
      <c r="JR115" s="65"/>
      <c r="JS115" s="65"/>
      <c r="JT115" s="65"/>
      <c r="JU115" s="65"/>
      <c r="JV115" s="65"/>
      <c r="JW115" s="65"/>
      <c r="JX115" s="65"/>
      <c r="JY115" s="65"/>
      <c r="JZ115" s="65"/>
      <c r="KA115" s="65"/>
      <c r="KB115" s="65"/>
      <c r="KC115" s="65"/>
      <c r="KD115" s="65"/>
      <c r="KE115" s="65"/>
      <c r="KF115" s="65"/>
      <c r="KG115" s="65"/>
      <c r="KH115" s="65"/>
      <c r="KI115" s="65"/>
      <c r="KJ115" s="65"/>
      <c r="KK115" s="65"/>
      <c r="KL115" s="65"/>
      <c r="KM115" s="65"/>
      <c r="KN115" s="65"/>
      <c r="KO115" s="65"/>
      <c r="KP115" s="65"/>
      <c r="KQ115" s="65"/>
      <c r="KR115" s="65"/>
      <c r="KS115" s="65"/>
      <c r="KT115" s="65"/>
      <c r="KU115" s="65"/>
      <c r="KV115" s="65"/>
      <c r="KW115" s="65"/>
      <c r="KX115" s="65"/>
      <c r="KY115" s="65"/>
      <c r="KZ115" s="65"/>
      <c r="LA115" s="65"/>
      <c r="LB115" s="65"/>
      <c r="LC115" s="65"/>
      <c r="LD115" s="65"/>
      <c r="LE115" s="65"/>
      <c r="LF115" s="65"/>
      <c r="LG115" s="65"/>
      <c r="LH115" s="65"/>
      <c r="LI115" s="65"/>
      <c r="LJ115" s="65"/>
      <c r="LK115" s="65"/>
      <c r="LL115" s="65"/>
      <c r="LM115" s="65"/>
      <c r="LN115" s="65"/>
      <c r="LO115" s="65"/>
      <c r="LP115" s="65"/>
      <c r="LQ115" s="65"/>
      <c r="LR115" s="65"/>
      <c r="LS115" s="65"/>
    </row>
    <row r="116" spans="1:331" s="65" customFormat="1" ht="18.75" customHeight="1">
      <c r="A116" s="51">
        <v>9</v>
      </c>
      <c r="B116" s="51" t="s">
        <v>419</v>
      </c>
      <c r="C116" s="53" t="s">
        <v>412</v>
      </c>
      <c r="D116" s="433" t="s">
        <v>99</v>
      </c>
      <c r="E116" s="55" t="s">
        <v>344</v>
      </c>
      <c r="F116" s="56">
        <v>43362</v>
      </c>
      <c r="G116" s="143">
        <v>43362</v>
      </c>
      <c r="H116" s="56"/>
      <c r="I116" s="56"/>
      <c r="J116" s="57">
        <f t="shared" ca="1" si="67"/>
        <v>2</v>
      </c>
      <c r="K116" s="57">
        <f t="shared" ca="1" si="68"/>
        <v>3</v>
      </c>
      <c r="L116" s="58"/>
      <c r="M116" s="58"/>
      <c r="N116" s="55" t="s">
        <v>76</v>
      </c>
      <c r="O116" s="55" t="s">
        <v>36</v>
      </c>
      <c r="P116" s="55" t="s">
        <v>41</v>
      </c>
      <c r="Q116" s="56">
        <v>34925</v>
      </c>
      <c r="R116" s="77">
        <f t="shared" ca="1" si="69"/>
        <v>25</v>
      </c>
      <c r="S116" s="77">
        <f t="shared" ca="1" si="70"/>
        <v>4</v>
      </c>
      <c r="T116" s="51" t="s">
        <v>130</v>
      </c>
      <c r="U116" s="51" t="s">
        <v>413</v>
      </c>
      <c r="V116" s="55" t="s">
        <v>48</v>
      </c>
      <c r="W116" s="55" t="s">
        <v>59</v>
      </c>
      <c r="X116" s="55" t="s">
        <v>48</v>
      </c>
      <c r="Y116" s="55" t="s">
        <v>48</v>
      </c>
      <c r="Z116" s="55" t="s">
        <v>48</v>
      </c>
      <c r="AA116" s="55" t="s">
        <v>48</v>
      </c>
      <c r="AB116" s="55" t="s">
        <v>48</v>
      </c>
      <c r="AC116" s="55" t="s">
        <v>48</v>
      </c>
      <c r="AD116" s="55" t="s">
        <v>48</v>
      </c>
      <c r="AE116" s="57"/>
      <c r="AF116" s="71"/>
      <c r="AG116" s="71"/>
      <c r="AH116" s="71"/>
      <c r="AI116" s="63" t="s">
        <v>414</v>
      </c>
      <c r="AJ116" s="60" t="s">
        <v>415</v>
      </c>
      <c r="AK116" s="60" t="s">
        <v>415</v>
      </c>
      <c r="AL116" s="60"/>
      <c r="AM116" s="51"/>
      <c r="AN116" s="51" t="s">
        <v>48</v>
      </c>
      <c r="AO116" s="70" t="s">
        <v>416</v>
      </c>
      <c r="AP116" s="150" t="s">
        <v>412</v>
      </c>
      <c r="AQ116" s="57" t="s">
        <v>641</v>
      </c>
      <c r="AR116" s="51" t="s">
        <v>64</v>
      </c>
      <c r="AS116" s="55" t="s">
        <v>95</v>
      </c>
      <c r="AT116" s="237" t="s">
        <v>417</v>
      </c>
    </row>
    <row r="117" spans="1:331" s="65" customFormat="1" ht="20.25" customHeight="1">
      <c r="A117" s="51">
        <v>10</v>
      </c>
      <c r="B117" s="91" t="str">
        <f>NIK!$B$72</f>
        <v>9919060024</v>
      </c>
      <c r="C117" s="116" t="s">
        <v>678</v>
      </c>
      <c r="D117" s="433" t="s">
        <v>1043</v>
      </c>
      <c r="E117" s="51" t="s">
        <v>344</v>
      </c>
      <c r="F117" s="58">
        <v>43637</v>
      </c>
      <c r="G117" s="58">
        <v>43637</v>
      </c>
      <c r="H117" s="58"/>
      <c r="I117" s="58"/>
      <c r="J117" s="57">
        <f t="shared" ca="1" si="67"/>
        <v>1</v>
      </c>
      <c r="K117" s="57">
        <f t="shared" ca="1" si="68"/>
        <v>6</v>
      </c>
      <c r="L117" s="58"/>
      <c r="M117" s="58"/>
      <c r="N117" s="51" t="s">
        <v>76</v>
      </c>
      <c r="O117" s="55" t="s">
        <v>36</v>
      </c>
      <c r="P117" s="55" t="s">
        <v>41</v>
      </c>
      <c r="Q117" s="56">
        <v>35179</v>
      </c>
      <c r="R117" s="190">
        <f t="shared" ca="1" si="69"/>
        <v>24</v>
      </c>
      <c r="S117" s="131">
        <f t="shared" ca="1" si="70"/>
        <v>8</v>
      </c>
      <c r="T117" s="51" t="s">
        <v>68</v>
      </c>
      <c r="U117" s="51" t="s">
        <v>48</v>
      </c>
      <c r="V117" s="51" t="s">
        <v>44</v>
      </c>
      <c r="W117" s="55" t="s">
        <v>45</v>
      </c>
      <c r="X117" s="51" t="s">
        <v>679</v>
      </c>
      <c r="Y117" s="58">
        <v>35214</v>
      </c>
      <c r="Z117" s="51" t="s">
        <v>680</v>
      </c>
      <c r="AA117" s="58">
        <v>43317</v>
      </c>
      <c r="AB117" s="77">
        <f ca="1">DATEDIF(AA117,$A$3,"Y")</f>
        <v>2</v>
      </c>
      <c r="AC117" s="55" t="s">
        <v>48</v>
      </c>
      <c r="AD117" s="55" t="s">
        <v>48</v>
      </c>
      <c r="AE117" s="55" t="s">
        <v>48</v>
      </c>
      <c r="AF117" s="55" t="s">
        <v>48</v>
      </c>
      <c r="AG117" s="55" t="s">
        <v>48</v>
      </c>
      <c r="AH117" s="55" t="s">
        <v>48</v>
      </c>
      <c r="AI117" s="70" t="s">
        <v>681</v>
      </c>
      <c r="AJ117" s="60" t="s">
        <v>682</v>
      </c>
      <c r="AK117" s="60" t="s">
        <v>682</v>
      </c>
      <c r="AL117" s="60"/>
      <c r="AM117" s="51"/>
      <c r="AN117" s="51"/>
      <c r="AO117" s="70" t="s">
        <v>683</v>
      </c>
      <c r="AP117" s="228" t="s">
        <v>678</v>
      </c>
      <c r="AQ117" s="57" t="s">
        <v>684</v>
      </c>
      <c r="AR117" s="51" t="s">
        <v>64</v>
      </c>
      <c r="AS117" s="55" t="s">
        <v>95</v>
      </c>
      <c r="AT117" s="242"/>
    </row>
    <row r="118" spans="1:331" s="65" customFormat="1" ht="20.25" customHeight="1">
      <c r="A118" s="51">
        <v>11</v>
      </c>
      <c r="B118" s="91" t="str">
        <f>NIK!$B$109</f>
        <v>9919120061</v>
      </c>
      <c r="C118" s="134" t="s">
        <v>1046</v>
      </c>
      <c r="D118" s="433" t="s">
        <v>821</v>
      </c>
      <c r="E118" s="51" t="s">
        <v>344</v>
      </c>
      <c r="F118" s="58">
        <v>43811</v>
      </c>
      <c r="G118" s="58">
        <v>43811</v>
      </c>
      <c r="H118" s="58"/>
      <c r="I118" s="58"/>
      <c r="J118" s="57">
        <f t="shared" ca="1" si="67"/>
        <v>1</v>
      </c>
      <c r="K118" s="57">
        <f t="shared" ca="1" si="68"/>
        <v>0</v>
      </c>
      <c r="L118" s="58"/>
      <c r="M118" s="58"/>
      <c r="N118" s="51" t="s">
        <v>35</v>
      </c>
      <c r="O118" s="51" t="s">
        <v>36</v>
      </c>
      <c r="P118" s="51" t="s">
        <v>41</v>
      </c>
      <c r="Q118" s="58">
        <v>35537</v>
      </c>
      <c r="R118" s="190">
        <f t="shared" ca="1" si="69"/>
        <v>23</v>
      </c>
      <c r="S118" s="131">
        <f t="shared" ca="1" si="70"/>
        <v>8</v>
      </c>
      <c r="T118" s="51" t="s">
        <v>68</v>
      </c>
      <c r="U118" s="51" t="s">
        <v>364</v>
      </c>
      <c r="V118" s="51"/>
      <c r="W118" s="55" t="s">
        <v>59</v>
      </c>
      <c r="X118" s="51"/>
      <c r="Y118" s="58"/>
      <c r="Z118" s="51"/>
      <c r="AA118" s="58"/>
      <c r="AB118" s="77"/>
      <c r="AC118" s="51"/>
      <c r="AD118" s="51"/>
      <c r="AE118" s="51"/>
      <c r="AF118" s="51"/>
      <c r="AG118" s="51"/>
      <c r="AH118" s="51"/>
      <c r="AI118" s="70" t="s">
        <v>1055</v>
      </c>
      <c r="AJ118" s="60" t="s">
        <v>1056</v>
      </c>
      <c r="AK118" s="60" t="s">
        <v>1056</v>
      </c>
      <c r="AL118" s="60"/>
      <c r="AM118" s="51"/>
      <c r="AN118" s="51"/>
      <c r="AO118" s="70" t="s">
        <v>1057</v>
      </c>
      <c r="AP118" s="308" t="s">
        <v>1046</v>
      </c>
      <c r="AQ118" s="314" t="s">
        <v>1088</v>
      </c>
      <c r="AR118" s="51" t="s">
        <v>64</v>
      </c>
      <c r="AS118" s="51" t="s">
        <v>95</v>
      </c>
      <c r="AT118" s="242"/>
    </row>
    <row r="119" spans="1:331" s="65" customFormat="1" ht="20.25" customHeight="1">
      <c r="A119" s="51">
        <v>12</v>
      </c>
      <c r="B119" s="91" t="str">
        <f>NIK!$B$115</f>
        <v>9919120067</v>
      </c>
      <c r="C119" s="134" t="s">
        <v>1078</v>
      </c>
      <c r="D119" s="433" t="s">
        <v>113</v>
      </c>
      <c r="E119" s="51" t="s">
        <v>344</v>
      </c>
      <c r="F119" s="58">
        <v>43815</v>
      </c>
      <c r="G119" s="58">
        <v>43815</v>
      </c>
      <c r="H119" s="58"/>
      <c r="I119" s="58"/>
      <c r="J119" s="57">
        <f t="shared" ca="1" si="67"/>
        <v>1</v>
      </c>
      <c r="K119" s="57">
        <f t="shared" ca="1" si="68"/>
        <v>0</v>
      </c>
      <c r="L119" s="58"/>
      <c r="M119" s="58"/>
      <c r="N119" s="51" t="s">
        <v>35</v>
      </c>
      <c r="O119" s="51" t="s">
        <v>36</v>
      </c>
      <c r="P119" s="51" t="s">
        <v>41</v>
      </c>
      <c r="Q119" s="58">
        <v>33088</v>
      </c>
      <c r="R119" s="190">
        <f t="shared" ca="1" si="69"/>
        <v>30</v>
      </c>
      <c r="S119" s="131">
        <f t="shared" ca="1" si="70"/>
        <v>5</v>
      </c>
      <c r="T119" s="51" t="s">
        <v>1079</v>
      </c>
      <c r="U119" s="51"/>
      <c r="V119" s="51"/>
      <c r="W119" s="51" t="s">
        <v>59</v>
      </c>
      <c r="X119" s="51"/>
      <c r="Y119" s="58"/>
      <c r="Z119" s="51"/>
      <c r="AA119" s="58"/>
      <c r="AB119" s="77"/>
      <c r="AC119" s="51"/>
      <c r="AD119" s="51"/>
      <c r="AE119" s="51"/>
      <c r="AF119" s="51"/>
      <c r="AG119" s="51"/>
      <c r="AH119" s="51"/>
      <c r="AI119" s="70" t="s">
        <v>1080</v>
      </c>
      <c r="AJ119" s="60" t="s">
        <v>1081</v>
      </c>
      <c r="AK119" s="60" t="s">
        <v>1081</v>
      </c>
      <c r="AL119" s="60"/>
      <c r="AM119" s="51"/>
      <c r="AN119" s="51"/>
      <c r="AO119" s="70" t="s">
        <v>1082</v>
      </c>
      <c r="AP119" s="308" t="s">
        <v>1078</v>
      </c>
      <c r="AQ119" s="314" t="s">
        <v>1095</v>
      </c>
      <c r="AR119" s="51" t="s">
        <v>64</v>
      </c>
      <c r="AS119" s="51" t="s">
        <v>95</v>
      </c>
      <c r="AT119" s="242"/>
    </row>
    <row r="120" spans="1:331" s="65" customFormat="1" ht="20.25" customHeight="1">
      <c r="A120" s="51">
        <v>13</v>
      </c>
      <c r="B120" s="227" t="str">
        <f>NIK!$B$130</f>
        <v>9919120087</v>
      </c>
      <c r="C120" s="134" t="s">
        <v>1173</v>
      </c>
      <c r="D120" s="433" t="s">
        <v>1161</v>
      </c>
      <c r="E120" s="51" t="s">
        <v>344</v>
      </c>
      <c r="F120" s="58">
        <v>43823</v>
      </c>
      <c r="G120" s="58">
        <v>43823</v>
      </c>
      <c r="H120" s="58"/>
      <c r="I120" s="58"/>
      <c r="J120" s="57">
        <f t="shared" ca="1" si="67"/>
        <v>1</v>
      </c>
      <c r="K120" s="57">
        <f t="shared" ca="1" si="68"/>
        <v>0</v>
      </c>
      <c r="L120" s="58"/>
      <c r="M120" s="58"/>
      <c r="N120" s="51" t="s">
        <v>35</v>
      </c>
      <c r="O120" s="51" t="s">
        <v>36</v>
      </c>
      <c r="P120" s="51" t="s">
        <v>41</v>
      </c>
      <c r="Q120" s="58"/>
      <c r="R120" s="131"/>
      <c r="S120" s="131"/>
      <c r="T120" s="51"/>
      <c r="U120" s="51"/>
      <c r="V120" s="51"/>
      <c r="W120" s="51"/>
      <c r="X120" s="51"/>
      <c r="Y120" s="58"/>
      <c r="Z120" s="51"/>
      <c r="AA120" s="58"/>
      <c r="AB120" s="77"/>
      <c r="AC120" s="51"/>
      <c r="AD120" s="51"/>
      <c r="AE120" s="51"/>
      <c r="AF120" s="51"/>
      <c r="AG120" s="51"/>
      <c r="AH120" s="51"/>
      <c r="AI120" s="70"/>
      <c r="AJ120" s="60"/>
      <c r="AK120" s="60"/>
      <c r="AL120" s="60"/>
      <c r="AM120" s="51"/>
      <c r="AN120" s="51"/>
      <c r="AO120" s="70"/>
      <c r="AP120" s="228"/>
      <c r="AQ120" s="57"/>
      <c r="AR120" s="51"/>
      <c r="AS120" s="51"/>
      <c r="AT120" s="242"/>
    </row>
    <row r="121" spans="1:331" s="65" customFormat="1" ht="18.75" customHeight="1">
      <c r="A121" s="774" t="s">
        <v>381</v>
      </c>
      <c r="B121" s="775"/>
      <c r="C121" s="129"/>
      <c r="D121" s="129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9"/>
      <c r="Q121" s="128"/>
      <c r="R121" s="128"/>
      <c r="S121" s="128"/>
      <c r="T121" s="128"/>
      <c r="U121" s="129"/>
      <c r="V121" s="128"/>
      <c r="W121" s="128"/>
      <c r="X121" s="129"/>
      <c r="Y121" s="128"/>
      <c r="Z121" s="129"/>
      <c r="AA121" s="128"/>
      <c r="AB121" s="128"/>
      <c r="AC121" s="128"/>
      <c r="AD121" s="128"/>
      <c r="AE121" s="128"/>
      <c r="AF121" s="128"/>
      <c r="AG121" s="128"/>
      <c r="AH121" s="128"/>
      <c r="AI121" s="128"/>
      <c r="AJ121" s="128"/>
      <c r="AK121" s="128"/>
      <c r="AL121" s="128"/>
      <c r="AM121" s="129"/>
      <c r="AN121" s="129"/>
      <c r="AO121" s="129"/>
      <c r="AP121" s="129"/>
      <c r="AQ121" s="129"/>
      <c r="AR121" s="129"/>
      <c r="AS121" s="129"/>
      <c r="AT121" s="130"/>
    </row>
    <row r="122" spans="1:331" s="65" customFormat="1" ht="18.75" customHeight="1">
      <c r="A122" s="51">
        <v>1</v>
      </c>
      <c r="B122" s="51" t="s">
        <v>316</v>
      </c>
      <c r="C122" s="53" t="s">
        <v>103</v>
      </c>
      <c r="D122" s="433" t="s">
        <v>89</v>
      </c>
      <c r="E122" s="105" t="s">
        <v>379</v>
      </c>
      <c r="F122" s="56">
        <v>43202</v>
      </c>
      <c r="G122" s="56"/>
      <c r="H122" s="56"/>
      <c r="I122" s="56"/>
      <c r="J122" s="57">
        <f t="shared" ref="J122:J126" ca="1" si="71">DATEDIF(F122,$A$3,"Y")</f>
        <v>2</v>
      </c>
      <c r="K122" s="57">
        <f t="shared" ref="K122:K126" ca="1" si="72">DATEDIF(F122,$A$3,"YM")</f>
        <v>8</v>
      </c>
      <c r="L122" s="58"/>
      <c r="M122" s="58"/>
      <c r="N122" s="55" t="s">
        <v>76</v>
      </c>
      <c r="O122" s="55" t="s">
        <v>36</v>
      </c>
      <c r="P122" s="55" t="s">
        <v>41</v>
      </c>
      <c r="Q122" s="56">
        <v>36136</v>
      </c>
      <c r="R122" s="77">
        <f ca="1">DATEDIF(Q122,$A$3,"Y")</f>
        <v>22</v>
      </c>
      <c r="S122" s="77">
        <f ca="1">DATEDIF(Q122,$A$3,"YM")</f>
        <v>0</v>
      </c>
      <c r="T122" s="51" t="s">
        <v>68</v>
      </c>
      <c r="U122" s="51" t="s">
        <v>104</v>
      </c>
      <c r="V122" s="55" t="s">
        <v>105</v>
      </c>
      <c r="W122" s="55" t="s">
        <v>59</v>
      </c>
      <c r="X122" s="51"/>
      <c r="Y122" s="58"/>
      <c r="Z122" s="51"/>
      <c r="AA122" s="58"/>
      <c r="AB122" s="57"/>
      <c r="AC122" s="62"/>
      <c r="AD122" s="71"/>
      <c r="AE122" s="57"/>
      <c r="AF122" s="71"/>
      <c r="AG122" s="71"/>
      <c r="AH122" s="71"/>
      <c r="AI122" s="63" t="s">
        <v>106</v>
      </c>
      <c r="AJ122" s="60" t="s">
        <v>107</v>
      </c>
      <c r="AK122" s="60" t="s">
        <v>107</v>
      </c>
      <c r="AL122" s="60"/>
      <c r="AM122" s="51"/>
      <c r="AN122" s="51" t="s">
        <v>48</v>
      </c>
      <c r="AO122" s="63" t="s">
        <v>108</v>
      </c>
      <c r="AP122" s="63" t="s">
        <v>103</v>
      </c>
      <c r="AQ122" s="57"/>
      <c r="AR122" s="51" t="s">
        <v>64</v>
      </c>
      <c r="AS122" s="51" t="s">
        <v>41</v>
      </c>
      <c r="AT122" s="88" t="s">
        <v>48</v>
      </c>
    </row>
    <row r="123" spans="1:331" s="65" customFormat="1" ht="18.75" customHeight="1">
      <c r="A123" s="51">
        <v>2</v>
      </c>
      <c r="B123" s="51" t="s">
        <v>317</v>
      </c>
      <c r="C123" s="53" t="s">
        <v>80</v>
      </c>
      <c r="D123" s="433" t="s">
        <v>81</v>
      </c>
      <c r="E123" s="105" t="s">
        <v>388</v>
      </c>
      <c r="F123" s="56">
        <v>43202</v>
      </c>
      <c r="G123" s="56"/>
      <c r="H123" s="56"/>
      <c r="I123" s="56"/>
      <c r="J123" s="57">
        <f t="shared" ca="1" si="71"/>
        <v>2</v>
      </c>
      <c r="K123" s="57">
        <f t="shared" ca="1" si="72"/>
        <v>8</v>
      </c>
      <c r="L123" s="58"/>
      <c r="M123" s="58"/>
      <c r="N123" s="55" t="s">
        <v>76</v>
      </c>
      <c r="O123" s="55" t="s">
        <v>36</v>
      </c>
      <c r="P123" s="55" t="s">
        <v>41</v>
      </c>
      <c r="Q123" s="56">
        <v>32998</v>
      </c>
      <c r="R123" s="77">
        <f ca="1">DATEDIF(Q123,$A$3,"Y")</f>
        <v>30</v>
      </c>
      <c r="S123" s="77">
        <f ca="1">DATEDIF(Q123,$A$3,"YM")</f>
        <v>8</v>
      </c>
      <c r="T123" s="51" t="s">
        <v>82</v>
      </c>
      <c r="U123" s="51" t="s">
        <v>48</v>
      </c>
      <c r="V123" s="55" t="s">
        <v>44</v>
      </c>
      <c r="W123" s="55" t="s">
        <v>59</v>
      </c>
      <c r="X123" s="51"/>
      <c r="Y123" s="58"/>
      <c r="Z123" s="51"/>
      <c r="AA123" s="58"/>
      <c r="AB123" s="57"/>
      <c r="AC123" s="60"/>
      <c r="AD123" s="61"/>
      <c r="AE123" s="57"/>
      <c r="AF123" s="62"/>
      <c r="AG123" s="58"/>
      <c r="AH123" s="51"/>
      <c r="AI123" s="63" t="s">
        <v>83</v>
      </c>
      <c r="AJ123" s="60" t="s">
        <v>84</v>
      </c>
      <c r="AK123" s="60" t="s">
        <v>84</v>
      </c>
      <c r="AL123" s="60"/>
      <c r="AM123" s="51"/>
      <c r="AN123" s="51" t="s">
        <v>48</v>
      </c>
      <c r="AO123" s="63" t="s">
        <v>48</v>
      </c>
      <c r="AP123" s="63" t="s">
        <v>80</v>
      </c>
      <c r="AQ123" s="63" t="s">
        <v>956</v>
      </c>
      <c r="AR123" s="51" t="s">
        <v>64</v>
      </c>
      <c r="AS123" s="55" t="s">
        <v>95</v>
      </c>
      <c r="AT123" s="64" t="s">
        <v>48</v>
      </c>
    </row>
    <row r="124" spans="1:331" s="65" customFormat="1" ht="18.75" customHeight="1">
      <c r="A124" s="51">
        <v>3</v>
      </c>
      <c r="B124" s="51">
        <v>9918040030</v>
      </c>
      <c r="C124" s="53" t="s">
        <v>338</v>
      </c>
      <c r="D124" s="433" t="s">
        <v>144</v>
      </c>
      <c r="E124" s="105" t="s">
        <v>389</v>
      </c>
      <c r="F124" s="56">
        <v>43202</v>
      </c>
      <c r="G124" s="56"/>
      <c r="H124" s="56"/>
      <c r="I124" s="56"/>
      <c r="J124" s="57">
        <f t="shared" ca="1" si="71"/>
        <v>2</v>
      </c>
      <c r="K124" s="57">
        <f t="shared" ca="1" si="72"/>
        <v>8</v>
      </c>
      <c r="L124" s="58"/>
      <c r="M124" s="58"/>
      <c r="N124" s="55" t="s">
        <v>35</v>
      </c>
      <c r="O124" s="55" t="s">
        <v>36</v>
      </c>
      <c r="P124" s="55" t="s">
        <v>41</v>
      </c>
      <c r="Q124" s="56">
        <v>31551</v>
      </c>
      <c r="R124" s="77">
        <f t="shared" ref="R124:R127" ca="1" si="73">DATEDIF(Q124,$A$3,"Y")</f>
        <v>34</v>
      </c>
      <c r="S124" s="77">
        <f t="shared" ref="S124:S127" ca="1" si="74">DATEDIF(Q124,$A$3,"YM")</f>
        <v>7</v>
      </c>
      <c r="T124" s="51" t="s">
        <v>152</v>
      </c>
      <c r="U124" s="51" t="s">
        <v>48</v>
      </c>
      <c r="V124" s="55" t="s">
        <v>48</v>
      </c>
      <c r="W124" s="55" t="s">
        <v>45</v>
      </c>
      <c r="X124" s="51" t="s">
        <v>339</v>
      </c>
      <c r="Y124" s="58">
        <v>32728</v>
      </c>
      <c r="Z124" s="51" t="s">
        <v>340</v>
      </c>
      <c r="AA124" s="58">
        <v>41388</v>
      </c>
      <c r="AB124" s="77">
        <f ca="1">DATEDIF(AA124,$A$3,"Y")</f>
        <v>7</v>
      </c>
      <c r="AC124" s="62"/>
      <c r="AD124" s="71"/>
      <c r="AE124" s="57"/>
      <c r="AF124" s="71"/>
      <c r="AG124" s="71"/>
      <c r="AH124" s="71"/>
      <c r="AI124" s="63" t="s">
        <v>341</v>
      </c>
      <c r="AJ124" s="60" t="s">
        <v>342</v>
      </c>
      <c r="AK124" s="60"/>
      <c r="AL124" s="60"/>
      <c r="AM124" s="51"/>
      <c r="AN124" s="51" t="s">
        <v>48</v>
      </c>
      <c r="AO124" s="63" t="s">
        <v>343</v>
      </c>
      <c r="AP124" s="63" t="s">
        <v>338</v>
      </c>
      <c r="AQ124" s="57" t="s">
        <v>957</v>
      </c>
      <c r="AR124" s="51" t="s">
        <v>64</v>
      </c>
      <c r="AS124" s="55" t="s">
        <v>95</v>
      </c>
      <c r="AT124" s="64" t="s">
        <v>48</v>
      </c>
    </row>
    <row r="125" spans="1:331" s="65" customFormat="1" ht="18.75" customHeight="1">
      <c r="A125" s="51">
        <v>4</v>
      </c>
      <c r="B125" s="51" t="s">
        <v>331</v>
      </c>
      <c r="C125" s="53" t="s">
        <v>219</v>
      </c>
      <c r="D125" s="433" t="s">
        <v>144</v>
      </c>
      <c r="E125" s="105" t="s">
        <v>390</v>
      </c>
      <c r="F125" s="56">
        <v>43202</v>
      </c>
      <c r="G125" s="56"/>
      <c r="H125" s="56"/>
      <c r="I125" s="56"/>
      <c r="J125" s="57">
        <f t="shared" ca="1" si="71"/>
        <v>2</v>
      </c>
      <c r="K125" s="57">
        <f t="shared" ca="1" si="72"/>
        <v>8</v>
      </c>
      <c r="L125" s="58"/>
      <c r="M125" s="58"/>
      <c r="N125" s="55" t="s">
        <v>35</v>
      </c>
      <c r="O125" s="55" t="s">
        <v>36</v>
      </c>
      <c r="P125" s="55" t="s">
        <v>41</v>
      </c>
      <c r="Q125" s="56">
        <v>36057</v>
      </c>
      <c r="R125" s="77">
        <f t="shared" ca="1" si="73"/>
        <v>22</v>
      </c>
      <c r="S125" s="77">
        <f t="shared" ca="1" si="74"/>
        <v>3</v>
      </c>
      <c r="T125" s="51" t="s">
        <v>68</v>
      </c>
      <c r="U125" s="51" t="s">
        <v>177</v>
      </c>
      <c r="V125" s="55" t="s">
        <v>105</v>
      </c>
      <c r="W125" s="55" t="s">
        <v>59</v>
      </c>
      <c r="X125" s="51"/>
      <c r="Y125" s="58"/>
      <c r="Z125" s="51"/>
      <c r="AA125" s="58"/>
      <c r="AB125" s="57"/>
      <c r="AC125" s="62"/>
      <c r="AD125" s="71"/>
      <c r="AE125" s="57"/>
      <c r="AF125" s="71"/>
      <c r="AG125" s="71"/>
      <c r="AH125" s="71"/>
      <c r="AI125" s="63" t="s">
        <v>241</v>
      </c>
      <c r="AJ125" s="60" t="s">
        <v>242</v>
      </c>
      <c r="AK125" s="60" t="s">
        <v>242</v>
      </c>
      <c r="AL125" s="60"/>
      <c r="AM125" s="51"/>
      <c r="AN125" s="51" t="s">
        <v>48</v>
      </c>
      <c r="AO125" s="63" t="s">
        <v>243</v>
      </c>
      <c r="AP125" s="63" t="s">
        <v>219</v>
      </c>
      <c r="AQ125" s="57" t="s">
        <v>907</v>
      </c>
      <c r="AR125" s="51" t="s">
        <v>64</v>
      </c>
      <c r="AS125" s="55" t="s">
        <v>95</v>
      </c>
      <c r="AT125" s="64" t="s">
        <v>48</v>
      </c>
    </row>
    <row r="126" spans="1:331" ht="18.75">
      <c r="A126" s="51">
        <v>5</v>
      </c>
      <c r="B126" s="51">
        <v>9918040008</v>
      </c>
      <c r="C126" s="53" t="s">
        <v>204</v>
      </c>
      <c r="D126" s="433" t="s">
        <v>89</v>
      </c>
      <c r="E126" s="105" t="s">
        <v>391</v>
      </c>
      <c r="F126" s="56">
        <v>43202</v>
      </c>
      <c r="G126" s="56"/>
      <c r="H126" s="56"/>
      <c r="I126" s="56"/>
      <c r="J126" s="57">
        <f t="shared" ca="1" si="71"/>
        <v>2</v>
      </c>
      <c r="K126" s="57">
        <f t="shared" ca="1" si="72"/>
        <v>8</v>
      </c>
      <c r="L126" s="58"/>
      <c r="M126" s="58"/>
      <c r="N126" s="55" t="s">
        <v>76</v>
      </c>
      <c r="O126" s="55" t="s">
        <v>36</v>
      </c>
      <c r="P126" s="55" t="s">
        <v>41</v>
      </c>
      <c r="Q126" s="56">
        <v>36114</v>
      </c>
      <c r="R126" s="77">
        <f t="shared" ca="1" si="73"/>
        <v>22</v>
      </c>
      <c r="S126" s="77">
        <f t="shared" ca="1" si="74"/>
        <v>1</v>
      </c>
      <c r="T126" s="51" t="s">
        <v>68</v>
      </c>
      <c r="U126" s="51" t="s">
        <v>69</v>
      </c>
      <c r="V126" s="55" t="s">
        <v>44</v>
      </c>
      <c r="W126" s="55" t="s">
        <v>59</v>
      </c>
      <c r="X126" s="51"/>
      <c r="Y126" s="58"/>
      <c r="Z126" s="51"/>
      <c r="AA126" s="58"/>
      <c r="AB126" s="57"/>
      <c r="AC126" s="62"/>
      <c r="AD126" s="71"/>
      <c r="AE126" s="57"/>
      <c r="AF126" s="71"/>
      <c r="AG126" s="71"/>
      <c r="AH126" s="71"/>
      <c r="AI126" s="63" t="s">
        <v>205</v>
      </c>
      <c r="AJ126" s="60" t="s">
        <v>206</v>
      </c>
      <c r="AK126" s="60" t="s">
        <v>206</v>
      </c>
      <c r="AL126" s="60"/>
      <c r="AM126" s="51"/>
      <c r="AN126" s="51" t="s">
        <v>48</v>
      </c>
      <c r="AO126" s="63" t="s">
        <v>207</v>
      </c>
      <c r="AP126" s="63" t="s">
        <v>204</v>
      </c>
      <c r="AQ126" s="57" t="s">
        <v>958</v>
      </c>
      <c r="AR126" s="51" t="s">
        <v>64</v>
      </c>
      <c r="AS126" s="55" t="s">
        <v>95</v>
      </c>
      <c r="AT126" s="88" t="s">
        <v>48</v>
      </c>
    </row>
    <row r="127" spans="1:331">
      <c r="A127" s="51">
        <v>6</v>
      </c>
      <c r="B127" s="160">
        <v>9918050034</v>
      </c>
      <c r="C127" s="72" t="s">
        <v>377</v>
      </c>
      <c r="D127" s="159" t="s">
        <v>523</v>
      </c>
      <c r="E127" s="161" t="s">
        <v>391</v>
      </c>
      <c r="F127" s="162">
        <v>43234</v>
      </c>
      <c r="G127" s="162"/>
      <c r="H127" s="162"/>
      <c r="I127" s="162"/>
      <c r="J127" s="159">
        <v>0</v>
      </c>
      <c r="K127" s="163"/>
      <c r="N127" s="164" t="s">
        <v>35</v>
      </c>
      <c r="O127" s="164" t="s">
        <v>36</v>
      </c>
      <c r="P127" s="164" t="s">
        <v>41</v>
      </c>
      <c r="Q127" s="162">
        <v>34826</v>
      </c>
      <c r="R127" s="165">
        <f t="shared" ca="1" si="73"/>
        <v>25</v>
      </c>
      <c r="S127" s="165">
        <f t="shared" ca="1" si="74"/>
        <v>7</v>
      </c>
      <c r="T127" s="159" t="s">
        <v>57</v>
      </c>
      <c r="U127" s="160" t="s">
        <v>524</v>
      </c>
      <c r="V127" s="159" t="s">
        <v>224</v>
      </c>
      <c r="W127" s="164" t="s">
        <v>59</v>
      </c>
      <c r="X127" s="52"/>
      <c r="Y127" s="124"/>
      <c r="Z127" s="52"/>
      <c r="AA127" s="166"/>
      <c r="AB127" s="166"/>
      <c r="AC127" s="166"/>
      <c r="AD127" s="166"/>
      <c r="AE127" s="166"/>
      <c r="AI127" s="167" t="s">
        <v>525</v>
      </c>
      <c r="AJ127" s="168" t="s">
        <v>526</v>
      </c>
      <c r="AK127" s="168" t="s">
        <v>526</v>
      </c>
      <c r="AL127" s="169"/>
      <c r="AM127" s="159"/>
      <c r="AN127" s="52" t="s">
        <v>48</v>
      </c>
      <c r="AO127" s="167" t="s">
        <v>527</v>
      </c>
      <c r="AP127" s="160"/>
      <c r="AQ127" s="160"/>
      <c r="AR127" s="164" t="s">
        <v>64</v>
      </c>
      <c r="AS127" s="164" t="s">
        <v>95</v>
      </c>
      <c r="AT127" s="170" t="s">
        <v>528</v>
      </c>
    </row>
    <row r="128" spans="1:331" ht="18.75">
      <c r="A128" s="51">
        <v>7</v>
      </c>
      <c r="B128" s="141">
        <v>9919020014</v>
      </c>
      <c r="C128" s="106" t="s">
        <v>554</v>
      </c>
      <c r="D128" s="433" t="s">
        <v>442</v>
      </c>
      <c r="E128" s="161" t="s">
        <v>391</v>
      </c>
      <c r="F128" s="56">
        <v>43525</v>
      </c>
      <c r="G128" s="56"/>
      <c r="H128" s="56"/>
      <c r="I128" s="56"/>
      <c r="J128" s="57">
        <f t="shared" ref="J128:J135" ca="1" si="75">DATEDIF(F128,$A$3,"Y")</f>
        <v>1</v>
      </c>
      <c r="K128" s="57">
        <f t="shared" ref="K128:K135" ca="1" si="76">DATEDIF(F128,$A$3,"YM")</f>
        <v>10</v>
      </c>
      <c r="L128" s="58"/>
      <c r="M128" s="58"/>
      <c r="N128" s="55" t="s">
        <v>76</v>
      </c>
      <c r="O128" s="55" t="s">
        <v>36</v>
      </c>
      <c r="P128" s="55" t="s">
        <v>41</v>
      </c>
      <c r="Q128" s="56">
        <v>35100</v>
      </c>
      <c r="R128" s="77">
        <f t="shared" ref="R128:R135" ca="1" si="77">DATEDIF(Q128,$A$3,"Y")</f>
        <v>24</v>
      </c>
      <c r="S128" s="77">
        <f t="shared" ref="S128:S135" ca="1" si="78">DATEDIF(Q128,$A$3,"YM")</f>
        <v>11</v>
      </c>
      <c r="T128" s="51" t="s">
        <v>130</v>
      </c>
      <c r="U128" s="51" t="s">
        <v>413</v>
      </c>
      <c r="V128" s="55" t="s">
        <v>459</v>
      </c>
      <c r="W128" s="55" t="s">
        <v>59</v>
      </c>
      <c r="X128" s="55" t="s">
        <v>48</v>
      </c>
      <c r="Y128" s="55" t="s">
        <v>48</v>
      </c>
      <c r="Z128" s="55" t="s">
        <v>48</v>
      </c>
      <c r="AA128" s="55" t="s">
        <v>48</v>
      </c>
      <c r="AB128" s="55" t="s">
        <v>48</v>
      </c>
      <c r="AC128" s="55" t="s">
        <v>48</v>
      </c>
      <c r="AD128" s="55" t="s">
        <v>48</v>
      </c>
      <c r="AE128" s="55" t="s">
        <v>48</v>
      </c>
      <c r="AF128" s="66"/>
      <c r="AG128" s="66"/>
      <c r="AH128" s="66"/>
      <c r="AI128" s="103" t="s">
        <v>557</v>
      </c>
      <c r="AJ128" s="59" t="s">
        <v>555</v>
      </c>
      <c r="AK128" s="59" t="s">
        <v>555</v>
      </c>
      <c r="AL128" s="59"/>
      <c r="AM128" s="55"/>
      <c r="AN128" s="55" t="s">
        <v>48</v>
      </c>
      <c r="AO128" s="75" t="s">
        <v>556</v>
      </c>
      <c r="AP128" s="158" t="s">
        <v>554</v>
      </c>
      <c r="AQ128" s="75"/>
      <c r="AR128" s="51" t="s">
        <v>64</v>
      </c>
      <c r="AS128" s="55" t="s">
        <v>95</v>
      </c>
      <c r="AT128" s="155"/>
    </row>
    <row r="129" spans="1:46" ht="18.75">
      <c r="A129" s="51">
        <v>8</v>
      </c>
      <c r="B129" s="141">
        <v>9919040018</v>
      </c>
      <c r="C129" s="53" t="s">
        <v>596</v>
      </c>
      <c r="D129" s="433" t="s">
        <v>144</v>
      </c>
      <c r="E129" s="161" t="s">
        <v>391</v>
      </c>
      <c r="F129" s="56">
        <v>43559</v>
      </c>
      <c r="G129" s="56">
        <v>43559</v>
      </c>
      <c r="H129" s="56"/>
      <c r="I129" s="56"/>
      <c r="J129" s="57">
        <f t="shared" ca="1" si="75"/>
        <v>1</v>
      </c>
      <c r="K129" s="57">
        <f t="shared" ca="1" si="76"/>
        <v>9</v>
      </c>
      <c r="L129" s="58"/>
      <c r="M129" s="58"/>
      <c r="N129" s="142" t="s">
        <v>35</v>
      </c>
      <c r="O129" s="55" t="s">
        <v>36</v>
      </c>
      <c r="P129" s="55" t="s">
        <v>455</v>
      </c>
      <c r="Q129" s="56">
        <v>35027</v>
      </c>
      <c r="R129" s="77">
        <f t="shared" ca="1" si="77"/>
        <v>25</v>
      </c>
      <c r="S129" s="77">
        <f t="shared" ca="1" si="78"/>
        <v>1</v>
      </c>
      <c r="T129" s="51" t="s">
        <v>597</v>
      </c>
      <c r="U129" s="51" t="s">
        <v>598</v>
      </c>
      <c r="V129" s="55" t="s">
        <v>48</v>
      </c>
      <c r="W129" s="55" t="s">
        <v>59</v>
      </c>
      <c r="X129" s="55" t="s">
        <v>48</v>
      </c>
      <c r="Y129" s="55" t="s">
        <v>48</v>
      </c>
      <c r="Z129" s="55" t="s">
        <v>48</v>
      </c>
      <c r="AA129" s="55" t="s">
        <v>48</v>
      </c>
      <c r="AB129" s="55" t="s">
        <v>48</v>
      </c>
      <c r="AC129" s="55" t="s">
        <v>48</v>
      </c>
      <c r="AD129" s="55" t="s">
        <v>48</v>
      </c>
      <c r="AE129" s="55" t="s">
        <v>48</v>
      </c>
      <c r="AF129" s="71"/>
      <c r="AG129" s="71"/>
      <c r="AH129" s="71"/>
      <c r="AI129" s="70" t="s">
        <v>599</v>
      </c>
      <c r="AJ129" s="60" t="s">
        <v>600</v>
      </c>
      <c r="AK129" s="60" t="s">
        <v>600</v>
      </c>
      <c r="AL129" s="60"/>
      <c r="AM129" s="51"/>
      <c r="AN129" s="51" t="s">
        <v>48</v>
      </c>
      <c r="AO129" s="70" t="s">
        <v>601</v>
      </c>
      <c r="AP129" s="63" t="s">
        <v>596</v>
      </c>
      <c r="AQ129" s="57" t="s">
        <v>603</v>
      </c>
      <c r="AR129" s="51" t="s">
        <v>64</v>
      </c>
      <c r="AS129" s="55" t="s">
        <v>95</v>
      </c>
      <c r="AT129" s="64"/>
    </row>
    <row r="130" spans="1:46" ht="18.75">
      <c r="A130" s="51">
        <v>9</v>
      </c>
      <c r="B130" s="91">
        <v>9918040031</v>
      </c>
      <c r="C130" s="53" t="s">
        <v>345</v>
      </c>
      <c r="D130" s="433" t="s">
        <v>442</v>
      </c>
      <c r="E130" s="161" t="s">
        <v>391</v>
      </c>
      <c r="F130" s="56">
        <v>43216</v>
      </c>
      <c r="G130" s="143">
        <v>43216</v>
      </c>
      <c r="H130" s="56"/>
      <c r="I130" s="56"/>
      <c r="J130" s="57">
        <f t="shared" ca="1" si="75"/>
        <v>2</v>
      </c>
      <c r="K130" s="57">
        <f t="shared" ca="1" si="76"/>
        <v>8</v>
      </c>
      <c r="L130" s="58"/>
      <c r="M130" s="58"/>
      <c r="N130" s="55" t="s">
        <v>35</v>
      </c>
      <c r="O130" s="55" t="s">
        <v>36</v>
      </c>
      <c r="P130" s="55" t="s">
        <v>41</v>
      </c>
      <c r="Q130" s="56">
        <v>34617</v>
      </c>
      <c r="R130" s="77">
        <f t="shared" ca="1" si="77"/>
        <v>26</v>
      </c>
      <c r="S130" s="77">
        <f t="shared" ca="1" si="78"/>
        <v>2</v>
      </c>
      <c r="T130" s="51" t="s">
        <v>42</v>
      </c>
      <c r="U130" s="51" t="s">
        <v>43</v>
      </c>
      <c r="V130" s="55" t="s">
        <v>44</v>
      </c>
      <c r="W130" s="55" t="s">
        <v>59</v>
      </c>
      <c r="X130" s="55" t="s">
        <v>48</v>
      </c>
      <c r="Y130" s="55" t="s">
        <v>48</v>
      </c>
      <c r="Z130" s="55" t="s">
        <v>48</v>
      </c>
      <c r="AA130" s="55" t="s">
        <v>48</v>
      </c>
      <c r="AB130" s="55" t="s">
        <v>48</v>
      </c>
      <c r="AC130" s="55" t="s">
        <v>48</v>
      </c>
      <c r="AD130" s="55" t="s">
        <v>48</v>
      </c>
      <c r="AE130" s="55" t="s">
        <v>48</v>
      </c>
      <c r="AF130" s="66"/>
      <c r="AG130" s="66"/>
      <c r="AH130" s="66"/>
      <c r="AI130" s="103" t="s">
        <v>346</v>
      </c>
      <c r="AJ130" s="59" t="s">
        <v>347</v>
      </c>
      <c r="AK130" s="59" t="s">
        <v>347</v>
      </c>
      <c r="AL130" s="59"/>
      <c r="AM130" s="55"/>
      <c r="AN130" s="55" t="s">
        <v>48</v>
      </c>
      <c r="AO130" s="75" t="s">
        <v>348</v>
      </c>
      <c r="AP130" s="150" t="s">
        <v>345</v>
      </c>
      <c r="AQ130" s="75"/>
      <c r="AR130" s="51" t="s">
        <v>64</v>
      </c>
      <c r="AS130" s="55" t="s">
        <v>95</v>
      </c>
      <c r="AT130" s="68"/>
    </row>
    <row r="131" spans="1:46">
      <c r="A131" s="51">
        <v>10</v>
      </c>
      <c r="B131" s="51" t="s">
        <v>321</v>
      </c>
      <c r="C131" s="53" t="s">
        <v>151</v>
      </c>
      <c r="D131" s="433" t="s">
        <v>135</v>
      </c>
      <c r="E131" s="161" t="s">
        <v>391</v>
      </c>
      <c r="F131" s="56">
        <v>43202</v>
      </c>
      <c r="G131" s="56">
        <v>43202</v>
      </c>
      <c r="H131" s="56"/>
      <c r="I131" s="56"/>
      <c r="J131" s="57">
        <f t="shared" ca="1" si="75"/>
        <v>2</v>
      </c>
      <c r="K131" s="57">
        <f t="shared" ca="1" si="76"/>
        <v>8</v>
      </c>
      <c r="L131" s="58"/>
      <c r="M131" s="58"/>
      <c r="N131" s="55" t="s">
        <v>76</v>
      </c>
      <c r="O131" s="55" t="s">
        <v>36</v>
      </c>
      <c r="P131" s="55" t="s">
        <v>41</v>
      </c>
      <c r="Q131" s="56">
        <v>34738</v>
      </c>
      <c r="R131" s="77">
        <f t="shared" ca="1" si="77"/>
        <v>25</v>
      </c>
      <c r="S131" s="77">
        <f t="shared" ca="1" si="78"/>
        <v>10</v>
      </c>
      <c r="T131" s="51" t="s">
        <v>152</v>
      </c>
      <c r="U131" s="51" t="s">
        <v>153</v>
      </c>
      <c r="V131" s="55" t="s">
        <v>48</v>
      </c>
      <c r="W131" s="55" t="s">
        <v>59</v>
      </c>
      <c r="X131" s="55" t="s">
        <v>48</v>
      </c>
      <c r="Y131" s="55" t="s">
        <v>48</v>
      </c>
      <c r="Z131" s="55" t="s">
        <v>48</v>
      </c>
      <c r="AA131" s="55" t="s">
        <v>48</v>
      </c>
      <c r="AB131" s="55" t="s">
        <v>48</v>
      </c>
      <c r="AC131" s="55" t="s">
        <v>48</v>
      </c>
      <c r="AD131" s="55" t="s">
        <v>48</v>
      </c>
      <c r="AE131" s="55" t="s">
        <v>48</v>
      </c>
      <c r="AF131" s="71"/>
      <c r="AG131" s="71"/>
      <c r="AH131" s="71"/>
      <c r="AI131" s="63" t="s">
        <v>154</v>
      </c>
      <c r="AJ131" s="60" t="s">
        <v>155</v>
      </c>
      <c r="AK131" s="60" t="s">
        <v>156</v>
      </c>
      <c r="AL131" s="60"/>
      <c r="AM131" s="51"/>
      <c r="AN131" s="51" t="s">
        <v>48</v>
      </c>
      <c r="AO131" s="63" t="s">
        <v>157</v>
      </c>
      <c r="AP131" s="63" t="s">
        <v>151</v>
      </c>
      <c r="AQ131" s="57" t="s">
        <v>959</v>
      </c>
      <c r="AR131" s="51" t="s">
        <v>64</v>
      </c>
      <c r="AS131" s="55" t="s">
        <v>95</v>
      </c>
      <c r="AT131" s="82" t="s">
        <v>158</v>
      </c>
    </row>
    <row r="132" spans="1:46" ht="18.75">
      <c r="A132" s="51">
        <v>11</v>
      </c>
      <c r="B132" s="51" t="s">
        <v>319</v>
      </c>
      <c r="C132" s="53" t="s">
        <v>134</v>
      </c>
      <c r="D132" s="433" t="s">
        <v>144</v>
      </c>
      <c r="E132" s="161" t="s">
        <v>391</v>
      </c>
      <c r="F132" s="56">
        <v>43202</v>
      </c>
      <c r="G132" s="56">
        <v>43202</v>
      </c>
      <c r="H132" s="56"/>
      <c r="I132" s="56"/>
      <c r="J132" s="57">
        <f t="shared" ca="1" si="75"/>
        <v>2</v>
      </c>
      <c r="K132" s="57">
        <f t="shared" ca="1" si="76"/>
        <v>8</v>
      </c>
      <c r="L132" s="58"/>
      <c r="M132" s="58"/>
      <c r="N132" s="55" t="s">
        <v>76</v>
      </c>
      <c r="O132" s="55" t="s">
        <v>36</v>
      </c>
      <c r="P132" s="55" t="s">
        <v>41</v>
      </c>
      <c r="Q132" s="56">
        <v>35286</v>
      </c>
      <c r="R132" s="77">
        <f t="shared" ca="1" si="77"/>
        <v>24</v>
      </c>
      <c r="S132" s="77">
        <f t="shared" ca="1" si="78"/>
        <v>4</v>
      </c>
      <c r="T132" s="51" t="s">
        <v>136</v>
      </c>
      <c r="U132" s="51" t="s">
        <v>48</v>
      </c>
      <c r="V132" s="55" t="s">
        <v>48</v>
      </c>
      <c r="W132" s="55" t="s">
        <v>45</v>
      </c>
      <c r="X132" s="51" t="s">
        <v>137</v>
      </c>
      <c r="Y132" s="58">
        <v>34153</v>
      </c>
      <c r="Z132" s="51" t="s">
        <v>138</v>
      </c>
      <c r="AA132" s="58">
        <v>41374</v>
      </c>
      <c r="AB132" s="77">
        <f t="shared" ref="AB132" ca="1" si="79">DATEDIF(AA132,$A$3,"Y")</f>
        <v>7</v>
      </c>
      <c r="AC132" s="55" t="s">
        <v>48</v>
      </c>
      <c r="AD132" s="55" t="s">
        <v>48</v>
      </c>
      <c r="AE132" s="55" t="s">
        <v>48</v>
      </c>
      <c r="AF132" s="71"/>
      <c r="AG132" s="71"/>
      <c r="AH132" s="71"/>
      <c r="AI132" s="63" t="s">
        <v>139</v>
      </c>
      <c r="AJ132" s="60" t="s">
        <v>140</v>
      </c>
      <c r="AK132" s="60" t="s">
        <v>140</v>
      </c>
      <c r="AL132" s="60"/>
      <c r="AM132" s="51"/>
      <c r="AN132" s="51" t="s">
        <v>48</v>
      </c>
      <c r="AO132" s="63" t="s">
        <v>141</v>
      </c>
      <c r="AP132" s="63" t="s">
        <v>134</v>
      </c>
      <c r="AQ132" s="57" t="s">
        <v>960</v>
      </c>
      <c r="AR132" s="51" t="s">
        <v>64</v>
      </c>
      <c r="AS132" s="55" t="s">
        <v>95</v>
      </c>
      <c r="AT132" s="64" t="s">
        <v>48</v>
      </c>
    </row>
    <row r="133" spans="1:46" ht="18.75">
      <c r="A133" s="51">
        <v>12</v>
      </c>
      <c r="B133" s="51" t="s">
        <v>324</v>
      </c>
      <c r="C133" s="53" t="s">
        <v>171</v>
      </c>
      <c r="D133" s="433" t="s">
        <v>144</v>
      </c>
      <c r="E133" s="161" t="s">
        <v>391</v>
      </c>
      <c r="F133" s="56">
        <v>43202</v>
      </c>
      <c r="G133" s="56">
        <v>43202</v>
      </c>
      <c r="H133" s="56"/>
      <c r="I133" s="56"/>
      <c r="J133" s="57">
        <f t="shared" ca="1" si="75"/>
        <v>2</v>
      </c>
      <c r="K133" s="57">
        <f t="shared" ca="1" si="76"/>
        <v>8</v>
      </c>
      <c r="L133" s="58"/>
      <c r="M133" s="58"/>
      <c r="N133" s="55" t="s">
        <v>76</v>
      </c>
      <c r="O133" s="55" t="s">
        <v>36</v>
      </c>
      <c r="P133" s="55" t="s">
        <v>41</v>
      </c>
      <c r="Q133" s="56">
        <v>35350</v>
      </c>
      <c r="R133" s="77">
        <f t="shared" ca="1" si="77"/>
        <v>24</v>
      </c>
      <c r="S133" s="77">
        <f t="shared" ca="1" si="78"/>
        <v>2</v>
      </c>
      <c r="T133" s="51" t="s">
        <v>68</v>
      </c>
      <c r="U133" s="51" t="s">
        <v>172</v>
      </c>
      <c r="V133" s="55" t="s">
        <v>48</v>
      </c>
      <c r="W133" s="55" t="s">
        <v>59</v>
      </c>
      <c r="X133" s="51" t="s">
        <v>562</v>
      </c>
      <c r="Y133" s="58">
        <v>35174</v>
      </c>
      <c r="Z133" s="55" t="s">
        <v>48</v>
      </c>
      <c r="AA133" s="55" t="s">
        <v>48</v>
      </c>
      <c r="AB133" s="55" t="s">
        <v>48</v>
      </c>
      <c r="AC133" s="55" t="s">
        <v>48</v>
      </c>
      <c r="AD133" s="55" t="s">
        <v>48</v>
      </c>
      <c r="AE133" s="55" t="s">
        <v>48</v>
      </c>
      <c r="AF133" s="71"/>
      <c r="AG133" s="71"/>
      <c r="AH133" s="71"/>
      <c r="AI133" s="63" t="s">
        <v>173</v>
      </c>
      <c r="AJ133" s="60" t="s">
        <v>174</v>
      </c>
      <c r="AK133" s="60" t="s">
        <v>174</v>
      </c>
      <c r="AL133" s="60"/>
      <c r="AM133" s="51"/>
      <c r="AN133" s="51" t="s">
        <v>48</v>
      </c>
      <c r="AO133" s="63" t="s">
        <v>175</v>
      </c>
      <c r="AP133" s="63" t="s">
        <v>171</v>
      </c>
      <c r="AQ133" s="57" t="s">
        <v>961</v>
      </c>
      <c r="AR133" s="51" t="s">
        <v>64</v>
      </c>
      <c r="AS133" s="55" t="s">
        <v>95</v>
      </c>
      <c r="AT133" s="64" t="s">
        <v>48</v>
      </c>
    </row>
    <row r="134" spans="1:46" ht="18.75">
      <c r="A134" s="51">
        <v>13</v>
      </c>
      <c r="B134" s="51" t="s">
        <v>325</v>
      </c>
      <c r="C134" s="53" t="s">
        <v>176</v>
      </c>
      <c r="D134" s="433" t="s">
        <v>144</v>
      </c>
      <c r="E134" s="161" t="s">
        <v>391</v>
      </c>
      <c r="F134" s="56">
        <v>43202</v>
      </c>
      <c r="G134" s="56">
        <v>43202</v>
      </c>
      <c r="H134" s="56"/>
      <c r="I134" s="56"/>
      <c r="J134" s="57">
        <f t="shared" ca="1" si="75"/>
        <v>2</v>
      </c>
      <c r="K134" s="57">
        <f t="shared" ca="1" si="76"/>
        <v>8</v>
      </c>
      <c r="L134" s="58"/>
      <c r="M134" s="58"/>
      <c r="N134" s="55" t="s">
        <v>76</v>
      </c>
      <c r="O134" s="55" t="s">
        <v>36</v>
      </c>
      <c r="P134" s="55" t="s">
        <v>41</v>
      </c>
      <c r="Q134" s="56">
        <v>33625</v>
      </c>
      <c r="R134" s="77">
        <f t="shared" ca="1" si="77"/>
        <v>28</v>
      </c>
      <c r="S134" s="77">
        <f t="shared" ca="1" si="78"/>
        <v>11</v>
      </c>
      <c r="T134" s="51" t="s">
        <v>68</v>
      </c>
      <c r="U134" s="51" t="s">
        <v>177</v>
      </c>
      <c r="V134" s="55" t="s">
        <v>48</v>
      </c>
      <c r="W134" s="55" t="s">
        <v>45</v>
      </c>
      <c r="X134" s="51" t="s">
        <v>178</v>
      </c>
      <c r="Y134" s="58">
        <v>31472</v>
      </c>
      <c r="Z134" s="51" t="s">
        <v>179</v>
      </c>
      <c r="AA134" s="58">
        <v>41736</v>
      </c>
      <c r="AB134" s="77">
        <f ca="1">DATEDIF(AA134,$A$3,"Y")</f>
        <v>6</v>
      </c>
      <c r="AC134" s="55" t="s">
        <v>48</v>
      </c>
      <c r="AD134" s="55" t="s">
        <v>48</v>
      </c>
      <c r="AE134" s="55" t="s">
        <v>48</v>
      </c>
      <c r="AF134" s="71"/>
      <c r="AG134" s="71"/>
      <c r="AH134" s="71"/>
      <c r="AI134" s="63" t="s">
        <v>180</v>
      </c>
      <c r="AJ134" s="60" t="s">
        <v>181</v>
      </c>
      <c r="AK134" s="60" t="s">
        <v>181</v>
      </c>
      <c r="AL134" s="60"/>
      <c r="AM134" s="51"/>
      <c r="AN134" s="51" t="s">
        <v>48</v>
      </c>
      <c r="AO134" s="63" t="s">
        <v>182</v>
      </c>
      <c r="AP134" s="63" t="s">
        <v>176</v>
      </c>
      <c r="AQ134" s="57" t="s">
        <v>962</v>
      </c>
      <c r="AR134" s="51" t="s">
        <v>64</v>
      </c>
      <c r="AS134" s="55" t="s">
        <v>95</v>
      </c>
      <c r="AT134" s="64" t="s">
        <v>48</v>
      </c>
    </row>
    <row r="135" spans="1:46" ht="18.75">
      <c r="A135" s="51">
        <v>14</v>
      </c>
      <c r="B135" s="51" t="s">
        <v>320</v>
      </c>
      <c r="C135" s="53" t="s">
        <v>143</v>
      </c>
      <c r="D135" s="433" t="s">
        <v>144</v>
      </c>
      <c r="E135" s="161" t="s">
        <v>391</v>
      </c>
      <c r="F135" s="56">
        <v>43202</v>
      </c>
      <c r="G135" s="56">
        <v>43202</v>
      </c>
      <c r="H135" s="56"/>
      <c r="I135" s="56"/>
      <c r="J135" s="57">
        <f t="shared" ca="1" si="75"/>
        <v>2</v>
      </c>
      <c r="K135" s="57">
        <f t="shared" ca="1" si="76"/>
        <v>8</v>
      </c>
      <c r="L135" s="58"/>
      <c r="M135" s="58"/>
      <c r="N135" s="55" t="s">
        <v>76</v>
      </c>
      <c r="O135" s="55" t="s">
        <v>36</v>
      </c>
      <c r="P135" s="55" t="s">
        <v>145</v>
      </c>
      <c r="Q135" s="56">
        <v>35278</v>
      </c>
      <c r="R135" s="77">
        <f t="shared" ca="1" si="77"/>
        <v>24</v>
      </c>
      <c r="S135" s="77">
        <f t="shared" ca="1" si="78"/>
        <v>5</v>
      </c>
      <c r="T135" s="51" t="s">
        <v>68</v>
      </c>
      <c r="U135" s="51" t="s">
        <v>146</v>
      </c>
      <c r="V135" s="55" t="s">
        <v>44</v>
      </c>
      <c r="W135" s="55" t="s">
        <v>59</v>
      </c>
      <c r="X135" s="55" t="s">
        <v>48</v>
      </c>
      <c r="Y135" s="55" t="s">
        <v>48</v>
      </c>
      <c r="Z135" s="55" t="s">
        <v>48</v>
      </c>
      <c r="AA135" s="55" t="s">
        <v>48</v>
      </c>
      <c r="AB135" s="55" t="s">
        <v>48</v>
      </c>
      <c r="AC135" s="55" t="s">
        <v>48</v>
      </c>
      <c r="AD135" s="55" t="s">
        <v>48</v>
      </c>
      <c r="AE135" s="55" t="s">
        <v>48</v>
      </c>
      <c r="AF135" s="71"/>
      <c r="AG135" s="71"/>
      <c r="AH135" s="71"/>
      <c r="AI135" s="63" t="s">
        <v>147</v>
      </c>
      <c r="AJ135" s="60" t="s">
        <v>148</v>
      </c>
      <c r="AK135" s="60" t="s">
        <v>149</v>
      </c>
      <c r="AL135" s="60"/>
      <c r="AM135" s="51"/>
      <c r="AN135" s="51" t="s">
        <v>48</v>
      </c>
      <c r="AO135" s="63" t="s">
        <v>150</v>
      </c>
      <c r="AP135" s="63" t="s">
        <v>143</v>
      </c>
      <c r="AQ135" s="57" t="s">
        <v>963</v>
      </c>
      <c r="AR135" s="51" t="s">
        <v>64</v>
      </c>
      <c r="AS135" s="55" t="s">
        <v>95</v>
      </c>
      <c r="AT135" s="64" t="s">
        <v>48</v>
      </c>
    </row>
    <row r="136" spans="1:46">
      <c r="A136" s="51">
        <v>15</v>
      </c>
      <c r="B136" s="51">
        <v>9919010002</v>
      </c>
      <c r="C136" s="53" t="s">
        <v>438</v>
      </c>
      <c r="D136" s="433" t="s">
        <v>449</v>
      </c>
      <c r="E136" s="105" t="s">
        <v>650</v>
      </c>
      <c r="F136" s="56">
        <v>43467</v>
      </c>
      <c r="G136" s="143">
        <v>43467</v>
      </c>
      <c r="H136" s="56"/>
      <c r="I136" s="56"/>
      <c r="J136" s="57">
        <f ca="1">DATEDIF(F136,$A$3,"Y")</f>
        <v>2</v>
      </c>
      <c r="K136" s="57">
        <f t="shared" ref="K136:K141" ca="1" si="80">DATEDIF(F136,$A$3,"YM")</f>
        <v>0</v>
      </c>
      <c r="L136" s="58"/>
      <c r="M136" s="58"/>
      <c r="N136" s="55" t="s">
        <v>35</v>
      </c>
      <c r="O136" s="55" t="s">
        <v>36</v>
      </c>
      <c r="P136" s="55" t="s">
        <v>455</v>
      </c>
      <c r="Q136" s="56">
        <v>32702</v>
      </c>
      <c r="R136" s="77">
        <f t="shared" ref="R136:R141" ca="1" si="81">DATEDIF(Q136,$A$3,"Y")</f>
        <v>31</v>
      </c>
      <c r="S136" s="77">
        <f t="shared" ref="S136:S141" ca="1" si="82">DATEDIF(Q136,$A$3,"YM")</f>
        <v>5</v>
      </c>
      <c r="T136" s="51" t="s">
        <v>57</v>
      </c>
      <c r="U136" s="51" t="s">
        <v>161</v>
      </c>
      <c r="V136" s="55"/>
      <c r="W136" s="55" t="s">
        <v>350</v>
      </c>
      <c r="X136" s="66" t="s">
        <v>456</v>
      </c>
      <c r="Y136" s="66">
        <v>34108</v>
      </c>
      <c r="Z136" s="55" t="s">
        <v>48</v>
      </c>
      <c r="AA136" s="55" t="s">
        <v>48</v>
      </c>
      <c r="AB136" s="55" t="s">
        <v>48</v>
      </c>
      <c r="AC136" s="55" t="s">
        <v>48</v>
      </c>
      <c r="AD136" s="55" t="s">
        <v>48</v>
      </c>
      <c r="AE136" s="55" t="s">
        <v>48</v>
      </c>
      <c r="AF136" s="123"/>
      <c r="AG136" s="123"/>
      <c r="AH136" s="123"/>
      <c r="AI136" s="63" t="s">
        <v>482</v>
      </c>
      <c r="AJ136" s="60" t="s">
        <v>457</v>
      </c>
      <c r="AK136" s="60" t="s">
        <v>457</v>
      </c>
      <c r="AL136" s="120"/>
      <c r="AM136" s="118"/>
      <c r="AN136" s="51" t="s">
        <v>48</v>
      </c>
      <c r="AO136" s="70" t="s">
        <v>458</v>
      </c>
      <c r="AP136" s="63" t="s">
        <v>438</v>
      </c>
      <c r="AQ136" s="151" t="s">
        <v>643</v>
      </c>
      <c r="AR136" s="51" t="s">
        <v>64</v>
      </c>
      <c r="AS136" s="55" t="s">
        <v>95</v>
      </c>
      <c r="AT136" s="86" t="s">
        <v>463</v>
      </c>
    </row>
    <row r="137" spans="1:46" ht="18.75">
      <c r="A137" s="51">
        <v>16</v>
      </c>
      <c r="B137" s="51" t="s">
        <v>452</v>
      </c>
      <c r="C137" s="53" t="s">
        <v>484</v>
      </c>
      <c r="D137" s="433" t="s">
        <v>144</v>
      </c>
      <c r="E137" s="161" t="s">
        <v>391</v>
      </c>
      <c r="F137" s="56">
        <v>43468</v>
      </c>
      <c r="G137" s="56">
        <v>43468</v>
      </c>
      <c r="H137" s="56"/>
      <c r="I137" s="56"/>
      <c r="J137" s="57">
        <f ca="1">DATEDIF(F137,$A$3,"Y")</f>
        <v>2</v>
      </c>
      <c r="K137" s="57">
        <f t="shared" ca="1" si="80"/>
        <v>0</v>
      </c>
      <c r="L137" s="58"/>
      <c r="M137" s="58"/>
      <c r="N137" s="55" t="s">
        <v>76</v>
      </c>
      <c r="O137" s="55" t="s">
        <v>36</v>
      </c>
      <c r="P137" s="55" t="s">
        <v>41</v>
      </c>
      <c r="Q137" s="56">
        <v>33694</v>
      </c>
      <c r="R137" s="131">
        <f t="shared" ca="1" si="81"/>
        <v>28</v>
      </c>
      <c r="S137" s="131">
        <f t="shared" ca="1" si="82"/>
        <v>9</v>
      </c>
      <c r="T137" s="51" t="s">
        <v>68</v>
      </c>
      <c r="U137" s="51" t="s">
        <v>177</v>
      </c>
      <c r="V137" s="55" t="s">
        <v>48</v>
      </c>
      <c r="W137" s="55" t="s">
        <v>59</v>
      </c>
      <c r="X137" s="51"/>
      <c r="Y137" s="58"/>
      <c r="Z137" s="51"/>
      <c r="AA137" s="58"/>
      <c r="AB137" s="57"/>
      <c r="AC137" s="62"/>
      <c r="AD137" s="71"/>
      <c r="AE137" s="57"/>
      <c r="AF137" s="71"/>
      <c r="AG137" s="71"/>
      <c r="AH137" s="71"/>
      <c r="AI137" s="63" t="s">
        <v>485</v>
      </c>
      <c r="AJ137" s="60" t="s">
        <v>486</v>
      </c>
      <c r="AK137" s="60" t="s">
        <v>486</v>
      </c>
      <c r="AL137" s="60"/>
      <c r="AM137" s="51"/>
      <c r="AN137" s="51" t="s">
        <v>48</v>
      </c>
      <c r="AO137" s="70" t="s">
        <v>487</v>
      </c>
      <c r="AP137" s="63" t="s">
        <v>484</v>
      </c>
      <c r="AQ137" s="57"/>
      <c r="AR137" s="51" t="s">
        <v>64</v>
      </c>
      <c r="AS137" s="55" t="s">
        <v>95</v>
      </c>
      <c r="AT137" s="64"/>
    </row>
    <row r="138" spans="1:46" ht="18.75">
      <c r="A138" s="51">
        <v>17</v>
      </c>
      <c r="B138" s="183" t="s">
        <v>653</v>
      </c>
      <c r="C138" s="134" t="s">
        <v>651</v>
      </c>
      <c r="D138" s="433" t="s">
        <v>144</v>
      </c>
      <c r="E138" s="161" t="s">
        <v>391</v>
      </c>
      <c r="F138" s="56">
        <v>43633</v>
      </c>
      <c r="G138" s="56">
        <v>43633</v>
      </c>
      <c r="H138" s="58"/>
      <c r="I138" s="58"/>
      <c r="J138" s="57">
        <f ca="1">DATEDIF(F138,$A$3,"Y")</f>
        <v>1</v>
      </c>
      <c r="K138" s="57">
        <f t="shared" ca="1" si="80"/>
        <v>6</v>
      </c>
      <c r="L138" s="58"/>
      <c r="M138" s="58"/>
      <c r="N138" s="55" t="s">
        <v>35</v>
      </c>
      <c r="O138" s="55" t="s">
        <v>36</v>
      </c>
      <c r="P138" s="55" t="s">
        <v>41</v>
      </c>
      <c r="Q138" s="56">
        <v>33628</v>
      </c>
      <c r="R138" s="131">
        <f t="shared" ca="1" si="81"/>
        <v>28</v>
      </c>
      <c r="S138" s="131">
        <f t="shared" ca="1" si="82"/>
        <v>11</v>
      </c>
      <c r="T138" s="51" t="s">
        <v>68</v>
      </c>
      <c r="U138" s="51" t="s">
        <v>654</v>
      </c>
      <c r="V138" s="51" t="s">
        <v>44</v>
      </c>
      <c r="W138" s="55" t="s">
        <v>45</v>
      </c>
      <c r="X138" s="55" t="s">
        <v>655</v>
      </c>
      <c r="Y138" s="58">
        <v>33371</v>
      </c>
      <c r="Z138" s="51" t="s">
        <v>656</v>
      </c>
      <c r="AA138" s="58">
        <v>42796</v>
      </c>
      <c r="AB138" s="55" t="s">
        <v>48</v>
      </c>
      <c r="AC138" s="55" t="s">
        <v>48</v>
      </c>
      <c r="AD138" s="55" t="s">
        <v>48</v>
      </c>
      <c r="AE138" s="55" t="s">
        <v>48</v>
      </c>
      <c r="AF138" s="71"/>
      <c r="AG138" s="71"/>
      <c r="AH138" s="71"/>
      <c r="AI138" s="63"/>
      <c r="AJ138" s="60" t="s">
        <v>657</v>
      </c>
      <c r="AK138" s="60" t="s">
        <v>657</v>
      </c>
      <c r="AL138" s="60"/>
      <c r="AM138" s="51"/>
      <c r="AN138" s="51"/>
      <c r="AO138" s="70" t="s">
        <v>658</v>
      </c>
      <c r="AP138" s="156" t="s">
        <v>651</v>
      </c>
      <c r="AQ138" s="57" t="s">
        <v>671</v>
      </c>
      <c r="AR138" s="51" t="s">
        <v>64</v>
      </c>
      <c r="AS138" s="55" t="s">
        <v>95</v>
      </c>
      <c r="AT138" s="64"/>
    </row>
    <row r="139" spans="1:46">
      <c r="A139" s="51">
        <v>19</v>
      </c>
      <c r="B139" s="185"/>
      <c r="C139" s="276" t="s">
        <v>645</v>
      </c>
      <c r="D139" s="433" t="s">
        <v>144</v>
      </c>
      <c r="E139" s="161" t="s">
        <v>391</v>
      </c>
      <c r="F139" s="56">
        <v>43633</v>
      </c>
      <c r="G139" s="56">
        <v>43633</v>
      </c>
      <c r="H139" s="185"/>
      <c r="I139" s="185"/>
      <c r="J139" s="57">
        <f t="shared" ref="J139" ca="1" si="83">DATEDIF(F139,$A$3,"Y")</f>
        <v>1</v>
      </c>
      <c r="K139" s="57">
        <f t="shared" ca="1" si="80"/>
        <v>6</v>
      </c>
      <c r="L139" s="185"/>
      <c r="M139" s="185"/>
      <c r="N139" s="55" t="s">
        <v>35</v>
      </c>
      <c r="O139" s="55" t="s">
        <v>36</v>
      </c>
      <c r="P139" s="55" t="s">
        <v>41</v>
      </c>
      <c r="Q139" s="56">
        <v>30319</v>
      </c>
      <c r="R139" s="131">
        <f t="shared" ca="1" si="81"/>
        <v>38</v>
      </c>
      <c r="S139" s="131">
        <f t="shared" ca="1" si="82"/>
        <v>0</v>
      </c>
      <c r="T139" s="188" t="s">
        <v>136</v>
      </c>
      <c r="U139" s="185"/>
      <c r="V139" s="55" t="s">
        <v>44</v>
      </c>
      <c r="W139" s="55" t="s">
        <v>192</v>
      </c>
      <c r="X139" s="294"/>
      <c r="Y139" s="185"/>
      <c r="Z139" s="294"/>
      <c r="AA139" s="185"/>
      <c r="AB139" s="185"/>
      <c r="AC139" s="185"/>
      <c r="AD139" s="185"/>
      <c r="AE139" s="185"/>
      <c r="AF139" s="185"/>
      <c r="AG139" s="185"/>
      <c r="AH139" s="185"/>
      <c r="AI139" s="186" t="s">
        <v>648</v>
      </c>
      <c r="AJ139" s="185" t="s">
        <v>649</v>
      </c>
      <c r="AK139" s="185" t="s">
        <v>649</v>
      </c>
      <c r="AL139" s="185"/>
      <c r="AM139" s="185"/>
      <c r="AN139" s="51"/>
      <c r="AO139" s="185"/>
      <c r="AP139" s="184" t="s">
        <v>645</v>
      </c>
      <c r="AQ139" s="188" t="s">
        <v>668</v>
      </c>
      <c r="AR139" s="51" t="s">
        <v>64</v>
      </c>
      <c r="AS139" s="55" t="s">
        <v>95</v>
      </c>
      <c r="AT139" s="185"/>
    </row>
    <row r="140" spans="1:46">
      <c r="A140" s="51">
        <v>20</v>
      </c>
      <c r="B140" s="141">
        <v>9919030016</v>
      </c>
      <c r="C140" s="53" t="s">
        <v>578</v>
      </c>
      <c r="D140" s="433" t="s">
        <v>135</v>
      </c>
      <c r="E140" s="161" t="s">
        <v>391</v>
      </c>
      <c r="F140" s="56">
        <v>43544</v>
      </c>
      <c r="G140" s="143">
        <v>43544</v>
      </c>
      <c r="H140" s="56"/>
      <c r="I140" s="56"/>
      <c r="J140" s="57">
        <f ca="1">DATEDIF(F140,$A$3,"Y")</f>
        <v>1</v>
      </c>
      <c r="K140" s="57">
        <f t="shared" ca="1" si="80"/>
        <v>9</v>
      </c>
      <c r="L140" s="58"/>
      <c r="M140" s="58"/>
      <c r="N140" s="55" t="s">
        <v>76</v>
      </c>
      <c r="O140" s="55" t="s">
        <v>36</v>
      </c>
      <c r="P140" s="55" t="s">
        <v>41</v>
      </c>
      <c r="Q140" s="56">
        <v>33547</v>
      </c>
      <c r="R140" s="77">
        <f t="shared" ca="1" si="81"/>
        <v>29</v>
      </c>
      <c r="S140" s="77">
        <f t="shared" ca="1" si="82"/>
        <v>2</v>
      </c>
      <c r="T140" s="51" t="s">
        <v>130</v>
      </c>
      <c r="U140" s="51" t="s">
        <v>579</v>
      </c>
      <c r="V140" s="55" t="s">
        <v>105</v>
      </c>
      <c r="W140" s="55" t="s">
        <v>45</v>
      </c>
      <c r="X140" s="55" t="s">
        <v>580</v>
      </c>
      <c r="Y140" s="58">
        <v>32640</v>
      </c>
      <c r="Z140" s="55" t="s">
        <v>581</v>
      </c>
      <c r="AA140" s="58">
        <v>43081</v>
      </c>
      <c r="AB140" s="55" t="s">
        <v>48</v>
      </c>
      <c r="AC140" s="55" t="s">
        <v>48</v>
      </c>
      <c r="AD140" s="55" t="s">
        <v>48</v>
      </c>
      <c r="AE140" s="55" t="s">
        <v>48</v>
      </c>
      <c r="AF140" s="71"/>
      <c r="AG140" s="71"/>
      <c r="AH140" s="71"/>
      <c r="AI140" s="63" t="s">
        <v>582</v>
      </c>
      <c r="AJ140" s="60" t="s">
        <v>583</v>
      </c>
      <c r="AK140" s="60" t="s">
        <v>583</v>
      </c>
      <c r="AL140" s="60"/>
      <c r="AM140" s="51"/>
      <c r="AN140" s="51" t="s">
        <v>584</v>
      </c>
      <c r="AO140" s="70" t="s">
        <v>585</v>
      </c>
      <c r="AP140" s="63" t="s">
        <v>578</v>
      </c>
      <c r="AQ140" s="57" t="s">
        <v>589</v>
      </c>
      <c r="AR140" s="51" t="s">
        <v>64</v>
      </c>
      <c r="AS140" s="55" t="s">
        <v>95</v>
      </c>
      <c r="AT140" s="82" t="s">
        <v>586</v>
      </c>
    </row>
    <row r="141" spans="1:46">
      <c r="A141" s="51">
        <v>21</v>
      </c>
      <c r="B141" s="71" t="s">
        <v>630</v>
      </c>
      <c r="C141" s="53" t="s">
        <v>360</v>
      </c>
      <c r="D141" s="433" t="s">
        <v>113</v>
      </c>
      <c r="E141" s="161" t="s">
        <v>391</v>
      </c>
      <c r="F141" s="56">
        <v>43222</v>
      </c>
      <c r="G141" s="143">
        <v>43222</v>
      </c>
      <c r="H141" s="56">
        <v>43587</v>
      </c>
      <c r="I141" s="56"/>
      <c r="J141" s="57">
        <f ca="1">DATEDIF(F141,$A$3,"Y")</f>
        <v>2</v>
      </c>
      <c r="K141" s="57">
        <f t="shared" ca="1" si="80"/>
        <v>8</v>
      </c>
      <c r="L141" s="58"/>
      <c r="M141" s="58"/>
      <c r="N141" s="55" t="s">
        <v>35</v>
      </c>
      <c r="O141" s="55" t="s">
        <v>36</v>
      </c>
      <c r="P141" s="55" t="s">
        <v>41</v>
      </c>
      <c r="Q141" s="56">
        <v>32419</v>
      </c>
      <c r="R141" s="77">
        <f t="shared" ca="1" si="81"/>
        <v>32</v>
      </c>
      <c r="S141" s="77">
        <f t="shared" ca="1" si="82"/>
        <v>3</v>
      </c>
      <c r="T141" s="51" t="s">
        <v>68</v>
      </c>
      <c r="U141" s="51" t="s">
        <v>364</v>
      </c>
      <c r="V141" s="55" t="s">
        <v>48</v>
      </c>
      <c r="W141" s="51" t="s">
        <v>45</v>
      </c>
      <c r="X141" s="66" t="s">
        <v>365</v>
      </c>
      <c r="Y141" s="66">
        <v>31409</v>
      </c>
      <c r="Z141" s="66" t="s">
        <v>366</v>
      </c>
      <c r="AA141" s="66">
        <v>42670</v>
      </c>
      <c r="AB141" s="77">
        <f ca="1">DATEDIF(AA141,$A$3,"Y")</f>
        <v>4</v>
      </c>
      <c r="AC141" s="55" t="s">
        <v>48</v>
      </c>
      <c r="AD141" s="66"/>
      <c r="AE141" s="77"/>
      <c r="AF141" s="55" t="s">
        <v>48</v>
      </c>
      <c r="AG141" s="55" t="s">
        <v>48</v>
      </c>
      <c r="AH141" s="55" t="s">
        <v>48</v>
      </c>
      <c r="AI141" s="70" t="s">
        <v>367</v>
      </c>
      <c r="AJ141" s="60" t="s">
        <v>368</v>
      </c>
      <c r="AK141" s="60" t="s">
        <v>369</v>
      </c>
      <c r="AL141" s="60"/>
      <c r="AM141" s="73"/>
      <c r="AN141" s="73" t="s">
        <v>48</v>
      </c>
      <c r="AO141" s="70" t="s">
        <v>370</v>
      </c>
      <c r="AP141" s="63" t="s">
        <v>360</v>
      </c>
      <c r="AQ141" s="63"/>
      <c r="AR141" s="51" t="s">
        <v>64</v>
      </c>
      <c r="AS141" s="55" t="s">
        <v>95</v>
      </c>
      <c r="AT141" s="82"/>
    </row>
    <row r="142" spans="1:46" ht="18.75">
      <c r="A142" s="51">
        <v>22</v>
      </c>
      <c r="B142" s="91" t="s">
        <v>337</v>
      </c>
      <c r="C142" s="53" t="s">
        <v>255</v>
      </c>
      <c r="D142" s="433" t="s">
        <v>254</v>
      </c>
      <c r="E142" s="105" t="s">
        <v>650</v>
      </c>
      <c r="F142" s="56">
        <v>43202</v>
      </c>
      <c r="G142" s="56">
        <v>43202</v>
      </c>
      <c r="H142" s="56">
        <v>43567</v>
      </c>
      <c r="I142" s="56"/>
      <c r="J142" s="57">
        <f ca="1">DATEDIF(F142,$A$3,"Y")</f>
        <v>2</v>
      </c>
      <c r="K142" s="57">
        <f ca="1">DATEDIF(F142,$A$3,"YM")</f>
        <v>8</v>
      </c>
      <c r="L142" s="58"/>
      <c r="M142" s="58"/>
      <c r="N142" s="55" t="s">
        <v>35</v>
      </c>
      <c r="O142" s="55" t="s">
        <v>36</v>
      </c>
      <c r="P142" s="55" t="s">
        <v>41</v>
      </c>
      <c r="Q142" s="56">
        <v>25336</v>
      </c>
      <c r="R142" s="77">
        <f t="shared" ref="R142" ca="1" si="84">DATEDIF(Q142,$A$3,"Y")</f>
        <v>51</v>
      </c>
      <c r="S142" s="77">
        <f ca="1">DATEDIF(Q142,$A$3,"YM")</f>
        <v>7</v>
      </c>
      <c r="T142" s="51" t="s">
        <v>184</v>
      </c>
      <c r="U142" s="51" t="s">
        <v>48</v>
      </c>
      <c r="V142" s="55" t="s">
        <v>48</v>
      </c>
      <c r="W142" s="51" t="s">
        <v>45</v>
      </c>
      <c r="X142" s="51" t="s">
        <v>48</v>
      </c>
      <c r="Y142" s="51" t="s">
        <v>48</v>
      </c>
      <c r="Z142" s="51" t="s">
        <v>48</v>
      </c>
      <c r="AA142" s="51" t="s">
        <v>48</v>
      </c>
      <c r="AB142" s="51" t="s">
        <v>48</v>
      </c>
      <c r="AC142" s="51" t="s">
        <v>48</v>
      </c>
      <c r="AD142" s="51" t="s">
        <v>48</v>
      </c>
      <c r="AE142" s="51" t="s">
        <v>48</v>
      </c>
      <c r="AF142" s="66"/>
      <c r="AG142" s="66"/>
      <c r="AH142" s="66"/>
      <c r="AI142" s="74" t="s">
        <v>256</v>
      </c>
      <c r="AJ142" s="59" t="s">
        <v>257</v>
      </c>
      <c r="AK142" s="59" t="s">
        <v>257</v>
      </c>
      <c r="AL142" s="59"/>
      <c r="AM142" s="55"/>
      <c r="AN142" s="55" t="s">
        <v>48</v>
      </c>
      <c r="AO142" s="75" t="s">
        <v>48</v>
      </c>
      <c r="AP142" s="85" t="s">
        <v>255</v>
      </c>
      <c r="AQ142" s="75" t="s">
        <v>964</v>
      </c>
      <c r="AR142" s="51" t="s">
        <v>64</v>
      </c>
      <c r="AS142" s="55" t="s">
        <v>95</v>
      </c>
      <c r="AT142" s="68" t="s">
        <v>48</v>
      </c>
    </row>
    <row r="143" spans="1:46" s="65" customFormat="1" ht="20.25" customHeight="1">
      <c r="A143" s="51">
        <v>23</v>
      </c>
      <c r="B143" s="191" t="s">
        <v>660</v>
      </c>
      <c r="C143" s="321" t="s">
        <v>659</v>
      </c>
      <c r="D143" s="52" t="s">
        <v>144</v>
      </c>
      <c r="E143" s="161" t="s">
        <v>391</v>
      </c>
      <c r="F143" s="162">
        <v>43633</v>
      </c>
      <c r="G143" s="162">
        <v>43633</v>
      </c>
      <c r="H143" s="124"/>
      <c r="I143" s="124"/>
      <c r="J143" s="192">
        <f ca="1">DATEDIF(F143,$A$3,"Y")</f>
        <v>1</v>
      </c>
      <c r="K143" s="192">
        <f ca="1">DATEDIF(F143,$A$3,"YM")</f>
        <v>6</v>
      </c>
      <c r="L143" s="124"/>
      <c r="M143" s="124"/>
      <c r="N143" s="164" t="s">
        <v>76</v>
      </c>
      <c r="O143" s="55" t="s">
        <v>36</v>
      </c>
      <c r="P143" s="55" t="s">
        <v>661</v>
      </c>
      <c r="Q143" s="56">
        <v>33246</v>
      </c>
      <c r="R143" s="131">
        <f ca="1">DATEDIF(Q143,$A$3,"Y")</f>
        <v>29</v>
      </c>
      <c r="S143" s="131">
        <f ca="1">DATEDIF(Q143,$A$3,"YM")</f>
        <v>11</v>
      </c>
      <c r="T143" s="51" t="s">
        <v>152</v>
      </c>
      <c r="U143" s="51" t="s">
        <v>153</v>
      </c>
      <c r="V143" s="51" t="s">
        <v>44</v>
      </c>
      <c r="W143" s="55" t="s">
        <v>45</v>
      </c>
      <c r="X143" s="51" t="s">
        <v>662</v>
      </c>
      <c r="Y143" s="58">
        <v>33358</v>
      </c>
      <c r="Z143" s="51" t="s">
        <v>663</v>
      </c>
      <c r="AA143" s="58">
        <v>41378</v>
      </c>
      <c r="AB143" s="77">
        <f ca="1">DATEDIF(AA143,$A$3,"Y")</f>
        <v>7</v>
      </c>
      <c r="AC143" s="55" t="s">
        <v>48</v>
      </c>
      <c r="AD143" s="55" t="s">
        <v>48</v>
      </c>
      <c r="AE143" s="55" t="s">
        <v>48</v>
      </c>
      <c r="AF143" s="71"/>
      <c r="AG143" s="71"/>
      <c r="AH143" s="71"/>
      <c r="AI143" s="70" t="s">
        <v>664</v>
      </c>
      <c r="AJ143" s="60" t="s">
        <v>665</v>
      </c>
      <c r="AK143" s="60" t="s">
        <v>666</v>
      </c>
      <c r="AL143" s="60"/>
      <c r="AM143" s="51"/>
      <c r="AN143" s="51"/>
      <c r="AO143" s="70" t="s">
        <v>667</v>
      </c>
      <c r="AP143" s="156"/>
      <c r="AQ143" s="57" t="s">
        <v>670</v>
      </c>
      <c r="AR143" s="51" t="s">
        <v>64</v>
      </c>
      <c r="AS143" s="55" t="s">
        <v>95</v>
      </c>
      <c r="AT143" s="64"/>
    </row>
    <row r="144" spans="1:46" ht="18.75">
      <c r="A144" s="51">
        <v>24</v>
      </c>
      <c r="B144" s="51"/>
      <c r="C144" s="277" t="s">
        <v>551</v>
      </c>
      <c r="D144" s="433" t="s">
        <v>144</v>
      </c>
      <c r="E144" s="161" t="s">
        <v>391</v>
      </c>
      <c r="F144" s="58"/>
      <c r="G144" s="56"/>
      <c r="H144" s="56"/>
      <c r="I144" s="56"/>
      <c r="J144" s="57"/>
      <c r="K144" s="57"/>
      <c r="L144" s="58"/>
      <c r="M144" s="58"/>
      <c r="N144" s="55"/>
      <c r="O144" s="55"/>
      <c r="P144" s="55"/>
      <c r="Q144" s="56"/>
      <c r="R144" s="131"/>
      <c r="S144" s="131"/>
      <c r="T144" s="51"/>
      <c r="U144" s="51"/>
      <c r="V144" s="55"/>
      <c r="W144" s="55"/>
      <c r="X144" s="51"/>
      <c r="Y144" s="58"/>
      <c r="Z144" s="51"/>
      <c r="AA144" s="58"/>
      <c r="AB144" s="57"/>
      <c r="AC144" s="62"/>
      <c r="AD144" s="71"/>
      <c r="AE144" s="57"/>
      <c r="AF144" s="71"/>
      <c r="AG144" s="71"/>
      <c r="AH144" s="71"/>
      <c r="AI144" s="63"/>
      <c r="AJ144" s="60"/>
      <c r="AK144" s="60"/>
      <c r="AL144" s="60"/>
      <c r="AM144" s="51"/>
      <c r="AN144" s="51" t="s">
        <v>48</v>
      </c>
      <c r="AO144" s="70"/>
      <c r="AP144" s="157" t="s">
        <v>551</v>
      </c>
      <c r="AQ144" s="57"/>
      <c r="AR144" s="51" t="s">
        <v>64</v>
      </c>
      <c r="AS144" s="55" t="s">
        <v>95</v>
      </c>
      <c r="AT144" s="64"/>
    </row>
    <row r="145" spans="1:331" s="65" customFormat="1" ht="20.25" customHeight="1">
      <c r="A145" s="51">
        <v>25</v>
      </c>
      <c r="B145" s="213">
        <v>9919070038</v>
      </c>
      <c r="C145" s="53" t="s">
        <v>793</v>
      </c>
      <c r="D145" s="433" t="s">
        <v>794</v>
      </c>
      <c r="E145" s="161" t="s">
        <v>391</v>
      </c>
      <c r="F145" s="58">
        <v>43676</v>
      </c>
      <c r="G145" s="58">
        <v>43676</v>
      </c>
      <c r="H145" s="58"/>
      <c r="I145" s="58"/>
      <c r="J145" s="57">
        <f ca="1">DATEDIF(F145,$A$3,"Y")</f>
        <v>1</v>
      </c>
      <c r="K145" s="57">
        <f ca="1">DATEDIF(F145,$A$3,"YM")</f>
        <v>5</v>
      </c>
      <c r="L145" s="58"/>
      <c r="M145" s="58"/>
      <c r="N145" s="55" t="s">
        <v>35</v>
      </c>
      <c r="O145" s="55" t="s">
        <v>36</v>
      </c>
      <c r="P145" s="55" t="s">
        <v>197</v>
      </c>
      <c r="Q145" s="56">
        <v>30183</v>
      </c>
      <c r="R145" s="190">
        <f ca="1">DATEDIF(Q145,$A$3,"Y")</f>
        <v>38</v>
      </c>
      <c r="S145" s="131">
        <f ca="1">DATEDIF(Q145,$A$3,"YM")</f>
        <v>4</v>
      </c>
      <c r="T145" s="51" t="s">
        <v>130</v>
      </c>
      <c r="U145" s="195" t="s">
        <v>795</v>
      </c>
      <c r="V145" s="51" t="s">
        <v>44</v>
      </c>
      <c r="W145" s="55" t="s">
        <v>45</v>
      </c>
      <c r="X145" s="202" t="s">
        <v>796</v>
      </c>
      <c r="Y145" s="58">
        <v>32445</v>
      </c>
      <c r="Z145" s="202" t="s">
        <v>797</v>
      </c>
      <c r="AA145" s="58">
        <v>41805</v>
      </c>
      <c r="AB145" s="77">
        <f ca="1">DATEDIF(AA145,$A$3,"Y")</f>
        <v>6</v>
      </c>
      <c r="AC145" s="55" t="s">
        <v>48</v>
      </c>
      <c r="AD145" s="55" t="s">
        <v>48</v>
      </c>
      <c r="AE145" s="55" t="s">
        <v>48</v>
      </c>
      <c r="AF145" s="55" t="s">
        <v>48</v>
      </c>
      <c r="AG145" s="55" t="s">
        <v>48</v>
      </c>
      <c r="AH145" s="55" t="s">
        <v>48</v>
      </c>
      <c r="AI145" s="197" t="s">
        <v>798</v>
      </c>
      <c r="AJ145" s="198" t="s">
        <v>799</v>
      </c>
      <c r="AK145" s="60" t="s">
        <v>800</v>
      </c>
      <c r="AL145" s="60"/>
      <c r="AM145" s="60"/>
      <c r="AN145" s="60"/>
      <c r="AO145" s="70" t="s">
        <v>801</v>
      </c>
      <c r="AP145" s="63" t="s">
        <v>793</v>
      </c>
      <c r="AQ145" s="212" t="s">
        <v>802</v>
      </c>
      <c r="AR145" s="51" t="s">
        <v>64</v>
      </c>
      <c r="AS145" s="55" t="s">
        <v>95</v>
      </c>
      <c r="AT145" s="242"/>
    </row>
    <row r="146" spans="1:331" s="18" customFormat="1" ht="18.75" customHeight="1">
      <c r="A146" s="51">
        <v>26</v>
      </c>
      <c r="B146" s="229">
        <v>9919080042</v>
      </c>
      <c r="C146" s="322" t="s">
        <v>831</v>
      </c>
      <c r="D146" s="433" t="s">
        <v>254</v>
      </c>
      <c r="E146" s="161" t="s">
        <v>391</v>
      </c>
      <c r="F146" s="58">
        <v>43699</v>
      </c>
      <c r="G146" s="58">
        <v>43699</v>
      </c>
      <c r="H146" s="215"/>
      <c r="I146" s="215"/>
      <c r="J146" s="57">
        <f ca="1">DATEDIF(F146,$A$3,"Y")</f>
        <v>1</v>
      </c>
      <c r="K146" s="57">
        <f ca="1">DATEDIF(F146,$A$3,"YM")</f>
        <v>4</v>
      </c>
      <c r="L146" s="215"/>
      <c r="M146" s="215"/>
      <c r="N146" s="55" t="s">
        <v>35</v>
      </c>
      <c r="O146" s="55" t="s">
        <v>36</v>
      </c>
      <c r="P146" s="55" t="s">
        <v>41</v>
      </c>
      <c r="Q146" s="56">
        <v>24539</v>
      </c>
      <c r="R146" s="77">
        <f ca="1">DATEDIF(Q146,$A$3,"Y")</f>
        <v>53</v>
      </c>
      <c r="S146" s="77">
        <f ca="1">DATEDIF(Q146,$A$3,"YM")</f>
        <v>9</v>
      </c>
      <c r="T146" s="51" t="s">
        <v>152</v>
      </c>
      <c r="U146" s="217" t="s">
        <v>732</v>
      </c>
      <c r="V146" s="217" t="s">
        <v>224</v>
      </c>
      <c r="W146" s="51" t="s">
        <v>45</v>
      </c>
      <c r="X146" s="217" t="s">
        <v>834</v>
      </c>
      <c r="Y146" s="66">
        <v>25369</v>
      </c>
      <c r="Z146" s="217" t="s">
        <v>835</v>
      </c>
      <c r="AA146" s="66">
        <v>39130</v>
      </c>
      <c r="AB146" s="51" t="s">
        <v>48</v>
      </c>
      <c r="AC146" s="51" t="s">
        <v>48</v>
      </c>
      <c r="AD146" s="51" t="s">
        <v>48</v>
      </c>
      <c r="AE146" s="51" t="s">
        <v>48</v>
      </c>
      <c r="AF146" s="55" t="s">
        <v>48</v>
      </c>
      <c r="AG146" s="55" t="s">
        <v>48</v>
      </c>
      <c r="AH146" s="55" t="s">
        <v>48</v>
      </c>
      <c r="AI146" s="218" t="s">
        <v>836</v>
      </c>
      <c r="AJ146" s="214" t="s">
        <v>837</v>
      </c>
      <c r="AK146" s="214" t="s">
        <v>837</v>
      </c>
      <c r="AL146" s="215"/>
      <c r="AM146" s="216"/>
      <c r="AN146" s="73" t="s">
        <v>48</v>
      </c>
      <c r="AO146" s="218" t="s">
        <v>838</v>
      </c>
      <c r="AP146" s="217" t="s">
        <v>831</v>
      </c>
      <c r="AQ146" s="217" t="s">
        <v>839</v>
      </c>
      <c r="AR146" s="51" t="s">
        <v>64</v>
      </c>
      <c r="AS146" s="55" t="s">
        <v>95</v>
      </c>
      <c r="AT146" s="246"/>
      <c r="CC146" s="187"/>
      <c r="CD146" s="187"/>
      <c r="CE146" s="187"/>
      <c r="CF146" s="187"/>
      <c r="CG146" s="187"/>
      <c r="CH146" s="187"/>
      <c r="CI146" s="187"/>
      <c r="CJ146" s="187"/>
      <c r="CK146" s="187"/>
      <c r="CL146" s="187"/>
      <c r="CM146" s="187"/>
      <c r="CN146" s="187"/>
      <c r="CO146" s="187"/>
      <c r="CP146" s="187"/>
      <c r="CQ146" s="187"/>
      <c r="CR146" s="187"/>
      <c r="CS146" s="187"/>
      <c r="CT146" s="187"/>
      <c r="CU146" s="187"/>
      <c r="CV146" s="187"/>
      <c r="CW146" s="187"/>
      <c r="CX146" s="187"/>
      <c r="CY146" s="187"/>
      <c r="CZ146" s="187"/>
      <c r="DA146" s="187"/>
      <c r="DB146" s="187"/>
      <c r="DC146" s="187"/>
      <c r="DD146" s="187"/>
      <c r="DE146" s="187"/>
      <c r="DF146" s="187"/>
      <c r="DG146" s="187"/>
      <c r="DH146" s="187"/>
      <c r="DI146" s="187"/>
      <c r="DJ146" s="187"/>
      <c r="DK146" s="187"/>
      <c r="DL146" s="187"/>
      <c r="DM146" s="187"/>
      <c r="DN146" s="187"/>
      <c r="DO146" s="187"/>
      <c r="DP146" s="187"/>
      <c r="DQ146" s="187"/>
      <c r="DR146" s="187"/>
      <c r="DS146" s="187"/>
      <c r="DT146" s="187"/>
      <c r="DU146" s="187"/>
      <c r="DV146" s="187"/>
      <c r="DW146" s="187"/>
      <c r="DX146" s="187"/>
      <c r="DY146" s="187"/>
      <c r="DZ146" s="187"/>
      <c r="EA146" s="187"/>
      <c r="EB146" s="187"/>
      <c r="EC146" s="187"/>
      <c r="ED146" s="187"/>
      <c r="EE146" s="187"/>
      <c r="EF146" s="187"/>
      <c r="EG146" s="187"/>
      <c r="EH146" s="187"/>
      <c r="EI146" s="187"/>
      <c r="EJ146" s="187"/>
      <c r="EK146" s="187"/>
      <c r="EL146" s="187"/>
      <c r="EM146" s="187"/>
      <c r="EN146" s="187"/>
      <c r="EO146" s="187"/>
      <c r="EP146" s="187"/>
      <c r="EQ146" s="187"/>
      <c r="ER146" s="187"/>
      <c r="ES146" s="187"/>
      <c r="ET146" s="187"/>
      <c r="EU146" s="187"/>
      <c r="EV146" s="187"/>
      <c r="EW146" s="187"/>
      <c r="EX146" s="187"/>
      <c r="EY146" s="187"/>
      <c r="EZ146" s="187"/>
      <c r="FA146" s="187"/>
      <c r="FB146" s="187"/>
      <c r="FC146" s="187"/>
      <c r="FD146" s="187"/>
      <c r="FE146" s="187"/>
      <c r="FF146" s="187"/>
      <c r="FG146" s="187"/>
      <c r="FH146" s="187"/>
      <c r="FI146" s="187"/>
      <c r="FJ146" s="187"/>
      <c r="FK146" s="187"/>
      <c r="FL146" s="187"/>
      <c r="FM146" s="187"/>
      <c r="FN146" s="187"/>
      <c r="FO146" s="187"/>
      <c r="FP146" s="187"/>
      <c r="FQ146" s="187"/>
      <c r="FR146" s="187"/>
      <c r="FS146" s="187"/>
      <c r="FT146" s="187"/>
      <c r="FU146" s="187"/>
      <c r="FV146" s="187"/>
      <c r="FW146" s="187"/>
      <c r="FX146" s="187"/>
      <c r="FY146" s="187"/>
      <c r="FZ146" s="187"/>
      <c r="GA146" s="187"/>
      <c r="GB146" s="187"/>
      <c r="GC146" s="187"/>
      <c r="GD146" s="187"/>
      <c r="GE146" s="187"/>
      <c r="GF146" s="187"/>
      <c r="GG146" s="187"/>
      <c r="GH146" s="187"/>
      <c r="GI146" s="187"/>
      <c r="GJ146" s="187"/>
      <c r="GK146" s="187"/>
      <c r="GL146" s="187"/>
      <c r="GM146" s="187"/>
      <c r="GN146" s="187"/>
      <c r="GO146" s="187"/>
      <c r="GP146" s="187"/>
      <c r="GQ146" s="187"/>
      <c r="GR146" s="187"/>
      <c r="GS146" s="187"/>
      <c r="GT146" s="187"/>
      <c r="GU146" s="187"/>
      <c r="GV146" s="187"/>
      <c r="GW146" s="187"/>
      <c r="GX146" s="187"/>
      <c r="GY146" s="187"/>
      <c r="GZ146" s="187"/>
      <c r="HA146" s="187"/>
      <c r="HB146" s="187"/>
      <c r="HC146" s="187"/>
      <c r="HD146" s="187"/>
      <c r="HE146" s="187"/>
      <c r="HF146" s="187"/>
      <c r="HG146" s="187"/>
      <c r="HH146" s="187"/>
      <c r="HI146" s="187"/>
      <c r="HJ146" s="187"/>
      <c r="HK146" s="187"/>
      <c r="HL146" s="187"/>
      <c r="HM146" s="187"/>
      <c r="HN146" s="187"/>
      <c r="HO146" s="187"/>
      <c r="HP146" s="187"/>
      <c r="HQ146" s="187"/>
      <c r="HR146" s="187"/>
      <c r="HS146" s="187"/>
      <c r="HT146" s="187"/>
      <c r="HU146" s="187"/>
      <c r="HV146" s="187"/>
      <c r="HW146" s="187"/>
      <c r="HX146" s="187"/>
      <c r="HY146" s="187"/>
      <c r="HZ146" s="187"/>
      <c r="IA146" s="187"/>
      <c r="IB146" s="187"/>
      <c r="IC146" s="187"/>
      <c r="ID146" s="187"/>
      <c r="IE146" s="187"/>
      <c r="IF146" s="187"/>
      <c r="IG146" s="187"/>
      <c r="IH146" s="187"/>
      <c r="II146" s="187"/>
      <c r="IJ146" s="187"/>
      <c r="IK146" s="187"/>
      <c r="IL146" s="187"/>
      <c r="IM146" s="187"/>
      <c r="IN146" s="187"/>
      <c r="IO146" s="187"/>
      <c r="IP146" s="187"/>
      <c r="IQ146" s="187"/>
      <c r="IR146" s="187"/>
      <c r="IS146" s="187"/>
      <c r="IT146" s="187"/>
      <c r="IU146" s="187"/>
      <c r="IV146" s="187"/>
      <c r="IW146" s="187"/>
      <c r="IX146" s="187"/>
      <c r="IY146" s="187"/>
      <c r="IZ146" s="187"/>
      <c r="JA146" s="187"/>
      <c r="JB146" s="187"/>
      <c r="JC146" s="187"/>
      <c r="JD146" s="187"/>
      <c r="JE146" s="187"/>
      <c r="JF146" s="187"/>
      <c r="JG146" s="187"/>
      <c r="JH146" s="187"/>
      <c r="JI146" s="187"/>
      <c r="JJ146" s="187"/>
      <c r="JK146" s="187"/>
      <c r="JL146" s="187"/>
      <c r="JM146" s="187"/>
      <c r="JN146" s="187"/>
      <c r="JO146" s="187"/>
      <c r="JP146" s="187"/>
      <c r="JQ146" s="187"/>
      <c r="JR146" s="187"/>
      <c r="JS146" s="187"/>
      <c r="JT146" s="187"/>
      <c r="JU146" s="187"/>
      <c r="JV146" s="187"/>
      <c r="JW146" s="187"/>
      <c r="JX146" s="187"/>
      <c r="JY146" s="187"/>
      <c r="JZ146" s="187"/>
      <c r="KA146" s="187"/>
      <c r="KB146" s="187"/>
      <c r="KC146" s="187"/>
      <c r="KD146" s="187"/>
      <c r="KE146" s="187"/>
      <c r="KF146" s="187"/>
      <c r="KG146" s="187"/>
      <c r="KH146" s="187"/>
      <c r="KI146" s="187"/>
      <c r="KJ146" s="187"/>
      <c r="KK146" s="187"/>
      <c r="KL146" s="187"/>
      <c r="KM146" s="187"/>
      <c r="KN146" s="187"/>
      <c r="KO146" s="187"/>
      <c r="KP146" s="187"/>
      <c r="KQ146" s="187"/>
      <c r="KR146" s="187"/>
      <c r="KS146" s="187"/>
      <c r="KT146" s="187"/>
      <c r="KU146" s="187"/>
      <c r="KV146" s="187"/>
      <c r="KW146" s="187"/>
      <c r="KX146" s="187"/>
      <c r="KY146" s="187"/>
      <c r="KZ146" s="187"/>
      <c r="LA146" s="187"/>
      <c r="LB146" s="187"/>
      <c r="LC146" s="187"/>
      <c r="LD146" s="187"/>
      <c r="LE146" s="187"/>
      <c r="LF146" s="187"/>
      <c r="LG146" s="187"/>
      <c r="LH146" s="187"/>
      <c r="LI146" s="187"/>
      <c r="LJ146" s="187"/>
      <c r="LK146" s="187"/>
      <c r="LL146" s="187"/>
      <c r="LM146" s="187"/>
      <c r="LN146" s="187"/>
      <c r="LO146" s="187"/>
      <c r="LP146" s="187"/>
      <c r="LQ146" s="187"/>
      <c r="LR146" s="187"/>
      <c r="LS146" s="187"/>
    </row>
    <row r="147" spans="1:331" s="122" customFormat="1" ht="18.75" customHeight="1">
      <c r="A147" s="51">
        <v>27</v>
      </c>
      <c r="B147" s="183" t="s">
        <v>857</v>
      </c>
      <c r="C147" s="106" t="s">
        <v>854</v>
      </c>
      <c r="D147" s="142" t="s">
        <v>855</v>
      </c>
      <c r="E147" s="161" t="s">
        <v>391</v>
      </c>
      <c r="F147" s="143">
        <v>43724</v>
      </c>
      <c r="G147" s="143">
        <v>43724</v>
      </c>
      <c r="H147" s="143"/>
      <c r="I147" s="143"/>
      <c r="J147" s="152">
        <f ca="1">DATEDIF(F147,$A$3,"Y")</f>
        <v>1</v>
      </c>
      <c r="K147" s="152">
        <f ca="1">DATEDIF(F147,$A$3,"YM")</f>
        <v>3</v>
      </c>
      <c r="L147" s="143"/>
      <c r="M147" s="143"/>
      <c r="N147" s="55" t="s">
        <v>76</v>
      </c>
      <c r="O147" s="142" t="s">
        <v>36</v>
      </c>
      <c r="P147" s="142" t="s">
        <v>41</v>
      </c>
      <c r="Q147" s="143">
        <v>34538</v>
      </c>
      <c r="R147" s="148">
        <f ca="1">DATEDIF(Q147,$A$3,"Y")</f>
        <v>26</v>
      </c>
      <c r="S147" s="148">
        <f ca="1">DATEDIF(Q147,$A$3,"YM")</f>
        <v>5</v>
      </c>
      <c r="T147" s="142" t="s">
        <v>130</v>
      </c>
      <c r="U147" s="142" t="s">
        <v>858</v>
      </c>
      <c r="V147" s="55" t="s">
        <v>459</v>
      </c>
      <c r="W147" s="55" t="s">
        <v>59</v>
      </c>
      <c r="X147" s="55" t="s">
        <v>48</v>
      </c>
      <c r="Y147" s="55" t="s">
        <v>48</v>
      </c>
      <c r="Z147" s="55" t="s">
        <v>48</v>
      </c>
      <c r="AA147" s="55" t="s">
        <v>48</v>
      </c>
      <c r="AB147" s="55" t="s">
        <v>48</v>
      </c>
      <c r="AC147" s="55" t="s">
        <v>48</v>
      </c>
      <c r="AD147" s="55" t="s">
        <v>48</v>
      </c>
      <c r="AE147" s="55" t="s">
        <v>48</v>
      </c>
      <c r="AF147" s="55" t="s">
        <v>48</v>
      </c>
      <c r="AG147" s="55" t="s">
        <v>48</v>
      </c>
      <c r="AH147" s="55" t="s">
        <v>48</v>
      </c>
      <c r="AI147" s="209" t="s">
        <v>859</v>
      </c>
      <c r="AJ147" s="153" t="s">
        <v>860</v>
      </c>
      <c r="AK147" s="153" t="s">
        <v>860</v>
      </c>
      <c r="AL147" s="149"/>
      <c r="AM147" s="141"/>
      <c r="AN147" s="211" t="s">
        <v>48</v>
      </c>
      <c r="AO147" s="154" t="s">
        <v>861</v>
      </c>
      <c r="AP147" s="158" t="s">
        <v>854</v>
      </c>
      <c r="AQ147" s="154"/>
      <c r="AR147" s="141" t="s">
        <v>64</v>
      </c>
      <c r="AS147" s="142" t="s">
        <v>95</v>
      </c>
      <c r="AT147" s="240"/>
    </row>
    <row r="148" spans="1:331" s="65" customFormat="1" ht="18.75" customHeight="1">
      <c r="A148" s="193">
        <v>57</v>
      </c>
      <c r="B148" s="194" t="s">
        <v>706</v>
      </c>
      <c r="C148" s="53" t="s">
        <v>705</v>
      </c>
      <c r="D148" s="433" t="s">
        <v>113</v>
      </c>
      <c r="E148" s="105" t="s">
        <v>650</v>
      </c>
      <c r="F148" s="58">
        <v>43647</v>
      </c>
      <c r="G148" s="58">
        <v>43647</v>
      </c>
      <c r="H148" s="58"/>
      <c r="I148" s="58"/>
      <c r="J148" s="57">
        <f ca="1">DATEDIF(F148,$A$3,"Y")</f>
        <v>1</v>
      </c>
      <c r="K148" s="57">
        <f ca="1">DATEDIF(F148,$A$3,"YM")</f>
        <v>6</v>
      </c>
      <c r="L148" s="58"/>
      <c r="M148" s="58"/>
      <c r="N148" s="55" t="s">
        <v>35</v>
      </c>
      <c r="O148" s="55" t="s">
        <v>36</v>
      </c>
      <c r="P148" s="55" t="s">
        <v>41</v>
      </c>
      <c r="Q148" s="56">
        <v>28841</v>
      </c>
      <c r="R148" s="77">
        <f ca="1">DATEDIF(Q148,$A$3,"Y")</f>
        <v>42</v>
      </c>
      <c r="S148" s="77">
        <f ca="1">DATEDIF(Q148,$A$3,"YM")</f>
        <v>0</v>
      </c>
      <c r="T148" s="51" t="s">
        <v>68</v>
      </c>
      <c r="U148" s="51" t="s">
        <v>68</v>
      </c>
      <c r="V148" s="55" t="s">
        <v>48</v>
      </c>
      <c r="W148" s="51" t="s">
        <v>45</v>
      </c>
      <c r="X148" s="55" t="s">
        <v>48</v>
      </c>
      <c r="Y148" s="55" t="s">
        <v>48</v>
      </c>
      <c r="Z148" s="55" t="s">
        <v>48</v>
      </c>
      <c r="AA148" s="55" t="s">
        <v>48</v>
      </c>
      <c r="AB148" s="55" t="s">
        <v>48</v>
      </c>
      <c r="AC148" s="55" t="s">
        <v>48</v>
      </c>
      <c r="AD148" s="55" t="s">
        <v>48</v>
      </c>
      <c r="AE148" s="55" t="s">
        <v>48</v>
      </c>
      <c r="AF148" s="55" t="s">
        <v>48</v>
      </c>
      <c r="AG148" s="55" t="s">
        <v>48</v>
      </c>
      <c r="AH148" s="55" t="s">
        <v>48</v>
      </c>
      <c r="AI148" s="70" t="s">
        <v>707</v>
      </c>
      <c r="AJ148" s="60" t="s">
        <v>710</v>
      </c>
      <c r="AK148" s="60" t="s">
        <v>708</v>
      </c>
      <c r="AL148" s="60"/>
      <c r="AM148" s="60"/>
      <c r="AN148" s="71" t="s">
        <v>48</v>
      </c>
      <c r="AO148" s="71" t="s">
        <v>709</v>
      </c>
      <c r="AP148" s="63" t="s">
        <v>705</v>
      </c>
      <c r="AQ148" s="57" t="s">
        <v>712</v>
      </c>
      <c r="AR148" s="51" t="s">
        <v>64</v>
      </c>
      <c r="AS148" s="55" t="s">
        <v>95</v>
      </c>
      <c r="AT148" s="242" t="s">
        <v>48</v>
      </c>
    </row>
    <row r="149" spans="1:331" s="65" customFormat="1" ht="18.75" customHeight="1">
      <c r="A149" s="51">
        <v>18</v>
      </c>
      <c r="B149" s="229">
        <v>9919070037</v>
      </c>
      <c r="C149" s="53" t="s">
        <v>787</v>
      </c>
      <c r="D149" s="433" t="s">
        <v>788</v>
      </c>
      <c r="E149" s="273" t="s">
        <v>650</v>
      </c>
      <c r="F149" s="58">
        <v>43675</v>
      </c>
      <c r="G149" s="58">
        <v>43675</v>
      </c>
      <c r="H149" s="58"/>
      <c r="I149" s="58"/>
      <c r="J149" s="57">
        <f ca="1">DATEDIF(F149,$A$3,"Y")</f>
        <v>1</v>
      </c>
      <c r="K149" s="108">
        <f ca="1">DATEDIF(F149,$A$3,"YM")</f>
        <v>5</v>
      </c>
      <c r="L149" s="56"/>
      <c r="M149" s="56"/>
      <c r="N149" s="55" t="s">
        <v>76</v>
      </c>
      <c r="O149" s="55" t="s">
        <v>36</v>
      </c>
      <c r="P149" s="55" t="s">
        <v>41</v>
      </c>
      <c r="Q149" s="56">
        <v>34761</v>
      </c>
      <c r="R149" s="77">
        <f ca="1">DATEDIF(Q149,$A$3,"Y")</f>
        <v>25</v>
      </c>
      <c r="S149" s="77">
        <f ca="1">DATEDIF(Q149,$A$3,"YM")</f>
        <v>10</v>
      </c>
      <c r="T149" s="55" t="s">
        <v>130</v>
      </c>
      <c r="U149" s="51" t="s">
        <v>161</v>
      </c>
      <c r="V149" s="51" t="s">
        <v>48</v>
      </c>
      <c r="W149" s="55" t="s">
        <v>59</v>
      </c>
      <c r="X149" s="55" t="s">
        <v>48</v>
      </c>
      <c r="Y149" s="55" t="s">
        <v>48</v>
      </c>
      <c r="Z149" s="55" t="s">
        <v>48</v>
      </c>
      <c r="AA149" s="55" t="s">
        <v>48</v>
      </c>
      <c r="AB149" s="55" t="s">
        <v>48</v>
      </c>
      <c r="AC149" s="55" t="s">
        <v>48</v>
      </c>
      <c r="AD149" s="55" t="s">
        <v>48</v>
      </c>
      <c r="AE149" s="55" t="s">
        <v>48</v>
      </c>
      <c r="AF149" s="71"/>
      <c r="AG149" s="58"/>
      <c r="AH149" s="51"/>
      <c r="AI149" s="206" t="s">
        <v>789</v>
      </c>
      <c r="AJ149" s="51" t="s">
        <v>790</v>
      </c>
      <c r="AK149" s="51" t="s">
        <v>790</v>
      </c>
      <c r="AL149" s="51"/>
      <c r="AM149" s="51"/>
      <c r="AN149" s="208" t="s">
        <v>48</v>
      </c>
      <c r="AO149" s="206" t="s">
        <v>791</v>
      </c>
      <c r="AP149" s="63" t="s">
        <v>787</v>
      </c>
      <c r="AQ149" s="205" t="s">
        <v>808</v>
      </c>
      <c r="AR149" s="55" t="s">
        <v>64</v>
      </c>
      <c r="AS149" s="55" t="s">
        <v>95</v>
      </c>
      <c r="AT149" s="226" t="s">
        <v>792</v>
      </c>
    </row>
  </sheetData>
  <autoFilter ref="A5:AT83">
    <filterColumn colId="0" showButton="0"/>
    <filterColumn colId="9" showButton="0"/>
    <filterColumn colId="11" showButton="0"/>
    <filterColumn colId="17" showButton="0"/>
    <filterColumn colId="19" showButton="0"/>
    <filterColumn colId="20" showButton="0"/>
    <filterColumn colId="23" showButton="0"/>
    <filterColumn colId="25" showButton="0"/>
    <filterColumn colId="26" showButton="0"/>
    <filterColumn colId="27" showButton="0"/>
    <filterColumn colId="28" showButton="0"/>
    <filterColumn colId="29" showButton="0"/>
    <filterColumn colId="31" showButton="0"/>
    <filterColumn colId="32" showButton="0"/>
    <filterColumn colId="34" showButton="0"/>
    <filterColumn colId="41" showButton="0"/>
    <filterColumn colId="42" showButton="0"/>
    <filterColumn colId="43" showButton="0"/>
  </autoFilter>
  <dataConsolidate/>
  <mergeCells count="60">
    <mergeCell ref="A107:C107"/>
    <mergeCell ref="A121:B121"/>
    <mergeCell ref="AP6:AP7"/>
    <mergeCell ref="X6:X7"/>
    <mergeCell ref="Y6:Y7"/>
    <mergeCell ref="F5:F7"/>
    <mergeCell ref="J5:K5"/>
    <mergeCell ref="AH6:AH7"/>
    <mergeCell ref="AI6:AI7"/>
    <mergeCell ref="AM5:AM7"/>
    <mergeCell ref="AN5:AN7"/>
    <mergeCell ref="AO5:AO7"/>
    <mergeCell ref="AJ6:AJ7"/>
    <mergeCell ref="AP5:AS5"/>
    <mergeCell ref="AQ6:AQ7"/>
    <mergeCell ref="AR6:AR7"/>
    <mergeCell ref="AS6:AS7"/>
    <mergeCell ref="AG6:AG7"/>
    <mergeCell ref="AC6:AC7"/>
    <mergeCell ref="Q5:Q6"/>
    <mergeCell ref="R5:S6"/>
    <mergeCell ref="T5:U5"/>
    <mergeCell ref="V5:V7"/>
    <mergeCell ref="W5:W7"/>
    <mergeCell ref="X5:Y5"/>
    <mergeCell ref="AD6:AD7"/>
    <mergeCell ref="AE6:AE7"/>
    <mergeCell ref="AF6:AF7"/>
    <mergeCell ref="AT5:AT7"/>
    <mergeCell ref="J6:K6"/>
    <mergeCell ref="L6:L7"/>
    <mergeCell ref="M6:M7"/>
    <mergeCell ref="T6:T7"/>
    <mergeCell ref="U6:U7"/>
    <mergeCell ref="Z5:AB5"/>
    <mergeCell ref="AC5:AE5"/>
    <mergeCell ref="AF5:AH5"/>
    <mergeCell ref="AI5:AJ5"/>
    <mergeCell ref="AK5:AK7"/>
    <mergeCell ref="AL5:AL7"/>
    <mergeCell ref="Z6:Z7"/>
    <mergeCell ref="AA6:AA7"/>
    <mergeCell ref="AB6:AB7"/>
    <mergeCell ref="L5:M5"/>
    <mergeCell ref="A3:C3"/>
    <mergeCell ref="A5:A7"/>
    <mergeCell ref="B5:B7"/>
    <mergeCell ref="C5:C7"/>
    <mergeCell ref="D5:D7"/>
    <mergeCell ref="G5:I6"/>
    <mergeCell ref="A84:B84"/>
    <mergeCell ref="N5:N7"/>
    <mergeCell ref="O5:O7"/>
    <mergeCell ref="P5:P7"/>
    <mergeCell ref="E5:E7"/>
    <mergeCell ref="A43:B43"/>
    <mergeCell ref="A82:B82"/>
    <mergeCell ref="A11:B11"/>
    <mergeCell ref="A8:B8"/>
    <mergeCell ref="A76:B76"/>
  </mergeCells>
  <conditionalFormatting sqref="D9">
    <cfRule type="expression" dxfId="33" priority="2" stopIfTrue="1">
      <formula>$D$9</formula>
    </cfRule>
  </conditionalFormatting>
  <conditionalFormatting sqref="D10">
    <cfRule type="expression" dxfId="32" priority="1" stopIfTrue="1">
      <formula>$D$9</formula>
    </cfRule>
  </conditionalFormatting>
  <hyperlinks>
    <hyperlink ref="AT12" r:id="rId1"/>
    <hyperlink ref="AT16" r:id="rId2"/>
    <hyperlink ref="AT21" r:id="rId3"/>
    <hyperlink ref="AT22" r:id="rId4"/>
    <hyperlink ref="AT44" r:id="rId5"/>
    <hyperlink ref="AT131" r:id="rId6"/>
    <hyperlink ref="AT78" r:id="rId7"/>
    <hyperlink ref="AT53" r:id="rId8"/>
    <hyperlink ref="AT17" r:id="rId9"/>
    <hyperlink ref="AT116" r:id="rId10"/>
    <hyperlink ref="AT27" r:id="rId11"/>
    <hyperlink ref="AT46" r:id="rId12"/>
    <hyperlink ref="AT13" r:id="rId13"/>
    <hyperlink ref="AT136" r:id="rId14"/>
    <hyperlink ref="AT18" r:id="rId15"/>
    <hyperlink ref="AT20" r:id="rId16"/>
    <hyperlink ref="AT14" r:id="rId17"/>
    <hyperlink ref="AT15" r:id="rId18"/>
    <hyperlink ref="AT127" r:id="rId19"/>
    <hyperlink ref="AT25" r:id="rId20"/>
    <hyperlink ref="AT19" r:id="rId21"/>
    <hyperlink ref="AT85" r:id="rId22"/>
    <hyperlink ref="AT24" r:id="rId23"/>
    <hyperlink ref="AT140" r:id="rId24"/>
    <hyperlink ref="AT47" r:id="rId25"/>
    <hyperlink ref="AT28" r:id="rId26"/>
    <hyperlink ref="AT149" r:id="rId27"/>
    <hyperlink ref="AT31" r:id="rId28"/>
    <hyperlink ref="AT32" r:id="rId29"/>
    <hyperlink ref="AT33" r:id="rId30"/>
    <hyperlink ref="AT34" r:id="rId31"/>
    <hyperlink ref="AT35" r:id="rId32"/>
    <hyperlink ref="AT36" r:id="rId33"/>
    <hyperlink ref="AT37" r:id="rId34"/>
    <hyperlink ref="AT38" r:id="rId35"/>
    <hyperlink ref="AT39" r:id="rId36"/>
    <hyperlink ref="AT42" r:id="rId37"/>
  </hyperlinks>
  <printOptions horizontalCentered="1"/>
  <pageMargins left="0.25" right="0.25" top="0.12" bottom="0.12" header="0.25" footer="0.25"/>
  <pageSetup paperSize="9" scale="65" orientation="portrait" r:id="rId38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FA395"/>
  <sheetViews>
    <sheetView tabSelected="1" zoomScaleNormal="100" workbookViewId="0">
      <pane xSplit="7" topLeftCell="H1" activePane="topRight" state="frozen"/>
      <selection pane="topRight" activeCell="B2" sqref="B2:AU2"/>
    </sheetView>
  </sheetViews>
  <sheetFormatPr defaultColWidth="12" defaultRowHeight="12.75"/>
  <cols>
    <col min="1" max="2" width="4" style="445" bestFit="1" customWidth="1"/>
    <col min="3" max="3" width="15.5703125" style="436" customWidth="1"/>
    <col min="4" max="4" width="33.140625" style="436" bestFit="1" customWidth="1"/>
    <col min="5" max="5" width="32.28515625" style="414" bestFit="1" customWidth="1"/>
    <col min="6" max="6" width="16.7109375" style="436" bestFit="1" customWidth="1"/>
    <col min="7" max="7" width="14.140625" style="436" customWidth="1"/>
    <col min="8" max="8" width="18.28515625" style="445" bestFit="1" customWidth="1"/>
    <col min="9" max="9" width="18" style="414" customWidth="1"/>
    <col min="10" max="10" width="8.7109375" style="436" bestFit="1" customWidth="1"/>
    <col min="11" max="12" width="7.140625" style="436" bestFit="1" customWidth="1"/>
    <col min="13" max="13" width="6.140625" style="436" bestFit="1" customWidth="1"/>
    <col min="14" max="14" width="5.7109375" style="436" bestFit="1" customWidth="1"/>
    <col min="15" max="15" width="12.5703125" style="436" bestFit="1" customWidth="1"/>
    <col min="16" max="16" width="8.85546875" style="436" bestFit="1" customWidth="1"/>
    <col min="17" max="17" width="12.7109375" style="436" bestFit="1" customWidth="1"/>
    <col min="18" max="18" width="11" style="436" bestFit="1" customWidth="1"/>
    <col min="19" max="20" width="6.28515625" style="436" bestFit="1" customWidth="1"/>
    <col min="21" max="21" width="9.5703125" style="436" bestFit="1" customWidth="1"/>
    <col min="22" max="22" width="35.5703125" style="436" bestFit="1" customWidth="1"/>
    <col min="23" max="23" width="16.5703125" style="436" bestFit="1" customWidth="1"/>
    <col min="24" max="24" width="18.28515625" style="436" bestFit="1" customWidth="1"/>
    <col min="25" max="25" width="26.5703125" style="436" bestFit="1" customWidth="1"/>
    <col min="26" max="26" width="10.42578125" style="436" bestFit="1" customWidth="1"/>
    <col min="27" max="27" width="28.85546875" style="436" bestFit="1" customWidth="1"/>
    <col min="28" max="28" width="10.42578125" style="436" bestFit="1" customWidth="1"/>
    <col min="29" max="29" width="7.140625" style="436" bestFit="1" customWidth="1"/>
    <col min="30" max="30" width="27.140625" style="436" bestFit="1" customWidth="1"/>
    <col min="31" max="31" width="10.42578125" style="436" bestFit="1" customWidth="1"/>
    <col min="32" max="32" width="5.42578125" style="436" bestFit="1" customWidth="1"/>
    <col min="33" max="33" width="26.5703125" style="436" bestFit="1" customWidth="1"/>
    <col min="34" max="34" width="10.42578125" style="436" bestFit="1" customWidth="1"/>
    <col min="35" max="35" width="5.42578125" style="436" bestFit="1" customWidth="1"/>
    <col min="36" max="36" width="17.7109375" style="436" bestFit="1" customWidth="1"/>
    <col min="37" max="37" width="89.5703125" style="436" bestFit="1" customWidth="1"/>
    <col min="38" max="38" width="84.28515625" style="436" bestFit="1" customWidth="1"/>
    <col min="39" max="39" width="24" style="436" bestFit="1" customWidth="1"/>
    <col min="40" max="40" width="17.7109375" style="436" bestFit="1" customWidth="1"/>
    <col min="41" max="41" width="18.5703125" style="436" bestFit="1" customWidth="1"/>
    <col min="42" max="42" width="16" style="436" customWidth="1"/>
    <col min="43" max="43" width="33.140625" style="414" bestFit="1" customWidth="1"/>
    <col min="44" max="44" width="15.85546875" style="436" bestFit="1" customWidth="1"/>
    <col min="45" max="45" width="8" style="436" bestFit="1" customWidth="1"/>
    <col min="46" max="46" width="31.42578125" style="436" bestFit="1" customWidth="1"/>
    <col min="47" max="47" width="32.140625" style="436" bestFit="1" customWidth="1"/>
    <col min="48" max="16384" width="12" style="436"/>
  </cols>
  <sheetData>
    <row r="1" spans="1:48" ht="14.25" customHeight="1" thickBot="1">
      <c r="B1" s="790">
        <f ca="1">+NOW()</f>
        <v>44202.498720833333</v>
      </c>
      <c r="C1" s="791"/>
      <c r="D1" s="792"/>
      <c r="E1" s="469"/>
      <c r="F1" s="469"/>
      <c r="G1" s="469"/>
      <c r="H1" s="472"/>
      <c r="I1" s="469"/>
      <c r="J1" s="469"/>
      <c r="K1" s="469"/>
      <c r="L1" s="470"/>
      <c r="M1" s="470"/>
      <c r="N1" s="470"/>
      <c r="O1" s="470"/>
      <c r="P1" s="471"/>
      <c r="Q1" s="472"/>
      <c r="R1" s="469"/>
      <c r="S1" s="469"/>
      <c r="T1" s="473"/>
      <c r="U1" s="469"/>
      <c r="V1" s="472"/>
      <c r="W1" s="469"/>
      <c r="X1" s="474"/>
      <c r="Y1" s="475"/>
      <c r="Z1" s="476"/>
      <c r="AA1" s="475"/>
      <c r="AB1" s="469"/>
      <c r="AC1" s="476"/>
      <c r="AD1" s="477"/>
      <c r="AE1" s="476"/>
      <c r="AF1" s="476"/>
      <c r="AG1" s="478"/>
      <c r="AH1" s="476"/>
      <c r="AI1" s="473"/>
      <c r="AJ1" s="478"/>
      <c r="AK1" s="477"/>
      <c r="AL1" s="469"/>
      <c r="AM1" s="479"/>
      <c r="AN1" s="469"/>
      <c r="AO1" s="469"/>
      <c r="AP1" s="469"/>
      <c r="AQ1" s="472"/>
      <c r="AR1" s="472"/>
      <c r="AS1" s="472"/>
      <c r="AT1" s="472"/>
      <c r="AU1" s="480"/>
    </row>
    <row r="2" spans="1:48" ht="30.75" customHeight="1" thickBot="1">
      <c r="B2" s="799" t="s">
        <v>2058</v>
      </c>
      <c r="C2" s="799"/>
      <c r="D2" s="799"/>
      <c r="E2" s="799"/>
      <c r="F2" s="799"/>
      <c r="G2" s="799"/>
      <c r="H2" s="799"/>
      <c r="I2" s="799"/>
      <c r="J2" s="799"/>
      <c r="K2" s="799"/>
      <c r="L2" s="799"/>
      <c r="M2" s="799"/>
      <c r="N2" s="799"/>
      <c r="O2" s="799"/>
      <c r="P2" s="799"/>
      <c r="Q2" s="799"/>
      <c r="R2" s="799"/>
      <c r="S2" s="799"/>
      <c r="T2" s="799"/>
      <c r="U2" s="799"/>
      <c r="V2" s="799"/>
      <c r="W2" s="799"/>
      <c r="X2" s="799"/>
      <c r="Y2" s="799"/>
      <c r="Z2" s="799"/>
      <c r="AA2" s="799"/>
      <c r="AB2" s="799"/>
      <c r="AC2" s="799"/>
      <c r="AD2" s="799"/>
      <c r="AE2" s="799"/>
      <c r="AF2" s="799"/>
      <c r="AG2" s="799"/>
      <c r="AH2" s="799"/>
      <c r="AI2" s="799"/>
      <c r="AJ2" s="799"/>
      <c r="AK2" s="799"/>
      <c r="AL2" s="799"/>
      <c r="AM2" s="799"/>
      <c r="AN2" s="799"/>
      <c r="AO2" s="799"/>
      <c r="AP2" s="799"/>
      <c r="AQ2" s="799"/>
      <c r="AR2" s="799"/>
      <c r="AS2" s="799"/>
      <c r="AT2" s="799"/>
      <c r="AU2" s="799"/>
    </row>
    <row r="3" spans="1:48">
      <c r="B3" s="793" t="s">
        <v>1</v>
      </c>
      <c r="C3" s="796" t="s">
        <v>2</v>
      </c>
      <c r="D3" s="796" t="s">
        <v>110</v>
      </c>
      <c r="E3" s="820" t="s">
        <v>1435</v>
      </c>
      <c r="F3" s="806" t="s">
        <v>260</v>
      </c>
      <c r="G3" s="809" t="s">
        <v>261</v>
      </c>
      <c r="H3" s="800" t="s">
        <v>577</v>
      </c>
      <c r="I3" s="801"/>
      <c r="J3" s="802"/>
      <c r="K3" s="823" t="s">
        <v>4</v>
      </c>
      <c r="L3" s="823"/>
      <c r="M3" s="841"/>
      <c r="N3" s="843"/>
      <c r="O3" s="806" t="s">
        <v>222</v>
      </c>
      <c r="P3" s="834" t="s">
        <v>109</v>
      </c>
      <c r="Q3" s="823" t="s">
        <v>393</v>
      </c>
      <c r="R3" s="826" t="s">
        <v>5</v>
      </c>
      <c r="S3" s="834" t="s">
        <v>6</v>
      </c>
      <c r="T3" s="838"/>
      <c r="U3" s="841" t="s">
        <v>111</v>
      </c>
      <c r="V3" s="842"/>
      <c r="W3" s="806" t="s">
        <v>225</v>
      </c>
      <c r="X3" s="806" t="s">
        <v>38</v>
      </c>
      <c r="Y3" s="817" t="s">
        <v>7</v>
      </c>
      <c r="Z3" s="818"/>
      <c r="AA3" s="817" t="s">
        <v>8</v>
      </c>
      <c r="AB3" s="819"/>
      <c r="AC3" s="819"/>
      <c r="AD3" s="817" t="s">
        <v>9</v>
      </c>
      <c r="AE3" s="819"/>
      <c r="AF3" s="818"/>
      <c r="AG3" s="817" t="s">
        <v>10</v>
      </c>
      <c r="AH3" s="819"/>
      <c r="AI3" s="818"/>
      <c r="AJ3" s="841" t="s">
        <v>11</v>
      </c>
      <c r="AK3" s="843"/>
      <c r="AL3" s="844" t="s">
        <v>12</v>
      </c>
      <c r="AM3" s="806" t="s">
        <v>30</v>
      </c>
      <c r="AN3" s="806" t="s">
        <v>31</v>
      </c>
      <c r="AO3" s="806" t="s">
        <v>77</v>
      </c>
      <c r="AP3" s="850" t="s">
        <v>32</v>
      </c>
      <c r="AQ3" s="841" t="s">
        <v>13</v>
      </c>
      <c r="AR3" s="842"/>
      <c r="AS3" s="842"/>
      <c r="AT3" s="843"/>
      <c r="AU3" s="812" t="s">
        <v>14</v>
      </c>
    </row>
    <row r="4" spans="1:48">
      <c r="B4" s="794"/>
      <c r="C4" s="797"/>
      <c r="D4" s="797"/>
      <c r="E4" s="821"/>
      <c r="F4" s="807"/>
      <c r="G4" s="810"/>
      <c r="H4" s="803"/>
      <c r="I4" s="804"/>
      <c r="J4" s="805"/>
      <c r="K4" s="837">
        <f ca="1">+NOW()</f>
        <v>44202.498720833333</v>
      </c>
      <c r="L4" s="837"/>
      <c r="M4" s="815" t="s">
        <v>15</v>
      </c>
      <c r="N4" s="815" t="s">
        <v>16</v>
      </c>
      <c r="O4" s="807"/>
      <c r="P4" s="835"/>
      <c r="Q4" s="824"/>
      <c r="R4" s="827"/>
      <c r="S4" s="839"/>
      <c r="T4" s="840"/>
      <c r="U4" s="815" t="s">
        <v>17</v>
      </c>
      <c r="V4" s="815" t="s">
        <v>18</v>
      </c>
      <c r="W4" s="807"/>
      <c r="X4" s="807"/>
      <c r="Y4" s="815" t="s">
        <v>19</v>
      </c>
      <c r="Z4" s="846" t="s">
        <v>20</v>
      </c>
      <c r="AA4" s="815" t="s">
        <v>19</v>
      </c>
      <c r="AB4" s="846" t="s">
        <v>20</v>
      </c>
      <c r="AC4" s="846" t="s">
        <v>6</v>
      </c>
      <c r="AD4" s="815" t="s">
        <v>19</v>
      </c>
      <c r="AE4" s="815" t="s">
        <v>20</v>
      </c>
      <c r="AF4" s="846" t="s">
        <v>6</v>
      </c>
      <c r="AG4" s="815" t="s">
        <v>19</v>
      </c>
      <c r="AH4" s="846" t="s">
        <v>20</v>
      </c>
      <c r="AI4" s="846" t="s">
        <v>6</v>
      </c>
      <c r="AJ4" s="853" t="s">
        <v>21</v>
      </c>
      <c r="AK4" s="854" t="s">
        <v>22</v>
      </c>
      <c r="AL4" s="845"/>
      <c r="AM4" s="807"/>
      <c r="AN4" s="807"/>
      <c r="AO4" s="807"/>
      <c r="AP4" s="851"/>
      <c r="AQ4" s="848" t="s">
        <v>23</v>
      </c>
      <c r="AR4" s="848" t="s">
        <v>24</v>
      </c>
      <c r="AS4" s="815" t="s">
        <v>25</v>
      </c>
      <c r="AT4" s="815" t="s">
        <v>26</v>
      </c>
      <c r="AU4" s="813"/>
    </row>
    <row r="5" spans="1:48" ht="27" customHeight="1" thickBot="1">
      <c r="B5" s="795"/>
      <c r="C5" s="798"/>
      <c r="D5" s="798"/>
      <c r="E5" s="822"/>
      <c r="F5" s="808"/>
      <c r="G5" s="811"/>
      <c r="H5" s="622" t="s">
        <v>1429</v>
      </c>
      <c r="I5" s="622" t="s">
        <v>1430</v>
      </c>
      <c r="J5" s="574" t="s">
        <v>576</v>
      </c>
      <c r="K5" s="328" t="s">
        <v>27</v>
      </c>
      <c r="L5" s="328" t="s">
        <v>28</v>
      </c>
      <c r="M5" s="816"/>
      <c r="N5" s="816"/>
      <c r="O5" s="808"/>
      <c r="P5" s="836"/>
      <c r="Q5" s="825"/>
      <c r="R5" s="329">
        <f ca="1">+NOW()</f>
        <v>44202.498720833333</v>
      </c>
      <c r="S5" s="329" t="s">
        <v>27</v>
      </c>
      <c r="T5" s="575" t="s">
        <v>28</v>
      </c>
      <c r="U5" s="816"/>
      <c r="V5" s="816"/>
      <c r="W5" s="808"/>
      <c r="X5" s="808"/>
      <c r="Y5" s="816"/>
      <c r="Z5" s="847"/>
      <c r="AA5" s="816"/>
      <c r="AB5" s="847"/>
      <c r="AC5" s="847"/>
      <c r="AD5" s="816"/>
      <c r="AE5" s="816"/>
      <c r="AF5" s="847"/>
      <c r="AG5" s="816"/>
      <c r="AH5" s="847"/>
      <c r="AI5" s="847"/>
      <c r="AJ5" s="852"/>
      <c r="AK5" s="855"/>
      <c r="AL5" s="816"/>
      <c r="AM5" s="808"/>
      <c r="AN5" s="808"/>
      <c r="AO5" s="808"/>
      <c r="AP5" s="852"/>
      <c r="AQ5" s="849"/>
      <c r="AR5" s="849"/>
      <c r="AS5" s="816"/>
      <c r="AT5" s="816"/>
      <c r="AU5" s="814"/>
    </row>
    <row r="6" spans="1:48">
      <c r="B6" s="856" t="s">
        <v>29</v>
      </c>
      <c r="C6" s="857"/>
      <c r="D6" s="858"/>
      <c r="E6" s="527"/>
      <c r="F6" s="330"/>
      <c r="G6" s="330"/>
      <c r="H6" s="331"/>
      <c r="I6" s="331"/>
      <c r="J6" s="330"/>
      <c r="K6" s="330"/>
      <c r="L6" s="330"/>
      <c r="M6" s="330"/>
      <c r="N6" s="330"/>
      <c r="O6" s="330"/>
      <c r="P6" s="330"/>
      <c r="Q6" s="331"/>
      <c r="R6" s="330"/>
      <c r="S6" s="330"/>
      <c r="T6" s="330"/>
      <c r="U6" s="330"/>
      <c r="V6" s="331"/>
      <c r="W6" s="330"/>
      <c r="X6" s="330"/>
      <c r="Y6" s="331"/>
      <c r="Z6" s="330"/>
      <c r="AA6" s="331"/>
      <c r="AB6" s="330"/>
      <c r="AC6" s="330"/>
      <c r="AD6" s="330"/>
      <c r="AE6" s="330"/>
      <c r="AF6" s="330"/>
      <c r="AG6" s="330"/>
      <c r="AH6" s="330"/>
      <c r="AI6" s="330"/>
      <c r="AJ6" s="330"/>
      <c r="AK6" s="330"/>
      <c r="AL6" s="330"/>
      <c r="AM6" s="330"/>
      <c r="AN6" s="331"/>
      <c r="AO6" s="331"/>
      <c r="AP6" s="331"/>
      <c r="AQ6" s="331"/>
      <c r="AR6" s="331"/>
      <c r="AS6" s="331"/>
      <c r="AT6" s="331"/>
      <c r="AU6" s="331"/>
    </row>
    <row r="7" spans="1:48">
      <c r="A7" s="524"/>
      <c r="B7" s="332">
        <v>1</v>
      </c>
      <c r="C7" s="862" t="s">
        <v>1606</v>
      </c>
      <c r="D7" s="437" t="s">
        <v>116</v>
      </c>
      <c r="E7" s="523" t="s">
        <v>55</v>
      </c>
      <c r="F7" s="492"/>
      <c r="G7" s="336"/>
      <c r="H7" s="336"/>
      <c r="I7" s="336"/>
      <c r="J7" s="336"/>
      <c r="K7" s="334"/>
      <c r="L7" s="334"/>
      <c r="M7" s="335"/>
      <c r="N7" s="335"/>
      <c r="O7" s="332" t="s">
        <v>76</v>
      </c>
      <c r="P7" s="332" t="s">
        <v>36</v>
      </c>
      <c r="Q7" s="332" t="s">
        <v>129</v>
      </c>
      <c r="R7" s="336">
        <v>33521</v>
      </c>
      <c r="S7" s="438">
        <f ca="1">DATEDIF(R7,$B$1,"Y")</f>
        <v>29</v>
      </c>
      <c r="T7" s="438">
        <f ca="1">DATEDIF(R7,$B$1,"YM")</f>
        <v>2</v>
      </c>
      <c r="U7" s="332"/>
      <c r="V7" s="332"/>
      <c r="W7" s="332"/>
      <c r="X7" s="332" t="s">
        <v>45</v>
      </c>
      <c r="Y7" s="439" t="s">
        <v>33</v>
      </c>
      <c r="Z7" s="336">
        <v>32632</v>
      </c>
      <c r="AA7" s="332" t="s">
        <v>131</v>
      </c>
      <c r="AB7" s="336">
        <v>41559</v>
      </c>
      <c r="AC7" s="438">
        <f t="shared" ref="AC7:AC8" ca="1" si="0">DATEDIF(AB7,$B$1,"Y")</f>
        <v>7</v>
      </c>
      <c r="AD7" s="337"/>
      <c r="AE7" s="337"/>
      <c r="AF7" s="438"/>
      <c r="AG7" s="337"/>
      <c r="AH7" s="337"/>
      <c r="AI7" s="337"/>
      <c r="AJ7" s="338"/>
      <c r="AK7" s="339"/>
      <c r="AL7" s="339" t="s">
        <v>392</v>
      </c>
      <c r="AM7" s="339"/>
      <c r="AN7" s="332"/>
      <c r="AO7" s="332"/>
      <c r="AP7" s="338"/>
      <c r="AQ7" s="338"/>
      <c r="AR7" s="340"/>
      <c r="AS7" s="332"/>
      <c r="AT7" s="332"/>
      <c r="AU7" s="341"/>
    </row>
    <row r="8" spans="1:48">
      <c r="A8" s="524"/>
      <c r="B8" s="332">
        <v>2</v>
      </c>
      <c r="C8" s="863"/>
      <c r="D8" s="437" t="s">
        <v>33</v>
      </c>
      <c r="E8" s="523" t="s">
        <v>34</v>
      </c>
      <c r="F8" s="492"/>
      <c r="G8" s="336"/>
      <c r="H8" s="336"/>
      <c r="I8" s="336"/>
      <c r="J8" s="336"/>
      <c r="K8" s="334"/>
      <c r="L8" s="334"/>
      <c r="M8" s="336"/>
      <c r="N8" s="336"/>
      <c r="O8" s="332" t="s">
        <v>35</v>
      </c>
      <c r="P8" s="332" t="s">
        <v>36</v>
      </c>
      <c r="Q8" s="332" t="s">
        <v>37</v>
      </c>
      <c r="R8" s="336">
        <v>32632</v>
      </c>
      <c r="S8" s="438">
        <f ca="1">DATEDIF(R8,$B$1,"Y")</f>
        <v>31</v>
      </c>
      <c r="T8" s="438">
        <f ca="1">DATEDIF(R8,$B$1,"YM")</f>
        <v>8</v>
      </c>
      <c r="U8" s="332"/>
      <c r="V8" s="332"/>
      <c r="W8" s="332"/>
      <c r="X8" s="332" t="s">
        <v>45</v>
      </c>
      <c r="Y8" s="439" t="s">
        <v>116</v>
      </c>
      <c r="Z8" s="336">
        <v>33521</v>
      </c>
      <c r="AA8" s="332" t="s">
        <v>131</v>
      </c>
      <c r="AB8" s="336">
        <v>41559</v>
      </c>
      <c r="AC8" s="438">
        <f t="shared" ca="1" si="0"/>
        <v>7</v>
      </c>
      <c r="AD8" s="337"/>
      <c r="AE8" s="342"/>
      <c r="AF8" s="438"/>
      <c r="AG8" s="337"/>
      <c r="AH8" s="336"/>
      <c r="AI8" s="332"/>
      <c r="AJ8" s="338" t="s">
        <v>117</v>
      </c>
      <c r="AK8" s="339" t="s">
        <v>118</v>
      </c>
      <c r="AL8" s="339" t="s">
        <v>392</v>
      </c>
      <c r="AM8" s="339"/>
      <c r="AN8" s="332"/>
      <c r="AO8" s="332" t="s">
        <v>119</v>
      </c>
      <c r="AP8" s="338" t="s">
        <v>120</v>
      </c>
      <c r="AQ8" s="338"/>
      <c r="AR8" s="340"/>
      <c r="AS8" s="332"/>
      <c r="AT8" s="332"/>
      <c r="AU8" s="341"/>
    </row>
    <row r="9" spans="1:48">
      <c r="B9" s="859" t="s">
        <v>1424</v>
      </c>
      <c r="C9" s="860"/>
      <c r="D9" s="861"/>
      <c r="E9" s="525"/>
      <c r="F9" s="450"/>
      <c r="G9" s="450"/>
      <c r="H9" s="449"/>
      <c r="I9" s="449"/>
      <c r="J9" s="450"/>
      <c r="K9" s="450"/>
      <c r="L9" s="450"/>
      <c r="M9" s="450"/>
      <c r="N9" s="450"/>
      <c r="O9" s="450"/>
      <c r="P9" s="450"/>
      <c r="Q9" s="449"/>
      <c r="R9" s="450"/>
      <c r="S9" s="450"/>
      <c r="T9" s="450"/>
      <c r="U9" s="450"/>
      <c r="V9" s="449"/>
      <c r="W9" s="450"/>
      <c r="X9" s="450"/>
      <c r="Y9" s="449"/>
      <c r="Z9" s="450"/>
      <c r="AA9" s="449"/>
      <c r="AB9" s="450"/>
      <c r="AC9" s="450"/>
      <c r="AD9" s="450"/>
      <c r="AE9" s="450"/>
      <c r="AF9" s="450"/>
      <c r="AG9" s="450"/>
      <c r="AH9" s="450"/>
      <c r="AI9" s="450"/>
      <c r="AJ9" s="450"/>
      <c r="AK9" s="450"/>
      <c r="AL9" s="450"/>
      <c r="AM9" s="450"/>
      <c r="AN9" s="449"/>
      <c r="AO9" s="449"/>
      <c r="AP9" s="449"/>
      <c r="AQ9" s="449"/>
      <c r="AR9" s="449"/>
      <c r="AS9" s="449"/>
      <c r="AT9" s="449"/>
      <c r="AU9" s="343"/>
    </row>
    <row r="10" spans="1:48">
      <c r="A10" s="524">
        <v>1</v>
      </c>
      <c r="B10" s="440">
        <v>1</v>
      </c>
      <c r="C10" s="440" t="s">
        <v>1691</v>
      </c>
      <c r="D10" s="437" t="s">
        <v>1687</v>
      </c>
      <c r="E10" s="384" t="s">
        <v>993</v>
      </c>
      <c r="F10" s="440" t="s">
        <v>344</v>
      </c>
      <c r="G10" s="441">
        <v>44105</v>
      </c>
      <c r="H10" s="441">
        <v>44105</v>
      </c>
      <c r="I10" s="357"/>
      <c r="J10" s="441"/>
      <c r="K10" s="440">
        <f t="shared" ref="K10:K16" ca="1" si="1">DATEDIF(G10,$B$1,"Y")</f>
        <v>0</v>
      </c>
      <c r="L10" s="440">
        <f t="shared" ref="L10:L16" ca="1" si="2">DATEDIF(G10,$B$1,"YM")</f>
        <v>3</v>
      </c>
      <c r="M10" s="440"/>
      <c r="N10" s="440"/>
      <c r="O10" s="440" t="s">
        <v>76</v>
      </c>
      <c r="P10" s="440" t="s">
        <v>36</v>
      </c>
      <c r="Q10" s="440" t="s">
        <v>41</v>
      </c>
      <c r="R10" s="441">
        <v>33246</v>
      </c>
      <c r="S10" s="438">
        <f t="shared" ref="S10:S16" ca="1" si="3">DATEDIF(R10,$B$1,"Y")</f>
        <v>29</v>
      </c>
      <c r="T10" s="438">
        <f t="shared" ref="T10:T16" ca="1" si="4">DATEDIF(R10,$B$1,"YM")</f>
        <v>11</v>
      </c>
      <c r="U10" s="440" t="s">
        <v>57</v>
      </c>
      <c r="V10" s="440" t="s">
        <v>848</v>
      </c>
      <c r="W10" s="440" t="s">
        <v>44</v>
      </c>
      <c r="X10" s="372" t="s">
        <v>59</v>
      </c>
      <c r="Y10" s="440"/>
      <c r="Z10" s="440"/>
      <c r="AA10" s="440"/>
      <c r="AB10" s="440"/>
      <c r="AC10" s="440"/>
      <c r="AD10" s="440"/>
      <c r="AE10" s="440"/>
      <c r="AF10" s="440"/>
      <c r="AG10" s="440"/>
      <c r="AH10" s="440"/>
      <c r="AI10" s="440"/>
      <c r="AJ10" s="365" t="s">
        <v>1688</v>
      </c>
      <c r="AK10" s="350" t="s">
        <v>1689</v>
      </c>
      <c r="AL10" s="350" t="s">
        <v>1689</v>
      </c>
      <c r="AM10" s="440"/>
      <c r="AN10" s="440"/>
      <c r="AO10" s="365" t="s">
        <v>1777</v>
      </c>
      <c r="AP10" s="365" t="s">
        <v>1694</v>
      </c>
      <c r="AQ10" s="439" t="s">
        <v>1687</v>
      </c>
      <c r="AR10" s="365" t="s">
        <v>1692</v>
      </c>
      <c r="AS10" s="440" t="s">
        <v>64</v>
      </c>
      <c r="AT10" s="440" t="s">
        <v>95</v>
      </c>
      <c r="AU10" s="364" t="s">
        <v>1693</v>
      </c>
    </row>
    <row r="11" spans="1:48">
      <c r="A11" s="524">
        <v>2</v>
      </c>
      <c r="B11" s="443">
        <v>2</v>
      </c>
      <c r="C11" s="440" t="s">
        <v>411</v>
      </c>
      <c r="D11" s="437" t="s">
        <v>398</v>
      </c>
      <c r="E11" s="384" t="s">
        <v>1295</v>
      </c>
      <c r="F11" s="440" t="s">
        <v>344</v>
      </c>
      <c r="G11" s="441">
        <v>43340</v>
      </c>
      <c r="H11" s="357">
        <v>43340</v>
      </c>
      <c r="I11" s="357">
        <v>43705</v>
      </c>
      <c r="J11" s="441"/>
      <c r="K11" s="440">
        <f t="shared" ca="1" si="1"/>
        <v>2</v>
      </c>
      <c r="L11" s="440">
        <f t="shared" ca="1" si="2"/>
        <v>4</v>
      </c>
      <c r="M11" s="441"/>
      <c r="N11" s="441"/>
      <c r="O11" s="440" t="s">
        <v>76</v>
      </c>
      <c r="P11" s="440" t="s">
        <v>36</v>
      </c>
      <c r="Q11" s="440" t="s">
        <v>41</v>
      </c>
      <c r="R11" s="441">
        <v>34553</v>
      </c>
      <c r="S11" s="438">
        <f t="shared" ca="1" si="3"/>
        <v>26</v>
      </c>
      <c r="T11" s="438">
        <f t="shared" ca="1" si="4"/>
        <v>4</v>
      </c>
      <c r="U11" s="440" t="s">
        <v>57</v>
      </c>
      <c r="V11" s="440" t="s">
        <v>397</v>
      </c>
      <c r="W11" s="440" t="s">
        <v>48</v>
      </c>
      <c r="X11" s="440" t="s">
        <v>192</v>
      </c>
      <c r="Y11" s="440" t="s">
        <v>48</v>
      </c>
      <c r="Z11" s="440" t="s">
        <v>48</v>
      </c>
      <c r="AA11" s="441" t="s">
        <v>405</v>
      </c>
      <c r="AB11" s="388">
        <v>42598</v>
      </c>
      <c r="AC11" s="438">
        <f t="shared" ref="AC11:AC13" ca="1" si="5">DATEDIF(AB11,$B$1,"Y")</f>
        <v>4</v>
      </c>
      <c r="AD11" s="440" t="s">
        <v>48</v>
      </c>
      <c r="AE11" s="440" t="s">
        <v>48</v>
      </c>
      <c r="AF11" s="440" t="s">
        <v>48</v>
      </c>
      <c r="AG11" s="388"/>
      <c r="AH11" s="388"/>
      <c r="AI11" s="388"/>
      <c r="AJ11" s="493" t="s">
        <v>406</v>
      </c>
      <c r="AK11" s="350" t="s">
        <v>407</v>
      </c>
      <c r="AL11" s="350" t="s">
        <v>407</v>
      </c>
      <c r="AM11" s="350"/>
      <c r="AN11" s="440"/>
      <c r="AO11" s="440" t="s">
        <v>1436</v>
      </c>
      <c r="AP11" s="365" t="s">
        <v>408</v>
      </c>
      <c r="AQ11" s="439" t="s">
        <v>398</v>
      </c>
      <c r="AR11" s="442" t="s">
        <v>934</v>
      </c>
      <c r="AS11" s="440" t="s">
        <v>64</v>
      </c>
      <c r="AT11" s="440" t="s">
        <v>95</v>
      </c>
      <c r="AU11" s="364" t="s">
        <v>410</v>
      </c>
      <c r="AV11" s="436" t="s">
        <v>1869</v>
      </c>
    </row>
    <row r="12" spans="1:48">
      <c r="A12" s="524">
        <v>3</v>
      </c>
      <c r="B12" s="440">
        <v>3</v>
      </c>
      <c r="C12" s="440" t="s">
        <v>311</v>
      </c>
      <c r="D12" s="437" t="s">
        <v>39</v>
      </c>
      <c r="E12" s="384" t="s">
        <v>440</v>
      </c>
      <c r="F12" s="440" t="s">
        <v>344</v>
      </c>
      <c r="G12" s="441">
        <v>43202</v>
      </c>
      <c r="H12" s="441">
        <v>43202</v>
      </c>
      <c r="I12" s="441">
        <v>43567</v>
      </c>
      <c r="J12" s="441"/>
      <c r="K12" s="440">
        <f t="shared" ca="1" si="1"/>
        <v>2</v>
      </c>
      <c r="L12" s="440">
        <f t="shared" ca="1" si="2"/>
        <v>8</v>
      </c>
      <c r="M12" s="441"/>
      <c r="N12" s="441"/>
      <c r="O12" s="440" t="s">
        <v>35</v>
      </c>
      <c r="P12" s="440" t="s">
        <v>36</v>
      </c>
      <c r="Q12" s="440" t="s">
        <v>41</v>
      </c>
      <c r="R12" s="441">
        <v>32362</v>
      </c>
      <c r="S12" s="438">
        <f t="shared" ca="1" si="3"/>
        <v>32</v>
      </c>
      <c r="T12" s="438">
        <f t="shared" ca="1" si="4"/>
        <v>4</v>
      </c>
      <c r="U12" s="440" t="s">
        <v>57</v>
      </c>
      <c r="V12" s="440" t="s">
        <v>395</v>
      </c>
      <c r="W12" s="440" t="s">
        <v>44</v>
      </c>
      <c r="X12" s="440" t="s">
        <v>45</v>
      </c>
      <c r="Y12" s="388" t="s">
        <v>46</v>
      </c>
      <c r="Z12" s="388">
        <v>32188</v>
      </c>
      <c r="AA12" s="388" t="s">
        <v>47</v>
      </c>
      <c r="AB12" s="388">
        <v>42531</v>
      </c>
      <c r="AC12" s="438">
        <f t="shared" ca="1" si="5"/>
        <v>4</v>
      </c>
      <c r="AD12" s="440" t="s">
        <v>48</v>
      </c>
      <c r="AE12" s="440" t="s">
        <v>48</v>
      </c>
      <c r="AF12" s="440" t="s">
        <v>48</v>
      </c>
      <c r="AG12" s="388"/>
      <c r="AH12" s="388"/>
      <c r="AI12" s="388"/>
      <c r="AJ12" s="439" t="s">
        <v>49</v>
      </c>
      <c r="AK12" s="350" t="s">
        <v>50</v>
      </c>
      <c r="AL12" s="350" t="s">
        <v>51</v>
      </c>
      <c r="AM12" s="350"/>
      <c r="AN12" s="440"/>
      <c r="AO12" s="440" t="s">
        <v>86</v>
      </c>
      <c r="AP12" s="439" t="s">
        <v>52</v>
      </c>
      <c r="AQ12" s="439" t="s">
        <v>39</v>
      </c>
      <c r="AR12" s="494" t="s">
        <v>932</v>
      </c>
      <c r="AS12" s="440" t="s">
        <v>64</v>
      </c>
      <c r="AT12" s="440" t="s">
        <v>95</v>
      </c>
      <c r="AU12" s="351" t="s">
        <v>53</v>
      </c>
      <c r="AV12" s="436" t="s">
        <v>1869</v>
      </c>
    </row>
    <row r="13" spans="1:48">
      <c r="A13" s="524">
        <v>4</v>
      </c>
      <c r="B13" s="443">
        <v>4</v>
      </c>
      <c r="C13" s="355">
        <v>9919020011</v>
      </c>
      <c r="D13" s="437" t="s">
        <v>505</v>
      </c>
      <c r="E13" s="526" t="s">
        <v>994</v>
      </c>
      <c r="F13" s="355" t="s">
        <v>344</v>
      </c>
      <c r="G13" s="357">
        <v>43497</v>
      </c>
      <c r="H13" s="357">
        <v>43497</v>
      </c>
      <c r="I13" s="357">
        <v>43862</v>
      </c>
      <c r="J13" s="357"/>
      <c r="K13" s="440">
        <f t="shared" ca="1" si="1"/>
        <v>1</v>
      </c>
      <c r="L13" s="440">
        <f t="shared" ca="1" si="2"/>
        <v>11</v>
      </c>
      <c r="M13" s="357"/>
      <c r="N13" s="357"/>
      <c r="O13" s="355" t="s">
        <v>76</v>
      </c>
      <c r="P13" s="355" t="s">
        <v>36</v>
      </c>
      <c r="Q13" s="355" t="s">
        <v>41</v>
      </c>
      <c r="R13" s="357">
        <v>31666</v>
      </c>
      <c r="S13" s="438">
        <f t="shared" ca="1" si="3"/>
        <v>34</v>
      </c>
      <c r="T13" s="438">
        <f t="shared" ca="1" si="4"/>
        <v>3</v>
      </c>
      <c r="U13" s="355" t="s">
        <v>394</v>
      </c>
      <c r="V13" s="355" t="s">
        <v>395</v>
      </c>
      <c r="W13" s="355" t="s">
        <v>459</v>
      </c>
      <c r="X13" s="355" t="s">
        <v>45</v>
      </c>
      <c r="Y13" s="382" t="s">
        <v>506</v>
      </c>
      <c r="Z13" s="382">
        <v>30600</v>
      </c>
      <c r="AA13" s="382" t="s">
        <v>507</v>
      </c>
      <c r="AB13" s="382">
        <v>41939</v>
      </c>
      <c r="AC13" s="438">
        <f t="shared" ca="1" si="5"/>
        <v>6</v>
      </c>
      <c r="AD13" s="440" t="s">
        <v>48</v>
      </c>
      <c r="AE13" s="440" t="s">
        <v>48</v>
      </c>
      <c r="AF13" s="440" t="s">
        <v>48</v>
      </c>
      <c r="AG13" s="382"/>
      <c r="AH13" s="382"/>
      <c r="AI13" s="382"/>
      <c r="AJ13" s="360" t="s">
        <v>508</v>
      </c>
      <c r="AK13" s="361" t="s">
        <v>509</v>
      </c>
      <c r="AL13" s="361" t="s">
        <v>510</v>
      </c>
      <c r="AM13" s="361"/>
      <c r="AN13" s="355"/>
      <c r="AO13" s="355" t="s">
        <v>513</v>
      </c>
      <c r="AP13" s="360" t="s">
        <v>511</v>
      </c>
      <c r="AQ13" s="362" t="s">
        <v>505</v>
      </c>
      <c r="AR13" s="495" t="s">
        <v>545</v>
      </c>
      <c r="AS13" s="355" t="s">
        <v>64</v>
      </c>
      <c r="AT13" s="355" t="s">
        <v>95</v>
      </c>
      <c r="AU13" s="363" t="s">
        <v>512</v>
      </c>
      <c r="AV13" s="436" t="s">
        <v>1869</v>
      </c>
    </row>
    <row r="14" spans="1:48">
      <c r="A14" s="524">
        <v>5</v>
      </c>
      <c r="B14" s="440">
        <v>5</v>
      </c>
      <c r="C14" s="379" t="s">
        <v>982</v>
      </c>
      <c r="D14" s="437" t="s">
        <v>976</v>
      </c>
      <c r="E14" s="522" t="s">
        <v>1725</v>
      </c>
      <c r="F14" s="372" t="s">
        <v>344</v>
      </c>
      <c r="G14" s="389">
        <v>43795</v>
      </c>
      <c r="H14" s="389">
        <v>43795</v>
      </c>
      <c r="I14" s="389"/>
      <c r="J14" s="389"/>
      <c r="K14" s="372">
        <f t="shared" ca="1" si="1"/>
        <v>1</v>
      </c>
      <c r="L14" s="372">
        <f t="shared" ca="1" si="2"/>
        <v>1</v>
      </c>
      <c r="M14" s="389"/>
      <c r="N14" s="389"/>
      <c r="O14" s="372" t="s">
        <v>35</v>
      </c>
      <c r="P14" s="372" t="s">
        <v>36</v>
      </c>
      <c r="Q14" s="372" t="s">
        <v>41</v>
      </c>
      <c r="R14" s="389">
        <v>34246</v>
      </c>
      <c r="S14" s="452">
        <f t="shared" ca="1" si="3"/>
        <v>27</v>
      </c>
      <c r="T14" s="452">
        <f t="shared" ca="1" si="4"/>
        <v>3</v>
      </c>
      <c r="U14" s="372" t="s">
        <v>977</v>
      </c>
      <c r="V14" s="372" t="s">
        <v>446</v>
      </c>
      <c r="W14" s="372" t="s">
        <v>459</v>
      </c>
      <c r="X14" s="372" t="s">
        <v>59</v>
      </c>
      <c r="Y14" s="372"/>
      <c r="Z14" s="372"/>
      <c r="AA14" s="372"/>
      <c r="AB14" s="372"/>
      <c r="AC14" s="372"/>
      <c r="AD14" s="372"/>
      <c r="AE14" s="372"/>
      <c r="AF14" s="372"/>
      <c r="AG14" s="390"/>
      <c r="AH14" s="390"/>
      <c r="AI14" s="390"/>
      <c r="AJ14" s="391" t="s">
        <v>978</v>
      </c>
      <c r="AK14" s="392" t="s">
        <v>979</v>
      </c>
      <c r="AL14" s="392" t="s">
        <v>979</v>
      </c>
      <c r="AM14" s="392"/>
      <c r="AN14" s="372"/>
      <c r="AO14" s="372"/>
      <c r="AP14" s="391" t="s">
        <v>980</v>
      </c>
      <c r="AQ14" s="375" t="s">
        <v>976</v>
      </c>
      <c r="AR14" s="391" t="s">
        <v>985</v>
      </c>
      <c r="AS14" s="372" t="s">
        <v>64</v>
      </c>
      <c r="AT14" s="372" t="s">
        <v>95</v>
      </c>
      <c r="AU14" s="481" t="s">
        <v>981</v>
      </c>
    </row>
    <row r="15" spans="1:48">
      <c r="A15" s="524">
        <v>6</v>
      </c>
      <c r="B15" s="443">
        <v>6</v>
      </c>
      <c r="C15" s="398" t="s">
        <v>1686</v>
      </c>
      <c r="D15" s="437" t="s">
        <v>1680</v>
      </c>
      <c r="E15" s="440" t="s">
        <v>1726</v>
      </c>
      <c r="F15" s="440" t="s">
        <v>344</v>
      </c>
      <c r="G15" s="441">
        <v>44105</v>
      </c>
      <c r="H15" s="441">
        <v>44105</v>
      </c>
      <c r="I15" s="441"/>
      <c r="J15" s="441"/>
      <c r="K15" s="440">
        <f t="shared" ca="1" si="1"/>
        <v>0</v>
      </c>
      <c r="L15" s="440">
        <f ca="1">DATEDIF(G15,$B$1,"YM")</f>
        <v>3</v>
      </c>
      <c r="M15" s="441"/>
      <c r="N15" s="441"/>
      <c r="O15" s="440" t="s">
        <v>76</v>
      </c>
      <c r="P15" s="440" t="s">
        <v>36</v>
      </c>
      <c r="Q15" s="440" t="s">
        <v>129</v>
      </c>
      <c r="R15" s="441">
        <v>33624</v>
      </c>
      <c r="S15" s="438">
        <f t="shared" ca="1" si="3"/>
        <v>28</v>
      </c>
      <c r="T15" s="438">
        <f t="shared" ca="1" si="4"/>
        <v>11</v>
      </c>
      <c r="U15" s="440" t="s">
        <v>130</v>
      </c>
      <c r="V15" s="440" t="s">
        <v>848</v>
      </c>
      <c r="W15" s="440"/>
      <c r="X15" s="440" t="s">
        <v>59</v>
      </c>
      <c r="Y15" s="440"/>
      <c r="Z15" s="440"/>
      <c r="AA15" s="440"/>
      <c r="AB15" s="440"/>
      <c r="AC15" s="440"/>
      <c r="AD15" s="440"/>
      <c r="AE15" s="440"/>
      <c r="AF15" s="440"/>
      <c r="AG15" s="388"/>
      <c r="AH15" s="388"/>
      <c r="AI15" s="388"/>
      <c r="AJ15" s="442" t="s">
        <v>1682</v>
      </c>
      <c r="AK15" s="350" t="s">
        <v>1683</v>
      </c>
      <c r="AL15" s="350" t="s">
        <v>1683</v>
      </c>
      <c r="AM15" s="350"/>
      <c r="AN15" s="440"/>
      <c r="AO15" s="440"/>
      <c r="AP15" s="442"/>
      <c r="AQ15" s="439" t="s">
        <v>1680</v>
      </c>
      <c r="AR15" s="442" t="s">
        <v>1719</v>
      </c>
      <c r="AS15" s="440" t="s">
        <v>64</v>
      </c>
      <c r="AT15" s="440" t="s">
        <v>95</v>
      </c>
      <c r="AU15" s="364"/>
    </row>
    <row r="16" spans="1:48">
      <c r="A16" s="524">
        <v>7</v>
      </c>
      <c r="B16" s="440">
        <v>7</v>
      </c>
      <c r="C16" s="398" t="s">
        <v>1752</v>
      </c>
      <c r="D16" s="603" t="s">
        <v>1748</v>
      </c>
      <c r="E16" s="440" t="s">
        <v>1749</v>
      </c>
      <c r="F16" s="440" t="s">
        <v>344</v>
      </c>
      <c r="G16" s="441">
        <v>44136</v>
      </c>
      <c r="H16" s="441">
        <v>44136</v>
      </c>
      <c r="I16" s="441"/>
      <c r="J16" s="441"/>
      <c r="K16" s="440">
        <f t="shared" ca="1" si="1"/>
        <v>0</v>
      </c>
      <c r="L16" s="440">
        <f t="shared" ca="1" si="2"/>
        <v>2</v>
      </c>
      <c r="M16" s="441"/>
      <c r="N16" s="441"/>
      <c r="O16" s="440" t="s">
        <v>35</v>
      </c>
      <c r="P16" s="440" t="s">
        <v>36</v>
      </c>
      <c r="Q16" s="440" t="s">
        <v>41</v>
      </c>
      <c r="R16" s="441">
        <v>31740</v>
      </c>
      <c r="S16" s="438">
        <f t="shared" ca="1" si="3"/>
        <v>34</v>
      </c>
      <c r="T16" s="438">
        <f t="shared" ca="1" si="4"/>
        <v>1</v>
      </c>
      <c r="U16" s="440" t="s">
        <v>130</v>
      </c>
      <c r="V16" s="440"/>
      <c r="W16" s="440"/>
      <c r="X16" s="440" t="s">
        <v>59</v>
      </c>
      <c r="Y16" s="440" t="s">
        <v>2330</v>
      </c>
      <c r="Z16" s="686">
        <v>31949</v>
      </c>
      <c r="AA16" s="440" t="s">
        <v>2331</v>
      </c>
      <c r="AB16" s="382">
        <v>39454</v>
      </c>
      <c r="AC16" s="438">
        <f t="shared" ref="AC16" ca="1" si="6">DATEDIF(AB16,$B$1,"Y")</f>
        <v>12</v>
      </c>
      <c r="AD16" s="440" t="s">
        <v>2332</v>
      </c>
      <c r="AE16" s="441">
        <v>42652</v>
      </c>
      <c r="AF16" s="438">
        <f ca="1">DATEDIF(AE16,$B$1,"Y")</f>
        <v>4</v>
      </c>
      <c r="AG16" s="388" t="s">
        <v>2333</v>
      </c>
      <c r="AH16" s="441">
        <v>42652</v>
      </c>
      <c r="AI16" s="438">
        <f ca="1">DATEDIF(AH16,$B$1,"Y")</f>
        <v>4</v>
      </c>
      <c r="AJ16" s="442" t="s">
        <v>1750</v>
      </c>
      <c r="AK16" s="350" t="s">
        <v>1751</v>
      </c>
      <c r="AL16" s="350" t="s">
        <v>1751</v>
      </c>
      <c r="AM16" s="350"/>
      <c r="AN16" s="440"/>
      <c r="AO16" s="365" t="s">
        <v>1778</v>
      </c>
      <c r="AP16" s="442"/>
      <c r="AQ16" s="439" t="s">
        <v>1748</v>
      </c>
      <c r="AR16" s="442" t="s">
        <v>1775</v>
      </c>
      <c r="AS16" s="440" t="s">
        <v>64</v>
      </c>
      <c r="AT16" s="440"/>
      <c r="AU16" s="364"/>
    </row>
    <row r="17" spans="1:48">
      <c r="A17" s="571"/>
      <c r="B17" s="491"/>
      <c r="C17" s="516"/>
      <c r="D17" s="508"/>
      <c r="E17" s="509"/>
      <c r="F17" s="509"/>
      <c r="G17" s="510"/>
      <c r="H17" s="510"/>
      <c r="I17" s="510"/>
      <c r="J17" s="510"/>
      <c r="K17" s="509"/>
      <c r="L17" s="509"/>
      <c r="M17" s="510"/>
      <c r="N17" s="510"/>
      <c r="O17" s="509"/>
      <c r="P17" s="509"/>
      <c r="Q17" s="509"/>
      <c r="R17" s="510"/>
      <c r="S17" s="511"/>
      <c r="T17" s="511"/>
      <c r="U17" s="509"/>
      <c r="V17" s="509"/>
      <c r="W17" s="509"/>
      <c r="X17" s="509"/>
      <c r="Y17" s="509"/>
      <c r="Z17" s="509"/>
      <c r="AA17" s="509"/>
      <c r="AB17" s="509"/>
      <c r="AC17" s="509"/>
      <c r="AD17" s="509"/>
      <c r="AE17" s="509"/>
      <c r="AF17" s="509"/>
      <c r="AG17" s="517"/>
      <c r="AH17" s="517"/>
      <c r="AI17" s="517"/>
      <c r="AJ17" s="512"/>
      <c r="AK17" s="513"/>
      <c r="AL17" s="513"/>
      <c r="AM17" s="513"/>
      <c r="AN17" s="509"/>
      <c r="AO17" s="509"/>
      <c r="AP17" s="512"/>
      <c r="AQ17" s="514"/>
      <c r="AR17" s="512"/>
      <c r="AS17" s="509"/>
      <c r="AT17" s="509"/>
      <c r="AU17" s="518"/>
    </row>
    <row r="18" spans="1:48">
      <c r="A18" s="568"/>
      <c r="B18" s="829" t="s">
        <v>2292</v>
      </c>
      <c r="C18" s="830"/>
      <c r="D18" s="832"/>
      <c r="E18" s="460"/>
      <c r="F18" s="460"/>
      <c r="G18" s="462"/>
      <c r="H18" s="462"/>
      <c r="I18" s="462"/>
      <c r="J18" s="462"/>
      <c r="K18" s="460"/>
      <c r="L18" s="460"/>
      <c r="M18" s="462"/>
      <c r="N18" s="462"/>
      <c r="O18" s="460"/>
      <c r="P18" s="460"/>
      <c r="Q18" s="460"/>
      <c r="R18" s="462"/>
      <c r="S18" s="463"/>
      <c r="T18" s="463"/>
      <c r="U18" s="460"/>
      <c r="V18" s="460"/>
      <c r="W18" s="460"/>
      <c r="X18" s="460"/>
      <c r="Y18" s="460"/>
      <c r="Z18" s="460"/>
      <c r="AA18" s="460"/>
      <c r="AB18" s="460"/>
      <c r="AC18" s="460"/>
      <c r="AD18" s="460"/>
      <c r="AE18" s="460"/>
      <c r="AF18" s="460"/>
      <c r="AG18" s="496"/>
      <c r="AH18" s="496"/>
      <c r="AI18" s="496"/>
      <c r="AJ18" s="465"/>
      <c r="AK18" s="466"/>
      <c r="AL18" s="466"/>
      <c r="AM18" s="466"/>
      <c r="AN18" s="460"/>
      <c r="AO18" s="460"/>
      <c r="AP18" s="465"/>
      <c r="AQ18" s="467"/>
      <c r="AR18" s="465"/>
      <c r="AS18" s="460"/>
      <c r="AT18" s="460"/>
      <c r="AU18" s="482"/>
    </row>
    <row r="19" spans="1:48">
      <c r="A19" s="524">
        <v>8</v>
      </c>
      <c r="B19" s="440">
        <v>1</v>
      </c>
      <c r="C19" s="379" t="s">
        <v>2253</v>
      </c>
      <c r="D19" s="437" t="s">
        <v>1362</v>
      </c>
      <c r="E19" s="440" t="s">
        <v>1363</v>
      </c>
      <c r="F19" s="440" t="s">
        <v>344</v>
      </c>
      <c r="G19" s="441">
        <v>43904</v>
      </c>
      <c r="H19" s="441">
        <v>43904</v>
      </c>
      <c r="I19" s="441"/>
      <c r="J19" s="441"/>
      <c r="K19" s="440">
        <f t="shared" ref="K19:K26" ca="1" si="7">DATEDIF(G19,$B$1,"Y")</f>
        <v>0</v>
      </c>
      <c r="L19" s="440">
        <f t="shared" ref="L19:L26" ca="1" si="8">DATEDIF(G19,$B$1,"YM")</f>
        <v>9</v>
      </c>
      <c r="M19" s="441"/>
      <c r="N19" s="441"/>
      <c r="O19" s="440" t="s">
        <v>35</v>
      </c>
      <c r="P19" s="440" t="s">
        <v>36</v>
      </c>
      <c r="Q19" s="440" t="s">
        <v>1364</v>
      </c>
      <c r="R19" s="441">
        <v>34294</v>
      </c>
      <c r="S19" s="438">
        <f t="shared" ref="S19:S29" ca="1" si="9">DATEDIF(R19,$B$1,"Y")</f>
        <v>27</v>
      </c>
      <c r="T19" s="438">
        <f t="shared" ref="T19:T29" ca="1" si="10">DATEDIF(R19,$B$1,"YM")</f>
        <v>1</v>
      </c>
      <c r="U19" s="440" t="s">
        <v>130</v>
      </c>
      <c r="V19" s="440" t="s">
        <v>58</v>
      </c>
      <c r="W19" s="440" t="s">
        <v>1365</v>
      </c>
      <c r="X19" s="440" t="s">
        <v>59</v>
      </c>
      <c r="Y19" s="440" t="s">
        <v>1366</v>
      </c>
      <c r="Z19" s="441">
        <v>36136</v>
      </c>
      <c r="AA19" s="440" t="s">
        <v>1367</v>
      </c>
      <c r="AB19" s="441">
        <v>43210</v>
      </c>
      <c r="AC19" s="440"/>
      <c r="AD19" s="440"/>
      <c r="AE19" s="440"/>
      <c r="AF19" s="440"/>
      <c r="AG19" s="388"/>
      <c r="AH19" s="388"/>
      <c r="AI19" s="388"/>
      <c r="AJ19" s="442" t="s">
        <v>1368</v>
      </c>
      <c r="AK19" s="350" t="s">
        <v>1369</v>
      </c>
      <c r="AL19" s="350" t="s">
        <v>1370</v>
      </c>
      <c r="AM19" s="350"/>
      <c r="AN19" s="440"/>
      <c r="AO19" s="440" t="s">
        <v>1437</v>
      </c>
      <c r="AP19" s="442" t="s">
        <v>1371</v>
      </c>
      <c r="AQ19" s="439" t="s">
        <v>1362</v>
      </c>
      <c r="AR19" s="442" t="s">
        <v>1372</v>
      </c>
      <c r="AS19" s="440" t="s">
        <v>64</v>
      </c>
      <c r="AT19" s="440" t="s">
        <v>95</v>
      </c>
      <c r="AU19" s="364" t="s">
        <v>1373</v>
      </c>
    </row>
    <row r="20" spans="1:48" ht="15.75" customHeight="1">
      <c r="A20" s="524">
        <v>9</v>
      </c>
      <c r="B20" s="440">
        <v>2</v>
      </c>
      <c r="C20" s="440" t="s">
        <v>419</v>
      </c>
      <c r="D20" s="437" t="s">
        <v>412</v>
      </c>
      <c r="E20" s="440" t="s">
        <v>99</v>
      </c>
      <c r="F20" s="440" t="s">
        <v>344</v>
      </c>
      <c r="G20" s="441">
        <v>43362</v>
      </c>
      <c r="H20" s="357">
        <v>43362</v>
      </c>
      <c r="I20" s="357">
        <v>43574</v>
      </c>
      <c r="J20" s="441"/>
      <c r="K20" s="440">
        <f t="shared" ca="1" si="7"/>
        <v>2</v>
      </c>
      <c r="L20" s="440">
        <f t="shared" ca="1" si="8"/>
        <v>3</v>
      </c>
      <c r="M20" s="441"/>
      <c r="N20" s="441"/>
      <c r="O20" s="440" t="s">
        <v>76</v>
      </c>
      <c r="P20" s="440" t="s">
        <v>36</v>
      </c>
      <c r="Q20" s="440" t="s">
        <v>41</v>
      </c>
      <c r="R20" s="441">
        <v>34925</v>
      </c>
      <c r="S20" s="438">
        <f t="shared" ca="1" si="9"/>
        <v>25</v>
      </c>
      <c r="T20" s="438">
        <f t="shared" ca="1" si="10"/>
        <v>4</v>
      </c>
      <c r="U20" s="440" t="s">
        <v>130</v>
      </c>
      <c r="V20" s="440" t="s">
        <v>413</v>
      </c>
      <c r="W20" s="440" t="s">
        <v>48</v>
      </c>
      <c r="X20" s="440" t="s">
        <v>59</v>
      </c>
      <c r="Y20" s="440" t="s">
        <v>48</v>
      </c>
      <c r="Z20" s="440" t="s">
        <v>48</v>
      </c>
      <c r="AA20" s="440" t="s">
        <v>48</v>
      </c>
      <c r="AB20" s="440" t="s">
        <v>48</v>
      </c>
      <c r="AC20" s="440" t="s">
        <v>48</v>
      </c>
      <c r="AD20" s="440" t="s">
        <v>48</v>
      </c>
      <c r="AE20" s="440" t="s">
        <v>48</v>
      </c>
      <c r="AF20" s="347"/>
      <c r="AG20" s="365"/>
      <c r="AH20" s="365"/>
      <c r="AI20" s="365"/>
      <c r="AJ20" s="439" t="s">
        <v>414</v>
      </c>
      <c r="AK20" s="350" t="s">
        <v>415</v>
      </c>
      <c r="AL20" s="350" t="s">
        <v>415</v>
      </c>
      <c r="AM20" s="350"/>
      <c r="AN20" s="440"/>
      <c r="AO20" s="440" t="s">
        <v>48</v>
      </c>
      <c r="AP20" s="442" t="s">
        <v>416</v>
      </c>
      <c r="AQ20" s="362" t="s">
        <v>412</v>
      </c>
      <c r="AR20" s="347" t="s">
        <v>641</v>
      </c>
      <c r="AS20" s="440" t="s">
        <v>64</v>
      </c>
      <c r="AT20" s="440" t="s">
        <v>95</v>
      </c>
      <c r="AU20" s="364" t="s">
        <v>417</v>
      </c>
      <c r="AV20" s="436" t="s">
        <v>1869</v>
      </c>
    </row>
    <row r="21" spans="1:48" ht="15.75" customHeight="1">
      <c r="A21" s="524">
        <v>10</v>
      </c>
      <c r="B21" s="440">
        <v>3</v>
      </c>
      <c r="C21" s="379" t="s">
        <v>2256</v>
      </c>
      <c r="D21" s="437" t="s">
        <v>1349</v>
      </c>
      <c r="E21" s="440" t="s">
        <v>450</v>
      </c>
      <c r="F21" s="440" t="s">
        <v>344</v>
      </c>
      <c r="G21" s="441">
        <v>43904</v>
      </c>
      <c r="H21" s="441">
        <v>43904</v>
      </c>
      <c r="I21" s="441"/>
      <c r="J21" s="441"/>
      <c r="K21" s="440">
        <f t="shared" ca="1" si="7"/>
        <v>0</v>
      </c>
      <c r="L21" s="440">
        <f t="shared" ca="1" si="8"/>
        <v>9</v>
      </c>
      <c r="M21" s="441"/>
      <c r="N21" s="441"/>
      <c r="O21" s="440" t="s">
        <v>35</v>
      </c>
      <c r="P21" s="440" t="s">
        <v>888</v>
      </c>
      <c r="Q21" s="440" t="s">
        <v>41</v>
      </c>
      <c r="R21" s="441">
        <v>35650</v>
      </c>
      <c r="S21" s="438">
        <f t="shared" ca="1" si="9"/>
        <v>23</v>
      </c>
      <c r="T21" s="438">
        <f t="shared" ca="1" si="10"/>
        <v>4</v>
      </c>
      <c r="U21" s="440" t="s">
        <v>130</v>
      </c>
      <c r="V21" s="440" t="s">
        <v>450</v>
      </c>
      <c r="W21" s="440"/>
      <c r="X21" s="440" t="s">
        <v>59</v>
      </c>
      <c r="Y21" s="440"/>
      <c r="Z21" s="441"/>
      <c r="AA21" s="440"/>
      <c r="AB21" s="441"/>
      <c r="AC21" s="440"/>
      <c r="AD21" s="440"/>
      <c r="AE21" s="440"/>
      <c r="AF21" s="440"/>
      <c r="AG21" s="388"/>
      <c r="AH21" s="388"/>
      <c r="AI21" s="388"/>
      <c r="AJ21" s="442" t="s">
        <v>1351</v>
      </c>
      <c r="AK21" s="350" t="s">
        <v>1352</v>
      </c>
      <c r="AL21" s="350" t="s">
        <v>1352</v>
      </c>
      <c r="AM21" s="350"/>
      <c r="AN21" s="440"/>
      <c r="AO21" s="440"/>
      <c r="AP21" s="442" t="s">
        <v>1353</v>
      </c>
      <c r="AQ21" s="439" t="s">
        <v>1349</v>
      </c>
      <c r="AR21" s="442" t="s">
        <v>1401</v>
      </c>
      <c r="AS21" s="440" t="s">
        <v>64</v>
      </c>
      <c r="AT21" s="440" t="s">
        <v>95</v>
      </c>
      <c r="AU21" s="364"/>
      <c r="AV21" s="436" t="s">
        <v>1869</v>
      </c>
    </row>
    <row r="22" spans="1:48">
      <c r="A22" s="524">
        <v>11</v>
      </c>
      <c r="B22" s="440">
        <v>4</v>
      </c>
      <c r="C22" s="378" t="s">
        <v>2257</v>
      </c>
      <c r="D22" s="437" t="s">
        <v>1008</v>
      </c>
      <c r="E22" s="440" t="s">
        <v>1009</v>
      </c>
      <c r="F22" s="440" t="s">
        <v>344</v>
      </c>
      <c r="G22" s="441">
        <v>43801</v>
      </c>
      <c r="H22" s="441">
        <v>43801</v>
      </c>
      <c r="I22" s="441"/>
      <c r="J22" s="441"/>
      <c r="K22" s="440">
        <f t="shared" ca="1" si="7"/>
        <v>1</v>
      </c>
      <c r="L22" s="440">
        <f t="shared" ca="1" si="8"/>
        <v>1</v>
      </c>
      <c r="M22" s="441"/>
      <c r="N22" s="441"/>
      <c r="O22" s="355" t="s">
        <v>35</v>
      </c>
      <c r="P22" s="440" t="s">
        <v>36</v>
      </c>
      <c r="Q22" s="440" t="s">
        <v>661</v>
      </c>
      <c r="R22" s="441">
        <v>33482</v>
      </c>
      <c r="S22" s="438">
        <f t="shared" ca="1" si="9"/>
        <v>29</v>
      </c>
      <c r="T22" s="438">
        <f t="shared" ca="1" si="10"/>
        <v>4</v>
      </c>
      <c r="U22" s="440" t="s">
        <v>1010</v>
      </c>
      <c r="V22" s="440" t="s">
        <v>598</v>
      </c>
      <c r="W22" s="440" t="s">
        <v>44</v>
      </c>
      <c r="X22" s="440" t="s">
        <v>59</v>
      </c>
      <c r="Y22" s="440" t="s">
        <v>362</v>
      </c>
      <c r="Z22" s="440"/>
      <c r="AA22" s="440" t="s">
        <v>373</v>
      </c>
      <c r="AB22" s="441">
        <v>42846</v>
      </c>
      <c r="AC22" s="438">
        <f ca="1">DATEDIF(AB22,$B$1,"Y")</f>
        <v>3</v>
      </c>
      <c r="AD22" s="440"/>
      <c r="AE22" s="440"/>
      <c r="AF22" s="440"/>
      <c r="AG22" s="388"/>
      <c r="AH22" s="388"/>
      <c r="AI22" s="388"/>
      <c r="AJ22" s="442" t="s">
        <v>1011</v>
      </c>
      <c r="AK22" s="350" t="s">
        <v>1012</v>
      </c>
      <c r="AL22" s="350" t="s">
        <v>1012</v>
      </c>
      <c r="AM22" s="350"/>
      <c r="AN22" s="440"/>
      <c r="AO22" s="440"/>
      <c r="AP22" s="442" t="s">
        <v>376</v>
      </c>
      <c r="AQ22" s="439" t="s">
        <v>1008</v>
      </c>
      <c r="AR22" s="442" t="s">
        <v>1089</v>
      </c>
      <c r="AS22" s="440" t="s">
        <v>64</v>
      </c>
      <c r="AT22" s="440" t="s">
        <v>95</v>
      </c>
      <c r="AU22" s="364"/>
      <c r="AV22" s="436" t="s">
        <v>1869</v>
      </c>
    </row>
    <row r="23" spans="1:48">
      <c r="A23" s="524">
        <v>12</v>
      </c>
      <c r="B23" s="440">
        <v>5</v>
      </c>
      <c r="C23" s="378">
        <v>9919120060</v>
      </c>
      <c r="D23" s="437" t="s">
        <v>1045</v>
      </c>
      <c r="E23" s="440" t="s">
        <v>1048</v>
      </c>
      <c r="F23" s="440" t="s">
        <v>344</v>
      </c>
      <c r="G23" s="441">
        <v>43811</v>
      </c>
      <c r="H23" s="441">
        <v>43811</v>
      </c>
      <c r="I23" s="441"/>
      <c r="J23" s="441"/>
      <c r="K23" s="440">
        <f t="shared" ca="1" si="7"/>
        <v>1</v>
      </c>
      <c r="L23" s="440">
        <f t="shared" ca="1" si="8"/>
        <v>0</v>
      </c>
      <c r="M23" s="441"/>
      <c r="N23" s="441"/>
      <c r="O23" s="355" t="s">
        <v>35</v>
      </c>
      <c r="P23" s="440" t="s">
        <v>36</v>
      </c>
      <c r="Q23" s="440" t="s">
        <v>1049</v>
      </c>
      <c r="R23" s="441">
        <v>34239</v>
      </c>
      <c r="S23" s="438">
        <f t="shared" ca="1" si="9"/>
        <v>27</v>
      </c>
      <c r="T23" s="438">
        <f t="shared" ca="1" si="10"/>
        <v>3</v>
      </c>
      <c r="U23" s="440" t="s">
        <v>1050</v>
      </c>
      <c r="V23" s="440" t="s">
        <v>1051</v>
      </c>
      <c r="W23" s="440" t="s">
        <v>44</v>
      </c>
      <c r="X23" s="440" t="s">
        <v>59</v>
      </c>
      <c r="Y23" s="440"/>
      <c r="Z23" s="440"/>
      <c r="AA23" s="440"/>
      <c r="AB23" s="440"/>
      <c r="AC23" s="440"/>
      <c r="AD23" s="440"/>
      <c r="AE23" s="440"/>
      <c r="AF23" s="440"/>
      <c r="AG23" s="388"/>
      <c r="AH23" s="388"/>
      <c r="AI23" s="388"/>
      <c r="AJ23" s="442" t="s">
        <v>1052</v>
      </c>
      <c r="AK23" s="350" t="s">
        <v>1053</v>
      </c>
      <c r="AL23" s="350" t="s">
        <v>1053</v>
      </c>
      <c r="AM23" s="350"/>
      <c r="AN23" s="440"/>
      <c r="AO23" s="440"/>
      <c r="AP23" s="442" t="s">
        <v>1054</v>
      </c>
      <c r="AQ23" s="439" t="s">
        <v>1045</v>
      </c>
      <c r="AR23" s="442" t="s">
        <v>1094</v>
      </c>
      <c r="AS23" s="440" t="s">
        <v>64</v>
      </c>
      <c r="AT23" s="440" t="s">
        <v>95</v>
      </c>
      <c r="AU23" s="364"/>
      <c r="AV23" s="436" t="s">
        <v>1869</v>
      </c>
    </row>
    <row r="24" spans="1:48">
      <c r="A24" s="524">
        <v>13</v>
      </c>
      <c r="B24" s="440">
        <v>6</v>
      </c>
      <c r="C24" s="378" t="s">
        <v>2258</v>
      </c>
      <c r="D24" s="437" t="s">
        <v>1013</v>
      </c>
      <c r="E24" s="440" t="s">
        <v>1009</v>
      </c>
      <c r="F24" s="440" t="s">
        <v>344</v>
      </c>
      <c r="G24" s="441">
        <v>43801</v>
      </c>
      <c r="H24" s="441">
        <v>43801</v>
      </c>
      <c r="I24" s="441"/>
      <c r="J24" s="441"/>
      <c r="K24" s="440">
        <f t="shared" ca="1" si="7"/>
        <v>1</v>
      </c>
      <c r="L24" s="440">
        <f t="shared" ca="1" si="8"/>
        <v>1</v>
      </c>
      <c r="M24" s="441"/>
      <c r="N24" s="441"/>
      <c r="O24" s="355" t="s">
        <v>76</v>
      </c>
      <c r="P24" s="440" t="s">
        <v>36</v>
      </c>
      <c r="Q24" s="440" t="s">
        <v>41</v>
      </c>
      <c r="R24" s="441">
        <v>33979</v>
      </c>
      <c r="S24" s="438">
        <f t="shared" ca="1" si="9"/>
        <v>27</v>
      </c>
      <c r="T24" s="438">
        <f t="shared" ca="1" si="10"/>
        <v>11</v>
      </c>
      <c r="U24" s="440" t="s">
        <v>57</v>
      </c>
      <c r="V24" s="440" t="s">
        <v>848</v>
      </c>
      <c r="W24" s="440" t="s">
        <v>105</v>
      </c>
      <c r="X24" s="440" t="s">
        <v>59</v>
      </c>
      <c r="Y24" s="440"/>
      <c r="Z24" s="440"/>
      <c r="AA24" s="440"/>
      <c r="AB24" s="440"/>
      <c r="AC24" s="440"/>
      <c r="AD24" s="440"/>
      <c r="AE24" s="440"/>
      <c r="AF24" s="440"/>
      <c r="AG24" s="388"/>
      <c r="AH24" s="388"/>
      <c r="AI24" s="388"/>
      <c r="AJ24" s="442" t="s">
        <v>1014</v>
      </c>
      <c r="AK24" s="350" t="s">
        <v>1015</v>
      </c>
      <c r="AL24" s="350" t="s">
        <v>1015</v>
      </c>
      <c r="AM24" s="350"/>
      <c r="AN24" s="440"/>
      <c r="AO24" s="440"/>
      <c r="AP24" s="442" t="s">
        <v>1016</v>
      </c>
      <c r="AQ24" s="439" t="s">
        <v>1013</v>
      </c>
      <c r="AR24" s="442" t="s">
        <v>1091</v>
      </c>
      <c r="AS24" s="440" t="s">
        <v>64</v>
      </c>
      <c r="AT24" s="440" t="s">
        <v>95</v>
      </c>
      <c r="AU24" s="364"/>
      <c r="AV24" s="436" t="s">
        <v>1869</v>
      </c>
    </row>
    <row r="25" spans="1:48">
      <c r="A25" s="524">
        <v>14</v>
      </c>
      <c r="B25" s="440">
        <v>7</v>
      </c>
      <c r="C25" s="398" t="s">
        <v>1452</v>
      </c>
      <c r="D25" s="437" t="s">
        <v>1440</v>
      </c>
      <c r="E25" s="440" t="s">
        <v>1441</v>
      </c>
      <c r="F25" s="440" t="s">
        <v>344</v>
      </c>
      <c r="G25" s="441">
        <v>43991</v>
      </c>
      <c r="H25" s="441">
        <v>43991</v>
      </c>
      <c r="I25" s="441"/>
      <c r="J25" s="441"/>
      <c r="K25" s="440">
        <f t="shared" ca="1" si="7"/>
        <v>0</v>
      </c>
      <c r="L25" s="440">
        <f t="shared" ca="1" si="8"/>
        <v>6</v>
      </c>
      <c r="M25" s="441"/>
      <c r="N25" s="441"/>
      <c r="O25" s="440" t="s">
        <v>76</v>
      </c>
      <c r="P25" s="440" t="s">
        <v>36</v>
      </c>
      <c r="Q25" s="440" t="s">
        <v>41</v>
      </c>
      <c r="R25" s="441">
        <v>35667</v>
      </c>
      <c r="S25" s="438">
        <f t="shared" ca="1" si="9"/>
        <v>23</v>
      </c>
      <c r="T25" s="438">
        <f t="shared" ca="1" si="10"/>
        <v>4</v>
      </c>
      <c r="U25" s="440" t="s">
        <v>130</v>
      </c>
      <c r="V25" s="440" t="s">
        <v>1450</v>
      </c>
      <c r="W25" s="440" t="s">
        <v>2200</v>
      </c>
      <c r="X25" s="372" t="s">
        <v>59</v>
      </c>
      <c r="Y25" s="440"/>
      <c r="Z25" s="440"/>
      <c r="AA25" s="440"/>
      <c r="AB25" s="440"/>
      <c r="AC25" s="440"/>
      <c r="AD25" s="440"/>
      <c r="AE25" s="440"/>
      <c r="AF25" s="440"/>
      <c r="AG25" s="388"/>
      <c r="AH25" s="388"/>
      <c r="AI25" s="388"/>
      <c r="AJ25" s="442" t="s">
        <v>1443</v>
      </c>
      <c r="AK25" s="350" t="s">
        <v>1444</v>
      </c>
      <c r="AL25" s="350" t="s">
        <v>1444</v>
      </c>
      <c r="AM25" s="350"/>
      <c r="AN25" s="440"/>
      <c r="AO25" s="440"/>
      <c r="AP25" s="442" t="s">
        <v>1445</v>
      </c>
      <c r="AQ25" s="375" t="s">
        <v>1440</v>
      </c>
      <c r="AR25" s="442" t="s">
        <v>1460</v>
      </c>
      <c r="AS25" s="440" t="s">
        <v>64</v>
      </c>
      <c r="AT25" s="372" t="s">
        <v>95</v>
      </c>
      <c r="AU25" s="364" t="s">
        <v>1451</v>
      </c>
    </row>
    <row r="26" spans="1:48">
      <c r="A26" s="524">
        <v>15</v>
      </c>
      <c r="B26" s="440">
        <v>8</v>
      </c>
      <c r="C26" s="602" t="s">
        <v>2234</v>
      </c>
      <c r="D26" s="603" t="s">
        <v>2217</v>
      </c>
      <c r="E26" s="440" t="s">
        <v>2251</v>
      </c>
      <c r="F26" s="440" t="s">
        <v>344</v>
      </c>
      <c r="G26" s="441">
        <v>44186</v>
      </c>
      <c r="H26" s="441">
        <v>44186</v>
      </c>
      <c r="I26" s="441"/>
      <c r="J26" s="441"/>
      <c r="K26" s="440">
        <f t="shared" ca="1" si="7"/>
        <v>0</v>
      </c>
      <c r="L26" s="440">
        <f t="shared" ca="1" si="8"/>
        <v>0</v>
      </c>
      <c r="M26" s="441"/>
      <c r="N26" s="441"/>
      <c r="O26" s="440" t="s">
        <v>76</v>
      </c>
      <c r="P26" s="440" t="s">
        <v>36</v>
      </c>
      <c r="Q26" s="440" t="s">
        <v>1023</v>
      </c>
      <c r="R26" s="441">
        <v>35177</v>
      </c>
      <c r="S26" s="438">
        <f t="shared" ca="1" si="9"/>
        <v>24</v>
      </c>
      <c r="T26" s="438">
        <f t="shared" ca="1" si="10"/>
        <v>8</v>
      </c>
      <c r="U26" s="440" t="s">
        <v>130</v>
      </c>
      <c r="V26" s="440" t="s">
        <v>1342</v>
      </c>
      <c r="W26" s="440" t="s">
        <v>44</v>
      </c>
      <c r="X26" s="440" t="s">
        <v>59</v>
      </c>
      <c r="Y26" s="440"/>
      <c r="Z26" s="440"/>
      <c r="AA26" s="440"/>
      <c r="AB26" s="440"/>
      <c r="AC26" s="440"/>
      <c r="AD26" s="440"/>
      <c r="AE26" s="440"/>
      <c r="AF26" s="440"/>
      <c r="AG26" s="388"/>
      <c r="AH26" s="388"/>
      <c r="AI26" s="388"/>
      <c r="AJ26" s="442" t="s">
        <v>2218</v>
      </c>
      <c r="AK26" s="350" t="s">
        <v>2220</v>
      </c>
      <c r="AL26" s="350" t="s">
        <v>2219</v>
      </c>
      <c r="AM26" s="350"/>
      <c r="AN26" s="440"/>
      <c r="AO26" s="440"/>
      <c r="AP26" s="442" t="s">
        <v>2221</v>
      </c>
      <c r="AQ26" s="439" t="s">
        <v>2217</v>
      </c>
      <c r="AR26" s="442" t="s">
        <v>2222</v>
      </c>
      <c r="AS26" s="440" t="s">
        <v>64</v>
      </c>
      <c r="AT26" s="440" t="s">
        <v>1023</v>
      </c>
      <c r="AU26" s="364" t="s">
        <v>2223</v>
      </c>
    </row>
    <row r="27" spans="1:48">
      <c r="A27" s="524">
        <v>16</v>
      </c>
      <c r="B27" s="440">
        <v>9</v>
      </c>
      <c r="C27" s="602" t="s">
        <v>2235</v>
      </c>
      <c r="D27" s="603" t="s">
        <v>2224</v>
      </c>
      <c r="E27" s="440" t="s">
        <v>2252</v>
      </c>
      <c r="F27" s="440" t="s">
        <v>344</v>
      </c>
      <c r="G27" s="441">
        <v>44186</v>
      </c>
      <c r="H27" s="441">
        <v>44186</v>
      </c>
      <c r="I27" s="441"/>
      <c r="J27" s="441"/>
      <c r="K27" s="440">
        <f t="shared" ref="K27" ca="1" si="11">DATEDIF(G27,$B$1,"Y")</f>
        <v>0</v>
      </c>
      <c r="L27" s="440">
        <f t="shared" ref="L27" ca="1" si="12">DATEDIF(G27,$B$1,"YM")</f>
        <v>0</v>
      </c>
      <c r="M27" s="441"/>
      <c r="N27" s="441"/>
      <c r="O27" s="440" t="s">
        <v>35</v>
      </c>
      <c r="P27" s="440" t="s">
        <v>36</v>
      </c>
      <c r="Q27" s="440" t="s">
        <v>2226</v>
      </c>
      <c r="R27" s="441">
        <v>35836</v>
      </c>
      <c r="S27" s="438">
        <f t="shared" ca="1" si="9"/>
        <v>22</v>
      </c>
      <c r="T27" s="438">
        <f t="shared" ca="1" si="10"/>
        <v>10</v>
      </c>
      <c r="U27" s="440" t="s">
        <v>130</v>
      </c>
      <c r="V27" s="440" t="s">
        <v>2227</v>
      </c>
      <c r="W27" s="365" t="s">
        <v>48</v>
      </c>
      <c r="X27" s="440" t="s">
        <v>59</v>
      </c>
      <c r="Y27" s="440"/>
      <c r="Z27" s="440"/>
      <c r="AA27" s="440"/>
      <c r="AB27" s="440"/>
      <c r="AC27" s="440"/>
      <c r="AD27" s="440"/>
      <c r="AE27" s="440"/>
      <c r="AF27" s="440"/>
      <c r="AG27" s="388"/>
      <c r="AH27" s="388"/>
      <c r="AI27" s="388"/>
      <c r="AJ27" s="442" t="s">
        <v>2228</v>
      </c>
      <c r="AK27" s="350" t="s">
        <v>2229</v>
      </c>
      <c r="AL27" s="350" t="s">
        <v>2230</v>
      </c>
      <c r="AM27" s="350"/>
      <c r="AN27" s="440"/>
      <c r="AO27" s="440"/>
      <c r="AP27" s="442" t="s">
        <v>2231</v>
      </c>
      <c r="AQ27" s="439" t="s">
        <v>2224</v>
      </c>
      <c r="AR27" s="442" t="s">
        <v>2232</v>
      </c>
      <c r="AS27" s="440" t="s">
        <v>64</v>
      </c>
      <c r="AT27" s="440" t="s">
        <v>2226</v>
      </c>
      <c r="AU27" s="364" t="s">
        <v>2233</v>
      </c>
    </row>
    <row r="28" spans="1:48">
      <c r="A28" s="524">
        <v>17</v>
      </c>
      <c r="B28" s="440">
        <v>10</v>
      </c>
      <c r="C28" s="602" t="s">
        <v>1860</v>
      </c>
      <c r="D28" s="603" t="s">
        <v>1848</v>
      </c>
      <c r="E28" s="440" t="s">
        <v>1048</v>
      </c>
      <c r="F28" s="440" t="s">
        <v>344</v>
      </c>
      <c r="G28" s="441">
        <v>44151</v>
      </c>
      <c r="H28" s="441">
        <v>44151</v>
      </c>
      <c r="I28" s="441"/>
      <c r="J28" s="441"/>
      <c r="K28" s="440">
        <f ca="1">DATEDIF(G28,$B$1,"Y")</f>
        <v>0</v>
      </c>
      <c r="L28" s="440">
        <f ca="1">DATEDIF(G28,$B$1,"YM")</f>
        <v>1</v>
      </c>
      <c r="M28" s="441"/>
      <c r="N28" s="441"/>
      <c r="O28" s="440" t="s">
        <v>35</v>
      </c>
      <c r="P28" s="440" t="s">
        <v>36</v>
      </c>
      <c r="Q28" s="440" t="s">
        <v>41</v>
      </c>
      <c r="R28" s="441">
        <v>34862</v>
      </c>
      <c r="S28" s="438">
        <f t="shared" ca="1" si="9"/>
        <v>25</v>
      </c>
      <c r="T28" s="438">
        <f t="shared" ca="1" si="10"/>
        <v>6</v>
      </c>
      <c r="U28" s="440" t="s">
        <v>130</v>
      </c>
      <c r="V28" s="440" t="s">
        <v>1849</v>
      </c>
      <c r="W28" s="440"/>
      <c r="X28" s="440" t="s">
        <v>350</v>
      </c>
      <c r="Y28" s="440"/>
      <c r="Z28" s="440"/>
      <c r="AA28" s="440"/>
      <c r="AB28" s="440"/>
      <c r="AC28" s="440"/>
      <c r="AD28" s="440"/>
      <c r="AE28" s="440"/>
      <c r="AF28" s="440"/>
      <c r="AG28" s="388"/>
      <c r="AH28" s="388"/>
      <c r="AI28" s="388"/>
      <c r="AJ28" s="442" t="s">
        <v>1850</v>
      </c>
      <c r="AK28" s="350" t="s">
        <v>1851</v>
      </c>
      <c r="AL28" s="350" t="s">
        <v>1851</v>
      </c>
      <c r="AM28" s="350"/>
      <c r="AN28" s="440"/>
      <c r="AO28" s="440"/>
      <c r="AP28" s="442" t="s">
        <v>1852</v>
      </c>
      <c r="AQ28" s="439" t="s">
        <v>1848</v>
      </c>
      <c r="AR28" s="442" t="s">
        <v>1897</v>
      </c>
      <c r="AS28" s="440" t="s">
        <v>64</v>
      </c>
      <c r="AT28" s="440" t="s">
        <v>95</v>
      </c>
      <c r="AU28" s="364" t="s">
        <v>1853</v>
      </c>
    </row>
    <row r="29" spans="1:48">
      <c r="A29" s="524">
        <v>18</v>
      </c>
      <c r="B29" s="440">
        <v>11</v>
      </c>
      <c r="C29" s="602" t="s">
        <v>2383</v>
      </c>
      <c r="D29" s="603" t="s">
        <v>2364</v>
      </c>
      <c r="E29" s="440" t="s">
        <v>2365</v>
      </c>
      <c r="F29" s="440" t="s">
        <v>344</v>
      </c>
      <c r="G29" s="441">
        <v>44202</v>
      </c>
      <c r="H29" s="441">
        <v>44202</v>
      </c>
      <c r="I29" s="441"/>
      <c r="J29" s="441"/>
      <c r="K29" s="440">
        <f ca="1">DATEDIF(G29,$B$1,"Y")</f>
        <v>0</v>
      </c>
      <c r="L29" s="440">
        <f ca="1">DATEDIF(G29,$B$1,"YM")</f>
        <v>0</v>
      </c>
      <c r="M29" s="441"/>
      <c r="N29" s="441"/>
      <c r="O29" s="440" t="s">
        <v>76</v>
      </c>
      <c r="P29" s="440" t="s">
        <v>888</v>
      </c>
      <c r="Q29" s="440" t="s">
        <v>1887</v>
      </c>
      <c r="R29" s="441">
        <v>35342</v>
      </c>
      <c r="S29" s="438">
        <f t="shared" ca="1" si="9"/>
        <v>24</v>
      </c>
      <c r="T29" s="438">
        <f t="shared" ca="1" si="10"/>
        <v>3</v>
      </c>
      <c r="U29" s="440" t="s">
        <v>130</v>
      </c>
      <c r="V29" s="440" t="s">
        <v>1594</v>
      </c>
      <c r="W29" s="440" t="s">
        <v>459</v>
      </c>
      <c r="X29" s="440" t="s">
        <v>350</v>
      </c>
      <c r="Y29" s="440"/>
      <c r="Z29" s="440"/>
      <c r="AA29" s="440"/>
      <c r="AB29" s="440"/>
      <c r="AC29" s="440"/>
      <c r="AD29" s="440"/>
      <c r="AE29" s="440"/>
      <c r="AF29" s="440"/>
      <c r="AG29" s="388"/>
      <c r="AH29" s="388"/>
      <c r="AI29" s="388"/>
      <c r="AJ29" s="442" t="s">
        <v>2366</v>
      </c>
      <c r="AK29" s="350" t="s">
        <v>2367</v>
      </c>
      <c r="AL29" s="350" t="s">
        <v>2368</v>
      </c>
      <c r="AM29" s="350"/>
      <c r="AN29" s="440"/>
      <c r="AO29" s="440"/>
      <c r="AP29" s="442" t="s">
        <v>2369</v>
      </c>
      <c r="AQ29" s="439" t="s">
        <v>2364</v>
      </c>
      <c r="AR29" s="442"/>
      <c r="AS29" s="440" t="s">
        <v>64</v>
      </c>
      <c r="AT29" s="440" t="s">
        <v>95</v>
      </c>
      <c r="AU29" s="364" t="s">
        <v>2370</v>
      </c>
    </row>
    <row r="30" spans="1:48">
      <c r="A30" s="571"/>
      <c r="B30" s="491"/>
      <c r="C30" s="516"/>
      <c r="D30" s="508"/>
      <c r="E30" s="509"/>
      <c r="F30" s="509"/>
      <c r="G30" s="510"/>
      <c r="H30" s="510"/>
      <c r="I30" s="510"/>
      <c r="J30" s="510"/>
      <c r="K30" s="509"/>
      <c r="L30" s="509"/>
      <c r="M30" s="510"/>
      <c r="N30" s="510"/>
      <c r="O30" s="509"/>
      <c r="P30" s="509"/>
      <c r="Q30" s="509"/>
      <c r="R30" s="510"/>
      <c r="S30" s="511"/>
      <c r="T30" s="511"/>
      <c r="U30" s="509"/>
      <c r="V30" s="509"/>
      <c r="W30" s="509"/>
      <c r="X30" s="509"/>
      <c r="Y30" s="509"/>
      <c r="Z30" s="509"/>
      <c r="AA30" s="509"/>
      <c r="AB30" s="509"/>
      <c r="AC30" s="509"/>
      <c r="AD30" s="509"/>
      <c r="AE30" s="509"/>
      <c r="AF30" s="509"/>
      <c r="AG30" s="517"/>
      <c r="AH30" s="517"/>
      <c r="AI30" s="517"/>
      <c r="AJ30" s="512"/>
      <c r="AK30" s="513"/>
      <c r="AL30" s="513"/>
      <c r="AM30" s="513"/>
      <c r="AN30" s="509"/>
      <c r="AO30" s="509"/>
      <c r="AP30" s="512"/>
      <c r="AQ30" s="514"/>
      <c r="AR30" s="512"/>
      <c r="AS30" s="509"/>
      <c r="AT30" s="509"/>
      <c r="AU30" s="518"/>
    </row>
    <row r="31" spans="1:48">
      <c r="A31" s="568"/>
      <c r="B31" s="829" t="s">
        <v>2291</v>
      </c>
      <c r="C31" s="830"/>
      <c r="D31" s="832"/>
      <c r="E31" s="460"/>
      <c r="F31" s="460"/>
      <c r="G31" s="462"/>
      <c r="H31" s="462"/>
      <c r="I31" s="462"/>
      <c r="J31" s="462"/>
      <c r="K31" s="460"/>
      <c r="L31" s="460"/>
      <c r="M31" s="462"/>
      <c r="N31" s="462"/>
      <c r="O31" s="460"/>
      <c r="P31" s="460"/>
      <c r="Q31" s="460"/>
      <c r="R31" s="462"/>
      <c r="S31" s="463"/>
      <c r="T31" s="463"/>
      <c r="U31" s="460"/>
      <c r="V31" s="460"/>
      <c r="W31" s="460"/>
      <c r="X31" s="460"/>
      <c r="Y31" s="460"/>
      <c r="Z31" s="460"/>
      <c r="AA31" s="460"/>
      <c r="AB31" s="460"/>
      <c r="AC31" s="460"/>
      <c r="AD31" s="460"/>
      <c r="AE31" s="460"/>
      <c r="AF31" s="460"/>
      <c r="AG31" s="496"/>
      <c r="AH31" s="496"/>
      <c r="AI31" s="496"/>
      <c r="AJ31" s="465"/>
      <c r="AK31" s="466"/>
      <c r="AL31" s="466"/>
      <c r="AM31" s="466"/>
      <c r="AN31" s="460"/>
      <c r="AO31" s="460"/>
      <c r="AP31" s="465"/>
      <c r="AQ31" s="467"/>
      <c r="AR31" s="465"/>
      <c r="AS31" s="460"/>
      <c r="AT31" s="460"/>
      <c r="AU31" s="482"/>
    </row>
    <row r="32" spans="1:48">
      <c r="A32" s="524">
        <v>19</v>
      </c>
      <c r="B32" s="440">
        <v>1</v>
      </c>
      <c r="C32" s="440">
        <v>9918050033</v>
      </c>
      <c r="D32" s="437" t="s">
        <v>362</v>
      </c>
      <c r="E32" s="440" t="s">
        <v>363</v>
      </c>
      <c r="F32" s="440" t="s">
        <v>344</v>
      </c>
      <c r="G32" s="441">
        <v>43222</v>
      </c>
      <c r="H32" s="357">
        <v>43222</v>
      </c>
      <c r="I32" s="441">
        <v>43587</v>
      </c>
      <c r="J32" s="441"/>
      <c r="K32" s="440">
        <f t="shared" ref="K32:K41" ca="1" si="13">DATEDIF(G32,$B$1,"Y")</f>
        <v>2</v>
      </c>
      <c r="L32" s="440">
        <f t="shared" ref="L32:L41" ca="1" si="14">DATEDIF(G32,$B$1,"YM")</f>
        <v>8</v>
      </c>
      <c r="M32" s="441"/>
      <c r="N32" s="441"/>
      <c r="O32" s="440" t="s">
        <v>76</v>
      </c>
      <c r="P32" s="440" t="s">
        <v>36</v>
      </c>
      <c r="Q32" s="440" t="s">
        <v>41</v>
      </c>
      <c r="R32" s="441">
        <v>33553</v>
      </c>
      <c r="S32" s="438">
        <f t="shared" ref="S32:S41" ca="1" si="15">DATEDIF(R32,$B$1,"Y")</f>
        <v>29</v>
      </c>
      <c r="T32" s="438">
        <f t="shared" ref="T32:T41" ca="1" si="16">DATEDIF(R32,$B$1,"YM")</f>
        <v>1</v>
      </c>
      <c r="U32" s="440" t="s">
        <v>130</v>
      </c>
      <c r="V32" s="440" t="s">
        <v>371</v>
      </c>
      <c r="W32" s="440" t="s">
        <v>105</v>
      </c>
      <c r="X32" s="440" t="s">
        <v>45</v>
      </c>
      <c r="Y32" s="440" t="s">
        <v>372</v>
      </c>
      <c r="Z32" s="441">
        <v>33482</v>
      </c>
      <c r="AA32" s="440" t="s">
        <v>373</v>
      </c>
      <c r="AB32" s="441">
        <v>42846</v>
      </c>
      <c r="AC32" s="438">
        <f ca="1">DATEDIF(AB32,$B$1,"Y")</f>
        <v>3</v>
      </c>
      <c r="AD32" s="440" t="s">
        <v>48</v>
      </c>
      <c r="AE32" s="440" t="s">
        <v>48</v>
      </c>
      <c r="AF32" s="440" t="s">
        <v>48</v>
      </c>
      <c r="AG32" s="365"/>
      <c r="AH32" s="365"/>
      <c r="AI32" s="365"/>
      <c r="AJ32" s="439" t="s">
        <v>374</v>
      </c>
      <c r="AK32" s="350" t="s">
        <v>375</v>
      </c>
      <c r="AL32" s="350" t="s">
        <v>375</v>
      </c>
      <c r="AM32" s="350"/>
      <c r="AN32" s="440"/>
      <c r="AO32" s="440" t="s">
        <v>48</v>
      </c>
      <c r="AP32" s="442" t="s">
        <v>376</v>
      </c>
      <c r="AQ32" s="439" t="s">
        <v>362</v>
      </c>
      <c r="AR32" s="347" t="s">
        <v>949</v>
      </c>
      <c r="AS32" s="440" t="s">
        <v>64</v>
      </c>
      <c r="AT32" s="440" t="s">
        <v>95</v>
      </c>
      <c r="AU32" s="376" t="s">
        <v>48</v>
      </c>
      <c r="AV32" s="436" t="s">
        <v>1869</v>
      </c>
    </row>
    <row r="33" spans="1:48">
      <c r="A33" s="524">
        <v>20</v>
      </c>
      <c r="B33" s="440">
        <v>2</v>
      </c>
      <c r="C33" s="440" t="s">
        <v>451</v>
      </c>
      <c r="D33" s="437" t="s">
        <v>436</v>
      </c>
      <c r="E33" s="440" t="s">
        <v>67</v>
      </c>
      <c r="F33" s="440" t="s">
        <v>344</v>
      </c>
      <c r="G33" s="441">
        <v>43467</v>
      </c>
      <c r="H33" s="357">
        <v>43467</v>
      </c>
      <c r="I33" s="357">
        <v>43832</v>
      </c>
      <c r="J33" s="441"/>
      <c r="K33" s="440">
        <f t="shared" ca="1" si="13"/>
        <v>2</v>
      </c>
      <c r="L33" s="440">
        <f t="shared" ca="1" si="14"/>
        <v>0</v>
      </c>
      <c r="M33" s="441"/>
      <c r="N33" s="441"/>
      <c r="O33" s="440" t="s">
        <v>76</v>
      </c>
      <c r="P33" s="440" t="s">
        <v>36</v>
      </c>
      <c r="Q33" s="440" t="s">
        <v>37</v>
      </c>
      <c r="R33" s="441">
        <v>35726</v>
      </c>
      <c r="S33" s="438">
        <f t="shared" ca="1" si="15"/>
        <v>23</v>
      </c>
      <c r="T33" s="438">
        <f t="shared" ca="1" si="16"/>
        <v>2</v>
      </c>
      <c r="U33" s="440" t="s">
        <v>467</v>
      </c>
      <c r="V33" s="440" t="s">
        <v>468</v>
      </c>
      <c r="W33" s="440" t="s">
        <v>469</v>
      </c>
      <c r="X33" s="440" t="s">
        <v>59</v>
      </c>
      <c r="Y33" s="440" t="s">
        <v>48</v>
      </c>
      <c r="Z33" s="440" t="s">
        <v>48</v>
      </c>
      <c r="AA33" s="440" t="s">
        <v>48</v>
      </c>
      <c r="AB33" s="440" t="s">
        <v>48</v>
      </c>
      <c r="AC33" s="440" t="s">
        <v>48</v>
      </c>
      <c r="AD33" s="440" t="s">
        <v>48</v>
      </c>
      <c r="AE33" s="440" t="s">
        <v>48</v>
      </c>
      <c r="AF33" s="440" t="s">
        <v>48</v>
      </c>
      <c r="AG33" s="370"/>
      <c r="AH33" s="371"/>
      <c r="AI33" s="354"/>
      <c r="AJ33" s="442" t="s">
        <v>561</v>
      </c>
      <c r="AK33" s="350" t="s">
        <v>470</v>
      </c>
      <c r="AL33" s="350" t="s">
        <v>470</v>
      </c>
      <c r="AM33" s="350"/>
      <c r="AN33" s="365"/>
      <c r="AO33" s="440" t="s">
        <v>48</v>
      </c>
      <c r="AP33" s="442" t="s">
        <v>471</v>
      </c>
      <c r="AQ33" s="439" t="s">
        <v>436</v>
      </c>
      <c r="AR33" s="439" t="s">
        <v>642</v>
      </c>
      <c r="AS33" s="440" t="s">
        <v>64</v>
      </c>
      <c r="AT33" s="440" t="s">
        <v>95</v>
      </c>
      <c r="AU33" s="364" t="s">
        <v>472</v>
      </c>
      <c r="AV33" s="436" t="s">
        <v>1869</v>
      </c>
    </row>
    <row r="34" spans="1:48">
      <c r="A34" s="524">
        <v>21</v>
      </c>
      <c r="B34" s="440">
        <v>3</v>
      </c>
      <c r="C34" s="402">
        <v>9919110052</v>
      </c>
      <c r="D34" s="437" t="s">
        <v>965</v>
      </c>
      <c r="E34" s="440" t="s">
        <v>966</v>
      </c>
      <c r="F34" s="440" t="s">
        <v>344</v>
      </c>
      <c r="G34" s="441">
        <v>43794</v>
      </c>
      <c r="H34" s="441">
        <v>43794</v>
      </c>
      <c r="I34" s="441"/>
      <c r="J34" s="441"/>
      <c r="K34" s="440">
        <f t="shared" ca="1" si="13"/>
        <v>1</v>
      </c>
      <c r="L34" s="440">
        <f t="shared" ca="1" si="14"/>
        <v>1</v>
      </c>
      <c r="M34" s="441"/>
      <c r="N34" s="441"/>
      <c r="O34" s="440" t="s">
        <v>76</v>
      </c>
      <c r="P34" s="440" t="s">
        <v>36</v>
      </c>
      <c r="Q34" s="440" t="s">
        <v>197</v>
      </c>
      <c r="R34" s="441">
        <v>35755</v>
      </c>
      <c r="S34" s="438">
        <f t="shared" ca="1" si="15"/>
        <v>23</v>
      </c>
      <c r="T34" s="438">
        <f t="shared" ca="1" si="16"/>
        <v>1</v>
      </c>
      <c r="U34" s="440" t="s">
        <v>130</v>
      </c>
      <c r="V34" s="440" t="s">
        <v>967</v>
      </c>
      <c r="W34" s="440" t="s">
        <v>459</v>
      </c>
      <c r="X34" s="440" t="s">
        <v>59</v>
      </c>
      <c r="Y34" s="440"/>
      <c r="Z34" s="440"/>
      <c r="AA34" s="440"/>
      <c r="AB34" s="440"/>
      <c r="AC34" s="440"/>
      <c r="AD34" s="440"/>
      <c r="AE34" s="440"/>
      <c r="AF34" s="440"/>
      <c r="AG34" s="388"/>
      <c r="AH34" s="388"/>
      <c r="AI34" s="388"/>
      <c r="AJ34" s="442" t="s">
        <v>968</v>
      </c>
      <c r="AK34" s="350" t="s">
        <v>969</v>
      </c>
      <c r="AL34" s="350" t="s">
        <v>970</v>
      </c>
      <c r="AM34" s="350"/>
      <c r="AN34" s="440"/>
      <c r="AO34" s="440"/>
      <c r="AP34" s="442" t="s">
        <v>971</v>
      </c>
      <c r="AQ34" s="439" t="s">
        <v>965</v>
      </c>
      <c r="AR34" s="442" t="s">
        <v>984</v>
      </c>
      <c r="AS34" s="440" t="s">
        <v>64</v>
      </c>
      <c r="AT34" s="440" t="s">
        <v>95</v>
      </c>
      <c r="AU34" s="364" t="s">
        <v>972</v>
      </c>
      <c r="AV34" s="436" t="s">
        <v>1869</v>
      </c>
    </row>
    <row r="35" spans="1:48">
      <c r="A35" s="524">
        <v>22</v>
      </c>
      <c r="B35" s="440">
        <v>4</v>
      </c>
      <c r="C35" s="379" t="s">
        <v>2261</v>
      </c>
      <c r="D35" s="437" t="s">
        <v>1113</v>
      </c>
      <c r="E35" s="440" t="s">
        <v>1071</v>
      </c>
      <c r="F35" s="440" t="s">
        <v>344</v>
      </c>
      <c r="G35" s="441">
        <v>43820</v>
      </c>
      <c r="H35" s="441">
        <v>43820</v>
      </c>
      <c r="I35" s="441"/>
      <c r="J35" s="441"/>
      <c r="K35" s="440">
        <f t="shared" ca="1" si="13"/>
        <v>1</v>
      </c>
      <c r="L35" s="440">
        <f t="shared" ca="1" si="14"/>
        <v>0</v>
      </c>
      <c r="M35" s="441"/>
      <c r="N35" s="441"/>
      <c r="O35" s="440" t="s">
        <v>76</v>
      </c>
      <c r="P35" s="440" t="s">
        <v>36</v>
      </c>
      <c r="Q35" s="440" t="s">
        <v>41</v>
      </c>
      <c r="R35" s="441">
        <v>34871</v>
      </c>
      <c r="S35" s="438">
        <f t="shared" ca="1" si="15"/>
        <v>25</v>
      </c>
      <c r="T35" s="438">
        <f t="shared" ca="1" si="16"/>
        <v>6</v>
      </c>
      <c r="U35" s="440" t="s">
        <v>130</v>
      </c>
      <c r="V35" s="440" t="s">
        <v>90</v>
      </c>
      <c r="W35" s="440" t="s">
        <v>224</v>
      </c>
      <c r="X35" s="440" t="s">
        <v>59</v>
      </c>
      <c r="Y35" s="440"/>
      <c r="Z35" s="440"/>
      <c r="AA35" s="440"/>
      <c r="AB35" s="440"/>
      <c r="AC35" s="440"/>
      <c r="AD35" s="440"/>
      <c r="AE35" s="440"/>
      <c r="AF35" s="440"/>
      <c r="AG35" s="388"/>
      <c r="AH35" s="388"/>
      <c r="AI35" s="388"/>
      <c r="AJ35" s="442" t="s">
        <v>1114</v>
      </c>
      <c r="AK35" s="350" t="s">
        <v>1115</v>
      </c>
      <c r="AL35" s="350" t="s">
        <v>1115</v>
      </c>
      <c r="AM35" s="350"/>
      <c r="AN35" s="440"/>
      <c r="AO35" s="440"/>
      <c r="AP35" s="442" t="s">
        <v>1116</v>
      </c>
      <c r="AQ35" s="439" t="s">
        <v>1113</v>
      </c>
      <c r="AR35" s="415" t="s">
        <v>1223</v>
      </c>
      <c r="AS35" s="440" t="s">
        <v>64</v>
      </c>
      <c r="AT35" s="440" t="s">
        <v>95</v>
      </c>
      <c r="AU35" s="364" t="s">
        <v>1117</v>
      </c>
      <c r="AV35" s="436" t="s">
        <v>1869</v>
      </c>
    </row>
    <row r="36" spans="1:48">
      <c r="A36" s="524">
        <v>23</v>
      </c>
      <c r="B36" s="440">
        <v>5</v>
      </c>
      <c r="C36" s="398" t="s">
        <v>1685</v>
      </c>
      <c r="D36" s="603" t="s">
        <v>1672</v>
      </c>
      <c r="E36" s="440" t="s">
        <v>1673</v>
      </c>
      <c r="F36" s="440" t="s">
        <v>344</v>
      </c>
      <c r="G36" s="441">
        <v>44103</v>
      </c>
      <c r="H36" s="441">
        <v>44103</v>
      </c>
      <c r="I36" s="441"/>
      <c r="J36" s="441"/>
      <c r="K36" s="440">
        <f t="shared" ca="1" si="13"/>
        <v>0</v>
      </c>
      <c r="L36" s="440">
        <f t="shared" ca="1" si="14"/>
        <v>3</v>
      </c>
      <c r="M36" s="441"/>
      <c r="N36" s="441"/>
      <c r="O36" s="440" t="s">
        <v>76</v>
      </c>
      <c r="P36" s="440" t="s">
        <v>36</v>
      </c>
      <c r="Q36" s="440" t="s">
        <v>41</v>
      </c>
      <c r="R36" s="441">
        <v>35563</v>
      </c>
      <c r="S36" s="438">
        <f t="shared" ca="1" si="15"/>
        <v>23</v>
      </c>
      <c r="T36" s="438">
        <f t="shared" ca="1" si="16"/>
        <v>7</v>
      </c>
      <c r="U36" s="440" t="s">
        <v>1674</v>
      </c>
      <c r="V36" s="440" t="s">
        <v>1675</v>
      </c>
      <c r="W36" s="440"/>
      <c r="X36" s="440" t="s">
        <v>59</v>
      </c>
      <c r="Y36" s="440"/>
      <c r="Z36" s="440"/>
      <c r="AA36" s="440"/>
      <c r="AB36" s="440"/>
      <c r="AC36" s="440"/>
      <c r="AD36" s="440"/>
      <c r="AE36" s="440"/>
      <c r="AF36" s="440"/>
      <c r="AG36" s="388"/>
      <c r="AH36" s="388"/>
      <c r="AI36" s="388"/>
      <c r="AJ36" s="442" t="s">
        <v>1676</v>
      </c>
      <c r="AK36" s="350" t="s">
        <v>1677</v>
      </c>
      <c r="AL36" s="350" t="s">
        <v>1677</v>
      </c>
      <c r="AM36" s="350"/>
      <c r="AN36" s="440"/>
      <c r="AO36" s="440"/>
      <c r="AP36" s="442" t="s">
        <v>1678</v>
      </c>
      <c r="AQ36" s="439" t="s">
        <v>1672</v>
      </c>
      <c r="AR36" s="442" t="s">
        <v>1721</v>
      </c>
      <c r="AS36" s="440" t="s">
        <v>64</v>
      </c>
      <c r="AT36" s="440" t="s">
        <v>1700</v>
      </c>
      <c r="AU36" s="364" t="s">
        <v>1679</v>
      </c>
    </row>
    <row r="37" spans="1:48">
      <c r="A37" s="524">
        <v>24</v>
      </c>
      <c r="B37" s="440">
        <v>6</v>
      </c>
      <c r="C37" s="398" t="s">
        <v>1701</v>
      </c>
      <c r="D37" s="603" t="s">
        <v>1695</v>
      </c>
      <c r="E37" s="440" t="s">
        <v>1009</v>
      </c>
      <c r="F37" s="440" t="s">
        <v>344</v>
      </c>
      <c r="G37" s="441">
        <v>44110</v>
      </c>
      <c r="H37" s="441">
        <v>44110</v>
      </c>
      <c r="I37" s="441"/>
      <c r="J37" s="441"/>
      <c r="K37" s="440">
        <f t="shared" ca="1" si="13"/>
        <v>0</v>
      </c>
      <c r="L37" s="440">
        <f t="shared" ca="1" si="14"/>
        <v>3</v>
      </c>
      <c r="M37" s="441"/>
      <c r="N37" s="441"/>
      <c r="O37" s="440" t="s">
        <v>76</v>
      </c>
      <c r="P37" s="440" t="s">
        <v>36</v>
      </c>
      <c r="Q37" s="440" t="s">
        <v>41</v>
      </c>
      <c r="R37" s="441">
        <v>34011</v>
      </c>
      <c r="S37" s="438">
        <f t="shared" ca="1" si="15"/>
        <v>27</v>
      </c>
      <c r="T37" s="438">
        <f t="shared" ca="1" si="16"/>
        <v>10</v>
      </c>
      <c r="U37" s="440" t="s">
        <v>130</v>
      </c>
      <c r="V37" s="440" t="s">
        <v>1696</v>
      </c>
      <c r="W37" s="440" t="s">
        <v>105</v>
      </c>
      <c r="X37" s="440" t="s">
        <v>59</v>
      </c>
      <c r="Y37" s="440"/>
      <c r="Z37" s="440"/>
      <c r="AA37" s="440"/>
      <c r="AB37" s="440"/>
      <c r="AC37" s="440"/>
      <c r="AD37" s="440"/>
      <c r="AE37" s="440"/>
      <c r="AF37" s="440"/>
      <c r="AG37" s="388"/>
      <c r="AH37" s="388"/>
      <c r="AI37" s="388"/>
      <c r="AJ37" s="442" t="s">
        <v>1697</v>
      </c>
      <c r="AK37" s="350" t="s">
        <v>1698</v>
      </c>
      <c r="AL37" s="350" t="s">
        <v>1699</v>
      </c>
      <c r="AM37" s="350"/>
      <c r="AN37" s="440"/>
      <c r="AO37" s="440"/>
      <c r="AP37" s="442"/>
      <c r="AQ37" s="439" t="s">
        <v>1695</v>
      </c>
      <c r="AR37" s="442" t="s">
        <v>1720</v>
      </c>
      <c r="AS37" s="440" t="s">
        <v>64</v>
      </c>
      <c r="AT37" s="440" t="s">
        <v>95</v>
      </c>
      <c r="AU37" s="364"/>
    </row>
    <row r="38" spans="1:48">
      <c r="A38" s="524">
        <v>25</v>
      </c>
      <c r="B38" s="440">
        <v>7</v>
      </c>
      <c r="C38" s="398" t="s">
        <v>1745</v>
      </c>
      <c r="D38" s="603" t="s">
        <v>1731</v>
      </c>
      <c r="E38" s="440" t="s">
        <v>1009</v>
      </c>
      <c r="F38" s="440" t="s">
        <v>344</v>
      </c>
      <c r="G38" s="441">
        <v>44130</v>
      </c>
      <c r="H38" s="441">
        <v>44130</v>
      </c>
      <c r="I38" s="441"/>
      <c r="J38" s="441"/>
      <c r="K38" s="440">
        <f t="shared" ca="1" si="13"/>
        <v>0</v>
      </c>
      <c r="L38" s="440">
        <f t="shared" ca="1" si="14"/>
        <v>2</v>
      </c>
      <c r="M38" s="441"/>
      <c r="N38" s="441"/>
      <c r="O38" s="440" t="s">
        <v>76</v>
      </c>
      <c r="P38" s="440" t="s">
        <v>1733</v>
      </c>
      <c r="Q38" s="440" t="s">
        <v>1710</v>
      </c>
      <c r="R38" s="441">
        <v>34391</v>
      </c>
      <c r="S38" s="438">
        <f t="shared" ca="1" si="15"/>
        <v>26</v>
      </c>
      <c r="T38" s="438">
        <f t="shared" ca="1" si="16"/>
        <v>10</v>
      </c>
      <c r="U38" s="440" t="s">
        <v>130</v>
      </c>
      <c r="V38" s="440" t="s">
        <v>90</v>
      </c>
      <c r="W38" s="440"/>
      <c r="X38" s="440" t="s">
        <v>59</v>
      </c>
      <c r="Y38" s="440"/>
      <c r="Z38" s="440"/>
      <c r="AA38" s="440"/>
      <c r="AB38" s="440"/>
      <c r="AC38" s="440"/>
      <c r="AD38" s="440"/>
      <c r="AE38" s="440"/>
      <c r="AF38" s="440"/>
      <c r="AG38" s="388"/>
      <c r="AH38" s="388"/>
      <c r="AI38" s="388"/>
      <c r="AJ38" s="442" t="s">
        <v>1734</v>
      </c>
      <c r="AK38" s="350" t="s">
        <v>1736</v>
      </c>
      <c r="AL38" s="350" t="s">
        <v>1736</v>
      </c>
      <c r="AM38" s="350"/>
      <c r="AN38" s="440"/>
      <c r="AO38" s="440"/>
      <c r="AP38" s="442"/>
      <c r="AQ38" s="439" t="s">
        <v>1731</v>
      </c>
      <c r="AR38" s="442" t="s">
        <v>1894</v>
      </c>
      <c r="AS38" s="440" t="s">
        <v>64</v>
      </c>
      <c r="AT38" s="440" t="s">
        <v>1744</v>
      </c>
      <c r="AU38" s="364" t="s">
        <v>1739</v>
      </c>
    </row>
    <row r="39" spans="1:48">
      <c r="A39" s="524">
        <v>26</v>
      </c>
      <c r="B39" s="440">
        <v>8</v>
      </c>
      <c r="C39" s="398" t="s">
        <v>1746</v>
      </c>
      <c r="D39" s="603" t="s">
        <v>1732</v>
      </c>
      <c r="E39" s="440" t="s">
        <v>1009</v>
      </c>
      <c r="F39" s="440" t="s">
        <v>344</v>
      </c>
      <c r="G39" s="441">
        <v>44130</v>
      </c>
      <c r="H39" s="441">
        <v>44130</v>
      </c>
      <c r="I39" s="441"/>
      <c r="J39" s="441"/>
      <c r="K39" s="440">
        <f t="shared" ca="1" si="13"/>
        <v>0</v>
      </c>
      <c r="L39" s="440">
        <f t="shared" ca="1" si="14"/>
        <v>2</v>
      </c>
      <c r="M39" s="441"/>
      <c r="N39" s="441"/>
      <c r="O39" s="440" t="s">
        <v>76</v>
      </c>
      <c r="P39" s="440" t="s">
        <v>36</v>
      </c>
      <c r="Q39" s="440" t="s">
        <v>41</v>
      </c>
      <c r="R39" s="441">
        <v>35415</v>
      </c>
      <c r="S39" s="438">
        <f t="shared" ca="1" si="15"/>
        <v>24</v>
      </c>
      <c r="T39" s="438">
        <f t="shared" ca="1" si="16"/>
        <v>0</v>
      </c>
      <c r="U39" s="440" t="s">
        <v>130</v>
      </c>
      <c r="V39" s="440" t="s">
        <v>90</v>
      </c>
      <c r="W39" s="440" t="s">
        <v>44</v>
      </c>
      <c r="X39" s="440" t="s">
        <v>59</v>
      </c>
      <c r="Y39" s="440"/>
      <c r="Z39" s="440"/>
      <c r="AA39" s="440"/>
      <c r="AB39" s="440"/>
      <c r="AC39" s="440"/>
      <c r="AD39" s="440"/>
      <c r="AE39" s="440"/>
      <c r="AF39" s="440"/>
      <c r="AG39" s="388"/>
      <c r="AH39" s="388"/>
      <c r="AI39" s="388"/>
      <c r="AJ39" s="442" t="s">
        <v>1735</v>
      </c>
      <c r="AK39" s="350" t="s">
        <v>1737</v>
      </c>
      <c r="AL39" s="350" t="s">
        <v>1737</v>
      </c>
      <c r="AM39" s="350"/>
      <c r="AN39" s="440"/>
      <c r="AO39" s="440"/>
      <c r="AP39" s="442"/>
      <c r="AQ39" s="439" t="s">
        <v>1732</v>
      </c>
      <c r="AR39" s="442" t="s">
        <v>1762</v>
      </c>
      <c r="AS39" s="440" t="s">
        <v>64</v>
      </c>
      <c r="AT39" s="440" t="s">
        <v>95</v>
      </c>
      <c r="AU39" s="364" t="s">
        <v>1738</v>
      </c>
    </row>
    <row r="40" spans="1:48">
      <c r="A40" s="524">
        <v>27</v>
      </c>
      <c r="B40" s="440">
        <v>9</v>
      </c>
      <c r="C40" s="602" t="s">
        <v>1758</v>
      </c>
      <c r="D40" s="603" t="s">
        <v>1759</v>
      </c>
      <c r="E40" s="440" t="s">
        <v>1724</v>
      </c>
      <c r="F40" s="440" t="s">
        <v>344</v>
      </c>
      <c r="G40" s="441">
        <v>44140</v>
      </c>
      <c r="H40" s="441">
        <v>44140</v>
      </c>
      <c r="I40" s="441"/>
      <c r="J40" s="441"/>
      <c r="K40" s="440">
        <f t="shared" ca="1" si="13"/>
        <v>0</v>
      </c>
      <c r="L40" s="440">
        <f t="shared" ca="1" si="14"/>
        <v>2</v>
      </c>
      <c r="M40" s="441"/>
      <c r="N40" s="441"/>
      <c r="O40" s="440" t="s">
        <v>35</v>
      </c>
      <c r="P40" s="440" t="s">
        <v>36</v>
      </c>
      <c r="Q40" s="440" t="s">
        <v>1760</v>
      </c>
      <c r="R40" s="441">
        <v>32442</v>
      </c>
      <c r="S40" s="438">
        <f t="shared" ca="1" si="15"/>
        <v>32</v>
      </c>
      <c r="T40" s="438">
        <f t="shared" ca="1" si="16"/>
        <v>2</v>
      </c>
      <c r="U40" s="440" t="s">
        <v>130</v>
      </c>
      <c r="V40" s="440" t="s">
        <v>967</v>
      </c>
      <c r="W40" s="440"/>
      <c r="X40" s="440" t="s">
        <v>350</v>
      </c>
      <c r="Y40" s="440" t="s">
        <v>1761</v>
      </c>
      <c r="Z40" s="440">
        <v>34005</v>
      </c>
      <c r="AA40" s="440" t="s">
        <v>48</v>
      </c>
      <c r="AB40" s="440" t="s">
        <v>48</v>
      </c>
      <c r="AC40" s="440" t="s">
        <v>48</v>
      </c>
      <c r="AD40" s="440"/>
      <c r="AE40" s="440"/>
      <c r="AF40" s="440"/>
      <c r="AG40" s="388"/>
      <c r="AH40" s="388"/>
      <c r="AI40" s="388"/>
      <c r="AJ40" s="442" t="s">
        <v>1766</v>
      </c>
      <c r="AK40" s="350" t="s">
        <v>1767</v>
      </c>
      <c r="AL40" s="350" t="s">
        <v>1768</v>
      </c>
      <c r="AM40" s="350"/>
      <c r="AN40" s="440"/>
      <c r="AO40" s="440"/>
      <c r="AP40" s="442" t="s">
        <v>1764</v>
      </c>
      <c r="AQ40" s="439" t="s">
        <v>1763</v>
      </c>
      <c r="AR40" s="442" t="s">
        <v>1773</v>
      </c>
      <c r="AS40" s="440" t="s">
        <v>64</v>
      </c>
      <c r="AT40" s="440" t="s">
        <v>1760</v>
      </c>
      <c r="AU40" s="364" t="s">
        <v>1765</v>
      </c>
    </row>
    <row r="41" spans="1:48">
      <c r="A41" s="524">
        <v>28</v>
      </c>
      <c r="B41" s="440">
        <v>10</v>
      </c>
      <c r="C41" s="602" t="s">
        <v>1859</v>
      </c>
      <c r="D41" s="603" t="s">
        <v>1854</v>
      </c>
      <c r="E41" s="440" t="s">
        <v>1009</v>
      </c>
      <c r="F41" s="440" t="s">
        <v>344</v>
      </c>
      <c r="G41" s="441">
        <v>44151</v>
      </c>
      <c r="H41" s="441">
        <v>44151</v>
      </c>
      <c r="I41" s="441"/>
      <c r="J41" s="441"/>
      <c r="K41" s="440">
        <f t="shared" ca="1" si="13"/>
        <v>0</v>
      </c>
      <c r="L41" s="440">
        <f t="shared" ca="1" si="14"/>
        <v>1</v>
      </c>
      <c r="M41" s="441"/>
      <c r="N41" s="441"/>
      <c r="O41" s="440" t="s">
        <v>76</v>
      </c>
      <c r="P41" s="440" t="s">
        <v>36</v>
      </c>
      <c r="Q41" s="440" t="s">
        <v>399</v>
      </c>
      <c r="R41" s="441">
        <v>34634</v>
      </c>
      <c r="S41" s="438">
        <f t="shared" ca="1" si="15"/>
        <v>26</v>
      </c>
      <c r="T41" s="438">
        <f t="shared" ca="1" si="16"/>
        <v>2</v>
      </c>
      <c r="U41" s="440" t="s">
        <v>130</v>
      </c>
      <c r="V41" s="440" t="s">
        <v>90</v>
      </c>
      <c r="W41" s="440" t="s">
        <v>2199</v>
      </c>
      <c r="X41" s="440" t="s">
        <v>350</v>
      </c>
      <c r="Y41" s="440"/>
      <c r="Z41" s="440"/>
      <c r="AA41" s="440"/>
      <c r="AB41" s="440"/>
      <c r="AC41" s="440"/>
      <c r="AD41" s="440"/>
      <c r="AE41" s="440"/>
      <c r="AF41" s="440"/>
      <c r="AG41" s="388"/>
      <c r="AH41" s="388"/>
      <c r="AI41" s="388"/>
      <c r="AJ41" s="442" t="s">
        <v>1855</v>
      </c>
      <c r="AK41" s="350" t="s">
        <v>1856</v>
      </c>
      <c r="AL41" s="350" t="s">
        <v>1856</v>
      </c>
      <c r="AM41" s="350"/>
      <c r="AN41" s="440"/>
      <c r="AO41" s="440"/>
      <c r="AP41" s="442" t="s">
        <v>1857</v>
      </c>
      <c r="AQ41" s="439" t="s">
        <v>1854</v>
      </c>
      <c r="AR41" s="442" t="s">
        <v>1896</v>
      </c>
      <c r="AS41" s="440" t="s">
        <v>64</v>
      </c>
      <c r="AT41" s="440" t="s">
        <v>95</v>
      </c>
      <c r="AU41" s="364" t="s">
        <v>1858</v>
      </c>
    </row>
    <row r="42" spans="1:48">
      <c r="A42" s="571"/>
      <c r="B42" s="491"/>
      <c r="C42" s="516"/>
      <c r="D42" s="508"/>
      <c r="E42" s="509"/>
      <c r="F42" s="509"/>
      <c r="G42" s="510"/>
      <c r="H42" s="510"/>
      <c r="I42" s="510"/>
      <c r="J42" s="510"/>
      <c r="K42" s="509"/>
      <c r="L42" s="509"/>
      <c r="M42" s="510"/>
      <c r="N42" s="510"/>
      <c r="O42" s="509"/>
      <c r="P42" s="509"/>
      <c r="Q42" s="509"/>
      <c r="R42" s="510"/>
      <c r="S42" s="511"/>
      <c r="T42" s="511"/>
      <c r="U42" s="509"/>
      <c r="V42" s="509"/>
      <c r="W42" s="509"/>
      <c r="X42" s="509"/>
      <c r="Y42" s="509"/>
      <c r="Z42" s="509"/>
      <c r="AA42" s="509"/>
      <c r="AB42" s="509"/>
      <c r="AC42" s="509"/>
      <c r="AD42" s="509"/>
      <c r="AE42" s="509"/>
      <c r="AF42" s="509"/>
      <c r="AG42" s="517"/>
      <c r="AH42" s="517"/>
      <c r="AI42" s="517"/>
      <c r="AJ42" s="512"/>
      <c r="AK42" s="513"/>
      <c r="AL42" s="513"/>
      <c r="AM42" s="513"/>
      <c r="AN42" s="509"/>
      <c r="AO42" s="509"/>
      <c r="AP42" s="512"/>
      <c r="AQ42" s="514"/>
      <c r="AR42" s="512"/>
      <c r="AS42" s="509"/>
      <c r="AT42" s="509"/>
      <c r="AU42" s="518"/>
    </row>
    <row r="43" spans="1:48">
      <c r="A43" s="568"/>
      <c r="B43" s="829" t="s">
        <v>363</v>
      </c>
      <c r="C43" s="830"/>
      <c r="D43" s="832"/>
      <c r="E43" s="460"/>
      <c r="F43" s="460"/>
      <c r="G43" s="462"/>
      <c r="H43" s="462"/>
      <c r="I43" s="462"/>
      <c r="J43" s="462"/>
      <c r="K43" s="460"/>
      <c r="L43" s="460"/>
      <c r="M43" s="462"/>
      <c r="N43" s="462"/>
      <c r="O43" s="460"/>
      <c r="P43" s="460"/>
      <c r="Q43" s="460"/>
      <c r="R43" s="462"/>
      <c r="S43" s="463"/>
      <c r="T43" s="463"/>
      <c r="U43" s="460"/>
      <c r="V43" s="460"/>
      <c r="W43" s="460"/>
      <c r="X43" s="460"/>
      <c r="Y43" s="460"/>
      <c r="Z43" s="460"/>
      <c r="AA43" s="460"/>
      <c r="AB43" s="460"/>
      <c r="AC43" s="460"/>
      <c r="AD43" s="460"/>
      <c r="AE43" s="460"/>
      <c r="AF43" s="460"/>
      <c r="AG43" s="496"/>
      <c r="AH43" s="496"/>
      <c r="AI43" s="496"/>
      <c r="AJ43" s="465"/>
      <c r="AK43" s="466"/>
      <c r="AL43" s="466"/>
      <c r="AM43" s="466"/>
      <c r="AN43" s="460"/>
      <c r="AO43" s="460"/>
      <c r="AP43" s="465"/>
      <c r="AQ43" s="467"/>
      <c r="AR43" s="465"/>
      <c r="AS43" s="460"/>
      <c r="AT43" s="460"/>
      <c r="AU43" s="482"/>
    </row>
    <row r="44" spans="1:48">
      <c r="A44" s="524">
        <v>29</v>
      </c>
      <c r="B44" s="440">
        <v>1</v>
      </c>
      <c r="C44" s="355">
        <v>9919020013</v>
      </c>
      <c r="D44" s="437" t="s">
        <v>538</v>
      </c>
      <c r="E44" s="440" t="s">
        <v>450</v>
      </c>
      <c r="F44" s="440" t="s">
        <v>344</v>
      </c>
      <c r="G44" s="441">
        <v>43511</v>
      </c>
      <c r="H44" s="357">
        <v>43511</v>
      </c>
      <c r="I44" s="357">
        <v>43876</v>
      </c>
      <c r="J44" s="441"/>
      <c r="K44" s="440">
        <f t="shared" ref="K44:K59" ca="1" si="17">DATEDIF(G44,$B$1,"Y")</f>
        <v>1</v>
      </c>
      <c r="L44" s="440">
        <f t="shared" ref="L44:L59" ca="1" si="18">DATEDIF(G44,$B$1,"YM")</f>
        <v>10</v>
      </c>
      <c r="M44" s="441"/>
      <c r="N44" s="441"/>
      <c r="O44" s="440" t="s">
        <v>76</v>
      </c>
      <c r="P44" s="440" t="s">
        <v>36</v>
      </c>
      <c r="Q44" s="440" t="s">
        <v>41</v>
      </c>
      <c r="R44" s="441">
        <v>34934</v>
      </c>
      <c r="S44" s="438">
        <f t="shared" ref="S44:S57" ca="1" si="19">DATEDIF(R44,$B$1,"Y")</f>
        <v>25</v>
      </c>
      <c r="T44" s="438">
        <f t="shared" ref="T44:T57" ca="1" si="20">DATEDIF(R44,$B$1,"YM")</f>
        <v>4</v>
      </c>
      <c r="U44" s="440" t="s">
        <v>57</v>
      </c>
      <c r="V44" s="440" t="s">
        <v>539</v>
      </c>
      <c r="W44" s="440" t="s">
        <v>105</v>
      </c>
      <c r="X44" s="440" t="s">
        <v>59</v>
      </c>
      <c r="Y44" s="440" t="s">
        <v>48</v>
      </c>
      <c r="Z44" s="440" t="s">
        <v>48</v>
      </c>
      <c r="AA44" s="440" t="s">
        <v>48</v>
      </c>
      <c r="AB44" s="440" t="s">
        <v>48</v>
      </c>
      <c r="AC44" s="440" t="s">
        <v>48</v>
      </c>
      <c r="AD44" s="440" t="s">
        <v>48</v>
      </c>
      <c r="AE44" s="440" t="s">
        <v>48</v>
      </c>
      <c r="AF44" s="440" t="s">
        <v>48</v>
      </c>
      <c r="AG44" s="388"/>
      <c r="AH44" s="388"/>
      <c r="AI44" s="388"/>
      <c r="AJ44" s="442" t="s">
        <v>540</v>
      </c>
      <c r="AK44" s="350" t="s">
        <v>541</v>
      </c>
      <c r="AL44" s="350" t="s">
        <v>541</v>
      </c>
      <c r="AM44" s="350"/>
      <c r="AN44" s="440"/>
      <c r="AO44" s="440" t="s">
        <v>48</v>
      </c>
      <c r="AP44" s="442" t="s">
        <v>542</v>
      </c>
      <c r="AQ44" s="362" t="s">
        <v>538</v>
      </c>
      <c r="AR44" s="360" t="s">
        <v>547</v>
      </c>
      <c r="AS44" s="440" t="s">
        <v>64</v>
      </c>
      <c r="AT44" s="440" t="s">
        <v>95</v>
      </c>
      <c r="AU44" s="364" t="s">
        <v>544</v>
      </c>
      <c r="AV44" s="436" t="s">
        <v>1869</v>
      </c>
    </row>
    <row r="45" spans="1:48">
      <c r="A45" s="524">
        <v>30</v>
      </c>
      <c r="B45" s="440">
        <v>2</v>
      </c>
      <c r="C45" s="440" t="s">
        <v>454</v>
      </c>
      <c r="D45" s="437" t="s">
        <v>437</v>
      </c>
      <c r="E45" s="440" t="s">
        <v>450</v>
      </c>
      <c r="F45" s="440" t="s">
        <v>344</v>
      </c>
      <c r="G45" s="441">
        <v>43469</v>
      </c>
      <c r="H45" s="357">
        <v>43469</v>
      </c>
      <c r="I45" s="357">
        <v>43834</v>
      </c>
      <c r="J45" s="441"/>
      <c r="K45" s="440">
        <f t="shared" ca="1" si="17"/>
        <v>2</v>
      </c>
      <c r="L45" s="440">
        <f t="shared" ca="1" si="18"/>
        <v>0</v>
      </c>
      <c r="M45" s="441"/>
      <c r="N45" s="441"/>
      <c r="O45" s="440" t="s">
        <v>35</v>
      </c>
      <c r="P45" s="440" t="s">
        <v>36</v>
      </c>
      <c r="Q45" s="440" t="s">
        <v>41</v>
      </c>
      <c r="R45" s="441">
        <v>33831</v>
      </c>
      <c r="S45" s="438">
        <f t="shared" ca="1" si="19"/>
        <v>28</v>
      </c>
      <c r="T45" s="438">
        <f t="shared" ca="1" si="20"/>
        <v>4</v>
      </c>
      <c r="U45" s="440" t="s">
        <v>57</v>
      </c>
      <c r="V45" s="440" t="s">
        <v>58</v>
      </c>
      <c r="W45" s="440" t="s">
        <v>48</v>
      </c>
      <c r="X45" s="440" t="s">
        <v>350</v>
      </c>
      <c r="Y45" s="441" t="s">
        <v>481</v>
      </c>
      <c r="Z45" s="388">
        <v>35454</v>
      </c>
      <c r="AA45" s="440" t="s">
        <v>48</v>
      </c>
      <c r="AB45" s="440" t="s">
        <v>48</v>
      </c>
      <c r="AC45" s="440" t="s">
        <v>48</v>
      </c>
      <c r="AD45" s="440" t="s">
        <v>48</v>
      </c>
      <c r="AE45" s="440" t="s">
        <v>48</v>
      </c>
      <c r="AF45" s="440" t="s">
        <v>48</v>
      </c>
      <c r="AG45" s="388"/>
      <c r="AH45" s="388"/>
      <c r="AI45" s="388"/>
      <c r="AJ45" s="360" t="s">
        <v>548</v>
      </c>
      <c r="AK45" s="350" t="s">
        <v>464</v>
      </c>
      <c r="AL45" s="350" t="s">
        <v>464</v>
      </c>
      <c r="AM45" s="350"/>
      <c r="AN45" s="440"/>
      <c r="AO45" s="440" t="s">
        <v>48</v>
      </c>
      <c r="AP45" s="442" t="s">
        <v>465</v>
      </c>
      <c r="AQ45" s="362" t="s">
        <v>437</v>
      </c>
      <c r="AR45" s="443" t="s">
        <v>549</v>
      </c>
      <c r="AS45" s="440" t="s">
        <v>64</v>
      </c>
      <c r="AT45" s="440" t="s">
        <v>95</v>
      </c>
      <c r="AU45" s="364" t="s">
        <v>466</v>
      </c>
      <c r="AV45" s="436" t="s">
        <v>1869</v>
      </c>
    </row>
    <row r="46" spans="1:48">
      <c r="A46" s="524">
        <v>31</v>
      </c>
      <c r="B46" s="440">
        <v>3</v>
      </c>
      <c r="C46" s="379" t="s">
        <v>1379</v>
      </c>
      <c r="D46" s="437" t="s">
        <v>1378</v>
      </c>
      <c r="E46" s="440" t="s">
        <v>855</v>
      </c>
      <c r="F46" s="440" t="s">
        <v>344</v>
      </c>
      <c r="G46" s="441">
        <v>43922</v>
      </c>
      <c r="H46" s="441">
        <v>43922</v>
      </c>
      <c r="I46" s="441"/>
      <c r="J46" s="441"/>
      <c r="K46" s="440">
        <f t="shared" ca="1" si="17"/>
        <v>0</v>
      </c>
      <c r="L46" s="440">
        <f t="shared" ca="1" si="18"/>
        <v>9</v>
      </c>
      <c r="M46" s="441"/>
      <c r="N46" s="441"/>
      <c r="O46" s="440" t="s">
        <v>35</v>
      </c>
      <c r="P46" s="440" t="s">
        <v>888</v>
      </c>
      <c r="Q46" s="440" t="s">
        <v>129</v>
      </c>
      <c r="R46" s="441">
        <v>34234</v>
      </c>
      <c r="S46" s="438">
        <f t="shared" ca="1" si="19"/>
        <v>27</v>
      </c>
      <c r="T46" s="438">
        <f t="shared" ca="1" si="20"/>
        <v>3</v>
      </c>
      <c r="U46" s="440" t="s">
        <v>130</v>
      </c>
      <c r="V46" s="440" t="s">
        <v>1394</v>
      </c>
      <c r="W46" s="440" t="s">
        <v>459</v>
      </c>
      <c r="X46" s="440" t="s">
        <v>59</v>
      </c>
      <c r="Y46" s="440"/>
      <c r="Z46" s="440"/>
      <c r="AA46" s="440"/>
      <c r="AB46" s="440"/>
      <c r="AC46" s="440"/>
      <c r="AD46" s="440"/>
      <c r="AE46" s="440"/>
      <c r="AF46" s="440"/>
      <c r="AG46" s="388"/>
      <c r="AH46" s="388"/>
      <c r="AI46" s="388"/>
      <c r="AJ46" s="442" t="s">
        <v>1390</v>
      </c>
      <c r="AK46" s="350" t="s">
        <v>1391</v>
      </c>
      <c r="AL46" s="350" t="s">
        <v>1391</v>
      </c>
      <c r="AM46" s="350"/>
      <c r="AN46" s="440"/>
      <c r="AO46" s="440"/>
      <c r="AP46" s="442" t="s">
        <v>1392</v>
      </c>
      <c r="AQ46" s="439" t="s">
        <v>1378</v>
      </c>
      <c r="AR46" s="443" t="s">
        <v>1432</v>
      </c>
      <c r="AS46" s="440" t="s">
        <v>64</v>
      </c>
      <c r="AT46" s="440" t="s">
        <v>95</v>
      </c>
      <c r="AU46" s="364" t="s">
        <v>1393</v>
      </c>
    </row>
    <row r="47" spans="1:48" ht="15.75" customHeight="1">
      <c r="A47" s="524">
        <v>32</v>
      </c>
      <c r="B47" s="440">
        <v>4</v>
      </c>
      <c r="C47" s="439" t="s">
        <v>2254</v>
      </c>
      <c r="D47" s="437" t="s">
        <v>1412</v>
      </c>
      <c r="E47" s="439" t="s">
        <v>1048</v>
      </c>
      <c r="F47" s="440" t="s">
        <v>344</v>
      </c>
      <c r="G47" s="441">
        <v>43939</v>
      </c>
      <c r="H47" s="441">
        <v>43939</v>
      </c>
      <c r="I47" s="439"/>
      <c r="J47" s="439"/>
      <c r="K47" s="440">
        <f t="shared" ca="1" si="17"/>
        <v>0</v>
      </c>
      <c r="L47" s="440">
        <f t="shared" ca="1" si="18"/>
        <v>8</v>
      </c>
      <c r="M47" s="439"/>
      <c r="N47" s="439"/>
      <c r="O47" s="440" t="s">
        <v>35</v>
      </c>
      <c r="P47" s="439" t="s">
        <v>36</v>
      </c>
      <c r="Q47" s="439" t="s">
        <v>41</v>
      </c>
      <c r="R47" s="441">
        <v>32589</v>
      </c>
      <c r="S47" s="438">
        <f t="shared" ca="1" si="19"/>
        <v>31</v>
      </c>
      <c r="T47" s="438">
        <f t="shared" ca="1" si="20"/>
        <v>9</v>
      </c>
      <c r="U47" s="439" t="s">
        <v>1413</v>
      </c>
      <c r="V47" s="440" t="s">
        <v>58</v>
      </c>
      <c r="W47" s="439" t="s">
        <v>105</v>
      </c>
      <c r="X47" s="440" t="s">
        <v>45</v>
      </c>
      <c r="Y47" s="439" t="s">
        <v>2328</v>
      </c>
      <c r="Z47" s="441">
        <v>32266</v>
      </c>
      <c r="AA47" s="439" t="s">
        <v>2329</v>
      </c>
      <c r="AB47" s="441">
        <v>42773</v>
      </c>
      <c r="AC47" s="438"/>
      <c r="AD47" s="440"/>
      <c r="AE47" s="440"/>
      <c r="AF47" s="440"/>
      <c r="AG47" s="440"/>
      <c r="AH47" s="440"/>
      <c r="AI47" s="440"/>
      <c r="AJ47" s="442" t="s">
        <v>1414</v>
      </c>
      <c r="AK47" s="437" t="s">
        <v>1415</v>
      </c>
      <c r="AL47" s="437" t="s">
        <v>1415</v>
      </c>
      <c r="AM47" s="439"/>
      <c r="AN47" s="439"/>
      <c r="AO47" s="439"/>
      <c r="AP47" s="442" t="s">
        <v>1416</v>
      </c>
      <c r="AQ47" s="362" t="s">
        <v>1412</v>
      </c>
      <c r="AR47" s="442" t="s">
        <v>1419</v>
      </c>
      <c r="AS47" s="440" t="s">
        <v>64</v>
      </c>
      <c r="AT47" s="440" t="s">
        <v>1420</v>
      </c>
      <c r="AU47" s="364" t="s">
        <v>1417</v>
      </c>
    </row>
    <row r="48" spans="1:48">
      <c r="A48" s="524">
        <v>33</v>
      </c>
      <c r="B48" s="440">
        <v>5</v>
      </c>
      <c r="C48" s="379" t="s">
        <v>1380</v>
      </c>
      <c r="D48" s="437" t="s">
        <v>1376</v>
      </c>
      <c r="E48" s="440" t="s">
        <v>1377</v>
      </c>
      <c r="F48" s="440" t="s">
        <v>344</v>
      </c>
      <c r="G48" s="441">
        <v>43922</v>
      </c>
      <c r="H48" s="441">
        <v>43922</v>
      </c>
      <c r="I48" s="441"/>
      <c r="J48" s="441"/>
      <c r="K48" s="440">
        <f t="shared" ca="1" si="17"/>
        <v>0</v>
      </c>
      <c r="L48" s="440">
        <f t="shared" ca="1" si="18"/>
        <v>9</v>
      </c>
      <c r="M48" s="441"/>
      <c r="N48" s="441"/>
      <c r="O48" s="440" t="s">
        <v>76</v>
      </c>
      <c r="P48" s="440" t="s">
        <v>888</v>
      </c>
      <c r="Q48" s="440" t="s">
        <v>1383</v>
      </c>
      <c r="R48" s="441">
        <v>35396</v>
      </c>
      <c r="S48" s="438">
        <f t="shared" ca="1" si="19"/>
        <v>24</v>
      </c>
      <c r="T48" s="438">
        <f t="shared" ca="1" si="20"/>
        <v>1</v>
      </c>
      <c r="U48" s="440" t="s">
        <v>1384</v>
      </c>
      <c r="V48" s="440" t="s">
        <v>1395</v>
      </c>
      <c r="W48" s="440" t="s">
        <v>105</v>
      </c>
      <c r="X48" s="440" t="s">
        <v>59</v>
      </c>
      <c r="Y48" s="440"/>
      <c r="Z48" s="440"/>
      <c r="AA48" s="440"/>
      <c r="AB48" s="440"/>
      <c r="AC48" s="440"/>
      <c r="AD48" s="440"/>
      <c r="AE48" s="440"/>
      <c r="AF48" s="440"/>
      <c r="AG48" s="388"/>
      <c r="AH48" s="388"/>
      <c r="AI48" s="388"/>
      <c r="AJ48" s="442" t="s">
        <v>1385</v>
      </c>
      <c r="AK48" s="350" t="s">
        <v>1386</v>
      </c>
      <c r="AL48" s="350" t="s">
        <v>1387</v>
      </c>
      <c r="AM48" s="350"/>
      <c r="AN48" s="440"/>
      <c r="AO48" s="440"/>
      <c r="AP48" s="442" t="s">
        <v>1388</v>
      </c>
      <c r="AQ48" s="362" t="s">
        <v>1376</v>
      </c>
      <c r="AR48" s="442" t="s">
        <v>1438</v>
      </c>
      <c r="AS48" s="440" t="s">
        <v>64</v>
      </c>
      <c r="AT48" s="440" t="s">
        <v>95</v>
      </c>
      <c r="AU48" s="364" t="s">
        <v>1389</v>
      </c>
    </row>
    <row r="49" spans="1:48">
      <c r="A49" s="524">
        <v>34</v>
      </c>
      <c r="B49" s="440">
        <v>6</v>
      </c>
      <c r="C49" s="379" t="s">
        <v>2255</v>
      </c>
      <c r="D49" s="437" t="s">
        <v>1354</v>
      </c>
      <c r="E49" s="440" t="s">
        <v>450</v>
      </c>
      <c r="F49" s="440" t="s">
        <v>344</v>
      </c>
      <c r="G49" s="441">
        <v>43906</v>
      </c>
      <c r="H49" s="441">
        <v>43906</v>
      </c>
      <c r="I49" s="441"/>
      <c r="J49" s="441"/>
      <c r="K49" s="440">
        <f t="shared" ca="1" si="17"/>
        <v>0</v>
      </c>
      <c r="L49" s="440">
        <f t="shared" ca="1" si="18"/>
        <v>9</v>
      </c>
      <c r="M49" s="441"/>
      <c r="N49" s="441"/>
      <c r="O49" s="440" t="s">
        <v>35</v>
      </c>
      <c r="P49" s="440" t="s">
        <v>36</v>
      </c>
      <c r="Q49" s="440" t="s">
        <v>1355</v>
      </c>
      <c r="R49" s="441">
        <v>34377</v>
      </c>
      <c r="S49" s="438">
        <f t="shared" ca="1" si="19"/>
        <v>26</v>
      </c>
      <c r="T49" s="438">
        <f t="shared" ca="1" si="20"/>
        <v>10</v>
      </c>
      <c r="U49" s="440" t="s">
        <v>130</v>
      </c>
      <c r="V49" s="440" t="s">
        <v>450</v>
      </c>
      <c r="W49" s="440" t="s">
        <v>224</v>
      </c>
      <c r="X49" s="440" t="s">
        <v>59</v>
      </c>
      <c r="Y49" s="440"/>
      <c r="Z49" s="440"/>
      <c r="AA49" s="440"/>
      <c r="AB49" s="440"/>
      <c r="AC49" s="440"/>
      <c r="AD49" s="440"/>
      <c r="AE49" s="440"/>
      <c r="AF49" s="440"/>
      <c r="AG49" s="388"/>
      <c r="AH49" s="388"/>
      <c r="AI49" s="388"/>
      <c r="AJ49" s="442" t="s">
        <v>1356</v>
      </c>
      <c r="AK49" s="350" t="s">
        <v>1357</v>
      </c>
      <c r="AL49" s="350" t="s">
        <v>1358</v>
      </c>
      <c r="AM49" s="350"/>
      <c r="AN49" s="440"/>
      <c r="AO49" s="440"/>
      <c r="AP49" s="442" t="s">
        <v>1359</v>
      </c>
      <c r="AQ49" s="439" t="s">
        <v>1354</v>
      </c>
      <c r="AR49" s="442" t="s">
        <v>1360</v>
      </c>
      <c r="AS49" s="440" t="s">
        <v>64</v>
      </c>
      <c r="AT49" s="440" t="s">
        <v>95</v>
      </c>
      <c r="AU49" s="364" t="s">
        <v>1361</v>
      </c>
    </row>
    <row r="50" spans="1:48">
      <c r="A50" s="524">
        <v>35</v>
      </c>
      <c r="B50" s="440">
        <v>7</v>
      </c>
      <c r="C50" s="398" t="s">
        <v>887</v>
      </c>
      <c r="D50" s="437" t="s">
        <v>885</v>
      </c>
      <c r="E50" s="440" t="s">
        <v>450</v>
      </c>
      <c r="F50" s="440" t="s">
        <v>344</v>
      </c>
      <c r="G50" s="441">
        <v>43741</v>
      </c>
      <c r="H50" s="441">
        <v>43741</v>
      </c>
      <c r="I50" s="441"/>
      <c r="J50" s="441"/>
      <c r="K50" s="440">
        <f t="shared" ca="1" si="17"/>
        <v>1</v>
      </c>
      <c r="L50" s="440">
        <f t="shared" ca="1" si="18"/>
        <v>3</v>
      </c>
      <c r="M50" s="441"/>
      <c r="N50" s="441"/>
      <c r="O50" s="355" t="s">
        <v>35</v>
      </c>
      <c r="P50" s="440" t="s">
        <v>888</v>
      </c>
      <c r="Q50" s="440" t="s">
        <v>41</v>
      </c>
      <c r="R50" s="441">
        <v>35150</v>
      </c>
      <c r="S50" s="438">
        <f t="shared" ca="1" si="19"/>
        <v>24</v>
      </c>
      <c r="T50" s="438">
        <f t="shared" ca="1" si="20"/>
        <v>9</v>
      </c>
      <c r="U50" s="440" t="s">
        <v>619</v>
      </c>
      <c r="V50" s="440" t="s">
        <v>450</v>
      </c>
      <c r="W50" s="440" t="s">
        <v>44</v>
      </c>
      <c r="X50" s="440" t="s">
        <v>59</v>
      </c>
      <c r="Y50" s="440" t="s">
        <v>48</v>
      </c>
      <c r="Z50" s="440" t="s">
        <v>48</v>
      </c>
      <c r="AA50" s="440" t="s">
        <v>48</v>
      </c>
      <c r="AB50" s="440" t="s">
        <v>48</v>
      </c>
      <c r="AC50" s="440" t="s">
        <v>48</v>
      </c>
      <c r="AD50" s="440" t="s">
        <v>48</v>
      </c>
      <c r="AE50" s="440" t="s">
        <v>48</v>
      </c>
      <c r="AF50" s="440" t="s">
        <v>48</v>
      </c>
      <c r="AG50" s="388"/>
      <c r="AH50" s="388"/>
      <c r="AI50" s="388"/>
      <c r="AJ50" s="442" t="s">
        <v>889</v>
      </c>
      <c r="AK50" s="350" t="s">
        <v>890</v>
      </c>
      <c r="AL50" s="350" t="s">
        <v>890</v>
      </c>
      <c r="AM50" s="350"/>
      <c r="AN50" s="440"/>
      <c r="AO50" s="440" t="s">
        <v>48</v>
      </c>
      <c r="AP50" s="442" t="s">
        <v>891</v>
      </c>
      <c r="AQ50" s="439" t="s">
        <v>885</v>
      </c>
      <c r="AR50" s="442" t="s">
        <v>904</v>
      </c>
      <c r="AS50" s="440" t="s">
        <v>64</v>
      </c>
      <c r="AT50" s="440" t="s">
        <v>95</v>
      </c>
      <c r="AU50" s="364"/>
      <c r="AV50" s="436" t="s">
        <v>1869</v>
      </c>
    </row>
    <row r="51" spans="1:48">
      <c r="A51" s="524">
        <v>36</v>
      </c>
      <c r="B51" s="440">
        <v>8</v>
      </c>
      <c r="C51" s="398" t="s">
        <v>895</v>
      </c>
      <c r="D51" s="373" t="s">
        <v>892</v>
      </c>
      <c r="E51" s="372" t="s">
        <v>893</v>
      </c>
      <c r="F51" s="372" t="s">
        <v>344</v>
      </c>
      <c r="G51" s="389">
        <v>43750</v>
      </c>
      <c r="H51" s="389">
        <v>43750</v>
      </c>
      <c r="I51" s="389"/>
      <c r="J51" s="389"/>
      <c r="K51" s="372">
        <f t="shared" ca="1" si="17"/>
        <v>1</v>
      </c>
      <c r="L51" s="372">
        <f t="shared" ca="1" si="18"/>
        <v>2</v>
      </c>
      <c r="M51" s="389"/>
      <c r="N51" s="389"/>
      <c r="O51" s="372" t="s">
        <v>76</v>
      </c>
      <c r="P51" s="372" t="s">
        <v>36</v>
      </c>
      <c r="Q51" s="372" t="s">
        <v>41</v>
      </c>
      <c r="R51" s="389">
        <v>36926</v>
      </c>
      <c r="S51" s="452">
        <f t="shared" ca="1" si="19"/>
        <v>19</v>
      </c>
      <c r="T51" s="452">
        <f t="shared" ca="1" si="20"/>
        <v>11</v>
      </c>
      <c r="U51" s="372" t="s">
        <v>152</v>
      </c>
      <c r="V51" s="372" t="s">
        <v>896</v>
      </c>
      <c r="W51" s="372" t="s">
        <v>44</v>
      </c>
      <c r="X51" s="372" t="s">
        <v>59</v>
      </c>
      <c r="Y51" s="372" t="s">
        <v>48</v>
      </c>
      <c r="Z51" s="372" t="s">
        <v>48</v>
      </c>
      <c r="AA51" s="372" t="s">
        <v>48</v>
      </c>
      <c r="AB51" s="372" t="s">
        <v>48</v>
      </c>
      <c r="AC51" s="372" t="s">
        <v>48</v>
      </c>
      <c r="AD51" s="372" t="s">
        <v>48</v>
      </c>
      <c r="AE51" s="372" t="s">
        <v>48</v>
      </c>
      <c r="AF51" s="372" t="s">
        <v>48</v>
      </c>
      <c r="AG51" s="390"/>
      <c r="AH51" s="390"/>
      <c r="AI51" s="390"/>
      <c r="AJ51" s="391" t="s">
        <v>897</v>
      </c>
      <c r="AK51" s="392" t="s">
        <v>898</v>
      </c>
      <c r="AL51" s="392" t="s">
        <v>898</v>
      </c>
      <c r="AM51" s="392"/>
      <c r="AN51" s="372"/>
      <c r="AO51" s="372" t="s">
        <v>48</v>
      </c>
      <c r="AP51" s="391" t="s">
        <v>899</v>
      </c>
      <c r="AQ51" s="375" t="s">
        <v>892</v>
      </c>
      <c r="AR51" s="391" t="s">
        <v>903</v>
      </c>
      <c r="AS51" s="372" t="s">
        <v>64</v>
      </c>
      <c r="AT51" s="372" t="s">
        <v>95</v>
      </c>
      <c r="AU51" s="481"/>
      <c r="AV51" s="436" t="s">
        <v>1869</v>
      </c>
    </row>
    <row r="52" spans="1:48">
      <c r="A52" s="524">
        <v>37</v>
      </c>
      <c r="B52" s="440">
        <v>9</v>
      </c>
      <c r="C52" s="379" t="s">
        <v>2259</v>
      </c>
      <c r="D52" s="437" t="s">
        <v>1106</v>
      </c>
      <c r="E52" s="440" t="s">
        <v>1071</v>
      </c>
      <c r="F52" s="440" t="s">
        <v>344</v>
      </c>
      <c r="G52" s="441">
        <v>43820</v>
      </c>
      <c r="H52" s="441">
        <v>43820</v>
      </c>
      <c r="I52" s="441"/>
      <c r="J52" s="441"/>
      <c r="K52" s="440">
        <f ca="1">DATEDIF(G52,$B$1,"Y")</f>
        <v>1</v>
      </c>
      <c r="L52" s="440">
        <f ca="1">DATEDIF(G52,$B$1,"YM")</f>
        <v>0</v>
      </c>
      <c r="M52" s="441"/>
      <c r="N52" s="441"/>
      <c r="O52" s="440" t="s">
        <v>76</v>
      </c>
      <c r="P52" s="440" t="s">
        <v>36</v>
      </c>
      <c r="Q52" s="440" t="s">
        <v>455</v>
      </c>
      <c r="R52" s="441">
        <v>35391</v>
      </c>
      <c r="S52" s="438">
        <f ca="1">DATEDIF(R52,$B$1,"Y")</f>
        <v>24</v>
      </c>
      <c r="T52" s="438">
        <f ca="1">DATEDIF(R52,$B$1,"YM")</f>
        <v>1</v>
      </c>
      <c r="U52" s="440" t="s">
        <v>130</v>
      </c>
      <c r="V52" s="440" t="s">
        <v>1107</v>
      </c>
      <c r="W52" s="440" t="s">
        <v>44</v>
      </c>
      <c r="X52" s="440" t="s">
        <v>59</v>
      </c>
      <c r="Y52" s="440"/>
      <c r="Z52" s="440"/>
      <c r="AA52" s="440"/>
      <c r="AB52" s="440"/>
      <c r="AC52" s="440"/>
      <c r="AD52" s="440"/>
      <c r="AE52" s="440"/>
      <c r="AF52" s="440"/>
      <c r="AG52" s="388"/>
      <c r="AH52" s="388"/>
      <c r="AI52" s="388"/>
      <c r="AJ52" s="442" t="s">
        <v>1108</v>
      </c>
      <c r="AK52" s="350" t="s">
        <v>1109</v>
      </c>
      <c r="AL52" s="350" t="s">
        <v>1110</v>
      </c>
      <c r="AM52" s="350"/>
      <c r="AN52" s="440"/>
      <c r="AO52" s="440"/>
      <c r="AP52" s="442" t="s">
        <v>1111</v>
      </c>
      <c r="AQ52" s="439" t="s">
        <v>1106</v>
      </c>
      <c r="AR52" s="442" t="s">
        <v>1177</v>
      </c>
      <c r="AS52" s="440" t="s">
        <v>64</v>
      </c>
      <c r="AT52" s="440" t="s">
        <v>95</v>
      </c>
      <c r="AU52" s="364" t="s">
        <v>1112</v>
      </c>
      <c r="AV52" s="436" t="s">
        <v>1869</v>
      </c>
    </row>
    <row r="53" spans="1:48" ht="13.5" customHeight="1">
      <c r="A53" s="524">
        <v>38</v>
      </c>
      <c r="B53" s="440">
        <v>10</v>
      </c>
      <c r="C53" s="379" t="s">
        <v>2260</v>
      </c>
      <c r="D53" s="437" t="s">
        <v>1118</v>
      </c>
      <c r="E53" s="440" t="s">
        <v>1071</v>
      </c>
      <c r="F53" s="440" t="s">
        <v>344</v>
      </c>
      <c r="G53" s="441">
        <v>43820</v>
      </c>
      <c r="H53" s="441">
        <v>43820</v>
      </c>
      <c r="I53" s="441"/>
      <c r="J53" s="441"/>
      <c r="K53" s="440">
        <f ca="1">DATEDIF(G53,$B$1,"Y")</f>
        <v>1</v>
      </c>
      <c r="L53" s="440">
        <f ca="1">DATEDIF(G53,$B$1,"YM")</f>
        <v>0</v>
      </c>
      <c r="M53" s="441"/>
      <c r="N53" s="441"/>
      <c r="O53" s="440" t="s">
        <v>76</v>
      </c>
      <c r="P53" s="440" t="s">
        <v>36</v>
      </c>
      <c r="Q53" s="440" t="s">
        <v>41</v>
      </c>
      <c r="R53" s="441">
        <v>34614</v>
      </c>
      <c r="S53" s="438">
        <f ca="1">DATEDIF(R53,$B$1,"Y")</f>
        <v>26</v>
      </c>
      <c r="T53" s="438">
        <f ca="1">DATEDIF(R53,$B$1,"YM")</f>
        <v>2</v>
      </c>
      <c r="U53" s="440" t="s">
        <v>130</v>
      </c>
      <c r="V53" s="440" t="s">
        <v>1119</v>
      </c>
      <c r="W53" s="440"/>
      <c r="X53" s="440" t="s">
        <v>59</v>
      </c>
      <c r="Y53" s="440"/>
      <c r="Z53" s="440"/>
      <c r="AA53" s="440"/>
      <c r="AB53" s="440"/>
      <c r="AC53" s="440"/>
      <c r="AD53" s="440"/>
      <c r="AE53" s="440"/>
      <c r="AF53" s="440"/>
      <c r="AG53" s="388"/>
      <c r="AH53" s="388"/>
      <c r="AI53" s="388"/>
      <c r="AJ53" s="442" t="s">
        <v>1120</v>
      </c>
      <c r="AK53" s="350" t="s">
        <v>1121</v>
      </c>
      <c r="AL53" s="350" t="s">
        <v>1121</v>
      </c>
      <c r="AM53" s="350"/>
      <c r="AN53" s="440"/>
      <c r="AO53" s="440"/>
      <c r="AP53" s="442" t="s">
        <v>1122</v>
      </c>
      <c r="AQ53" s="439" t="s">
        <v>1118</v>
      </c>
      <c r="AR53" s="442" t="s">
        <v>1176</v>
      </c>
      <c r="AS53" s="440" t="s">
        <v>64</v>
      </c>
      <c r="AT53" s="440" t="s">
        <v>95</v>
      </c>
      <c r="AU53" s="364" t="s">
        <v>1123</v>
      </c>
    </row>
    <row r="54" spans="1:48">
      <c r="A54" s="524">
        <v>39</v>
      </c>
      <c r="B54" s="440">
        <v>11</v>
      </c>
      <c r="C54" s="398" t="s">
        <v>1469</v>
      </c>
      <c r="D54" s="437" t="s">
        <v>1462</v>
      </c>
      <c r="E54" s="440" t="s">
        <v>1463</v>
      </c>
      <c r="F54" s="440" t="s">
        <v>344</v>
      </c>
      <c r="G54" s="441">
        <v>44004</v>
      </c>
      <c r="H54" s="441">
        <v>44004</v>
      </c>
      <c r="I54" s="441"/>
      <c r="J54" s="441"/>
      <c r="K54" s="440">
        <f t="shared" ca="1" si="17"/>
        <v>0</v>
      </c>
      <c r="L54" s="440">
        <f t="shared" ca="1" si="18"/>
        <v>6</v>
      </c>
      <c r="M54" s="441"/>
      <c r="N54" s="441"/>
      <c r="O54" s="440" t="s">
        <v>76</v>
      </c>
      <c r="P54" s="440" t="s">
        <v>36</v>
      </c>
      <c r="Q54" s="440" t="s">
        <v>41</v>
      </c>
      <c r="R54" s="441">
        <v>34185</v>
      </c>
      <c r="S54" s="438">
        <f t="shared" ca="1" si="19"/>
        <v>27</v>
      </c>
      <c r="T54" s="438">
        <f t="shared" ca="1" si="20"/>
        <v>5</v>
      </c>
      <c r="U54" s="440" t="s">
        <v>130</v>
      </c>
      <c r="V54" s="440" t="s">
        <v>1464</v>
      </c>
      <c r="W54" s="440"/>
      <c r="X54" s="372" t="s">
        <v>59</v>
      </c>
      <c r="Y54" s="440"/>
      <c r="Z54" s="440"/>
      <c r="AA54" s="440"/>
      <c r="AB54" s="440"/>
      <c r="AC54" s="440"/>
      <c r="AD54" s="440"/>
      <c r="AE54" s="440"/>
      <c r="AF54" s="440"/>
      <c r="AG54" s="388"/>
      <c r="AH54" s="388"/>
      <c r="AI54" s="388"/>
      <c r="AJ54" s="442" t="s">
        <v>1465</v>
      </c>
      <c r="AK54" s="350" t="s">
        <v>1466</v>
      </c>
      <c r="AL54" s="350" t="s">
        <v>1466</v>
      </c>
      <c r="AM54" s="350"/>
      <c r="AN54" s="440"/>
      <c r="AO54" s="440"/>
      <c r="AP54" s="442" t="s">
        <v>1467</v>
      </c>
      <c r="AQ54" s="439" t="s">
        <v>1462</v>
      </c>
      <c r="AR54" s="442" t="s">
        <v>1480</v>
      </c>
      <c r="AS54" s="440" t="s">
        <v>64</v>
      </c>
      <c r="AT54" s="372" t="s">
        <v>95</v>
      </c>
      <c r="AU54" s="364" t="s">
        <v>1468</v>
      </c>
    </row>
    <row r="55" spans="1:48">
      <c r="A55" s="524">
        <v>40</v>
      </c>
      <c r="B55" s="440">
        <v>12</v>
      </c>
      <c r="C55" s="398" t="s">
        <v>1590</v>
      </c>
      <c r="D55" s="437" t="s">
        <v>1580</v>
      </c>
      <c r="E55" s="440" t="s">
        <v>1463</v>
      </c>
      <c r="F55" s="440" t="s">
        <v>344</v>
      </c>
      <c r="G55" s="441">
        <v>44055</v>
      </c>
      <c r="H55" s="441">
        <v>44055</v>
      </c>
      <c r="I55" s="441"/>
      <c r="J55" s="441"/>
      <c r="K55" s="440">
        <f t="shared" ca="1" si="17"/>
        <v>0</v>
      </c>
      <c r="L55" s="440">
        <f t="shared" ca="1" si="18"/>
        <v>4</v>
      </c>
      <c r="M55" s="441"/>
      <c r="N55" s="441"/>
      <c r="O55" s="440" t="s">
        <v>76</v>
      </c>
      <c r="P55" s="440" t="s">
        <v>36</v>
      </c>
      <c r="Q55" s="440" t="s">
        <v>1581</v>
      </c>
      <c r="R55" s="441">
        <v>33649</v>
      </c>
      <c r="S55" s="438">
        <f t="shared" ca="1" si="19"/>
        <v>28</v>
      </c>
      <c r="T55" s="438">
        <f t="shared" ca="1" si="20"/>
        <v>10</v>
      </c>
      <c r="U55" s="440" t="s">
        <v>130</v>
      </c>
      <c r="V55" s="440" t="s">
        <v>1342</v>
      </c>
      <c r="W55" s="440"/>
      <c r="X55" s="440" t="s">
        <v>59</v>
      </c>
      <c r="Y55" s="440"/>
      <c r="Z55" s="440"/>
      <c r="AA55" s="440"/>
      <c r="AB55" s="440"/>
      <c r="AC55" s="440"/>
      <c r="AD55" s="440"/>
      <c r="AE55" s="440"/>
      <c r="AF55" s="440"/>
      <c r="AG55" s="388"/>
      <c r="AH55" s="388"/>
      <c r="AI55" s="388"/>
      <c r="AJ55" s="442" t="s">
        <v>1582</v>
      </c>
      <c r="AK55" s="350" t="s">
        <v>1583</v>
      </c>
      <c r="AL55" s="350" t="s">
        <v>1584</v>
      </c>
      <c r="AM55" s="350"/>
      <c r="AN55" s="440"/>
      <c r="AO55" s="440"/>
      <c r="AP55" s="442" t="s">
        <v>1585</v>
      </c>
      <c r="AQ55" s="439" t="s">
        <v>1580</v>
      </c>
      <c r="AR55" s="442" t="s">
        <v>1600</v>
      </c>
      <c r="AS55" s="440" t="s">
        <v>64</v>
      </c>
      <c r="AT55" s="440" t="s">
        <v>95</v>
      </c>
      <c r="AU55" s="364" t="s">
        <v>1587</v>
      </c>
      <c r="AV55" s="436" t="s">
        <v>1869</v>
      </c>
    </row>
    <row r="56" spans="1:48">
      <c r="A56" s="524">
        <v>41</v>
      </c>
      <c r="B56" s="440">
        <v>13</v>
      </c>
      <c r="C56" s="398" t="s">
        <v>1592</v>
      </c>
      <c r="D56" s="437" t="s">
        <v>1593</v>
      </c>
      <c r="E56" s="440" t="s">
        <v>1463</v>
      </c>
      <c r="F56" s="440" t="s">
        <v>344</v>
      </c>
      <c r="G56" s="441">
        <v>44056</v>
      </c>
      <c r="H56" s="441">
        <v>44056</v>
      </c>
      <c r="I56" s="441"/>
      <c r="J56" s="441"/>
      <c r="K56" s="440">
        <f t="shared" ca="1" si="17"/>
        <v>0</v>
      </c>
      <c r="L56" s="440">
        <f t="shared" ca="1" si="18"/>
        <v>4</v>
      </c>
      <c r="M56" s="441"/>
      <c r="N56" s="441"/>
      <c r="O56" s="440" t="s">
        <v>76</v>
      </c>
      <c r="P56" s="440" t="s">
        <v>36</v>
      </c>
      <c r="Q56" s="440" t="s">
        <v>661</v>
      </c>
      <c r="R56" s="441">
        <v>33192</v>
      </c>
      <c r="S56" s="438">
        <f t="shared" ca="1" si="19"/>
        <v>30</v>
      </c>
      <c r="T56" s="438">
        <f t="shared" ca="1" si="20"/>
        <v>1</v>
      </c>
      <c r="U56" s="440" t="s">
        <v>130</v>
      </c>
      <c r="V56" s="440" t="s">
        <v>1594</v>
      </c>
      <c r="W56" s="440"/>
      <c r="X56" s="440" t="s">
        <v>192</v>
      </c>
      <c r="Y56" s="440"/>
      <c r="Z56" s="440"/>
      <c r="AA56" s="440"/>
      <c r="AB56" s="440"/>
      <c r="AC56" s="440"/>
      <c r="AD56" s="440"/>
      <c r="AE56" s="440"/>
      <c r="AF56" s="440"/>
      <c r="AG56" s="388"/>
      <c r="AH56" s="388"/>
      <c r="AI56" s="388"/>
      <c r="AJ56" s="442" t="s">
        <v>1595</v>
      </c>
      <c r="AK56" s="350" t="s">
        <v>1596</v>
      </c>
      <c r="AL56" s="350" t="s">
        <v>1596</v>
      </c>
      <c r="AM56" s="350"/>
      <c r="AN56" s="440"/>
      <c r="AO56" s="440"/>
      <c r="AP56" s="442" t="s">
        <v>1597</v>
      </c>
      <c r="AQ56" s="439" t="s">
        <v>1593</v>
      </c>
      <c r="AR56" s="442" t="s">
        <v>1599</v>
      </c>
      <c r="AS56" s="440" t="s">
        <v>64</v>
      </c>
      <c r="AT56" s="440" t="s">
        <v>95</v>
      </c>
      <c r="AU56" s="364" t="s">
        <v>1598</v>
      </c>
    </row>
    <row r="57" spans="1:48">
      <c r="A57" s="524">
        <v>42</v>
      </c>
      <c r="B57" s="440">
        <v>14</v>
      </c>
      <c r="C57" s="398" t="s">
        <v>1714</v>
      </c>
      <c r="D57" s="603" t="s">
        <v>1709</v>
      </c>
      <c r="E57" s="440" t="s">
        <v>1377</v>
      </c>
      <c r="F57" s="440" t="s">
        <v>344</v>
      </c>
      <c r="G57" s="441">
        <v>44113</v>
      </c>
      <c r="H57" s="441">
        <v>44113</v>
      </c>
      <c r="I57" s="441"/>
      <c r="J57" s="441"/>
      <c r="K57" s="440">
        <f t="shared" ca="1" si="17"/>
        <v>0</v>
      </c>
      <c r="L57" s="440">
        <f t="shared" ca="1" si="18"/>
        <v>2</v>
      </c>
      <c r="M57" s="441"/>
      <c r="N57" s="441"/>
      <c r="O57" s="440" t="s">
        <v>76</v>
      </c>
      <c r="P57" s="440" t="s">
        <v>888</v>
      </c>
      <c r="Q57" s="440" t="s">
        <v>1710</v>
      </c>
      <c r="R57" s="441">
        <v>35817</v>
      </c>
      <c r="S57" s="438">
        <f t="shared" ca="1" si="19"/>
        <v>22</v>
      </c>
      <c r="T57" s="438">
        <f t="shared" ca="1" si="20"/>
        <v>11</v>
      </c>
      <c r="U57" s="440" t="s">
        <v>130</v>
      </c>
      <c r="V57" s="440" t="s">
        <v>1711</v>
      </c>
      <c r="W57" s="440" t="s">
        <v>44</v>
      </c>
      <c r="X57" s="440" t="s">
        <v>59</v>
      </c>
      <c r="Y57" s="440"/>
      <c r="Z57" s="440"/>
      <c r="AA57" s="440"/>
      <c r="AB57" s="440"/>
      <c r="AC57" s="440"/>
      <c r="AD57" s="440"/>
      <c r="AE57" s="440"/>
      <c r="AF57" s="440"/>
      <c r="AG57" s="388"/>
      <c r="AH57" s="388"/>
      <c r="AI57" s="388"/>
      <c r="AJ57" s="442" t="s">
        <v>1712</v>
      </c>
      <c r="AK57" s="350" t="s">
        <v>1713</v>
      </c>
      <c r="AL57" s="350" t="s">
        <v>1713</v>
      </c>
      <c r="AM57" s="350"/>
      <c r="AN57" s="440"/>
      <c r="AO57" s="440"/>
      <c r="AP57" s="442"/>
      <c r="AQ57" s="439" t="s">
        <v>1709</v>
      </c>
      <c r="AR57" s="442" t="s">
        <v>1722</v>
      </c>
      <c r="AS57" s="440" t="s">
        <v>64</v>
      </c>
      <c r="AT57" s="440" t="s">
        <v>95</v>
      </c>
      <c r="AU57" s="364"/>
    </row>
    <row r="58" spans="1:48">
      <c r="A58" s="524">
        <v>43</v>
      </c>
      <c r="B58" s="440">
        <v>15</v>
      </c>
      <c r="C58" s="602">
        <v>9920110160</v>
      </c>
      <c r="D58" s="603" t="s">
        <v>1870</v>
      </c>
      <c r="E58" s="440" t="s">
        <v>1871</v>
      </c>
      <c r="F58" s="440" t="s">
        <v>344</v>
      </c>
      <c r="G58" s="441">
        <v>44161</v>
      </c>
      <c r="H58" s="441">
        <v>44161</v>
      </c>
      <c r="I58" s="441"/>
      <c r="J58" s="441"/>
      <c r="K58" s="440">
        <f t="shared" ca="1" si="17"/>
        <v>0</v>
      </c>
      <c r="L58" s="440">
        <f t="shared" ca="1" si="18"/>
        <v>1</v>
      </c>
      <c r="M58" s="441"/>
      <c r="N58" s="441"/>
      <c r="O58" s="440" t="s">
        <v>35</v>
      </c>
      <c r="P58" s="440" t="s">
        <v>1872</v>
      </c>
      <c r="Q58" s="440" t="s">
        <v>1873</v>
      </c>
      <c r="R58" s="441">
        <v>33492</v>
      </c>
      <c r="S58" s="438">
        <f t="shared" ref="S58:S59" ca="1" si="21">DATEDIF(R58,$B$1,"Y")</f>
        <v>29</v>
      </c>
      <c r="T58" s="438">
        <f t="shared" ref="T58:T59" ca="1" si="22">DATEDIF(R58,$B$1,"YM")</f>
        <v>3</v>
      </c>
      <c r="U58" s="440" t="s">
        <v>130</v>
      </c>
      <c r="V58" s="440" t="s">
        <v>1874</v>
      </c>
      <c r="W58" s="440" t="s">
        <v>459</v>
      </c>
      <c r="X58" s="440" t="s">
        <v>59</v>
      </c>
      <c r="Y58" s="440"/>
      <c r="Z58" s="440"/>
      <c r="AA58" s="440"/>
      <c r="AB58" s="440"/>
      <c r="AC58" s="440"/>
      <c r="AD58" s="440"/>
      <c r="AE58" s="440"/>
      <c r="AF58" s="440"/>
      <c r="AG58" s="388"/>
      <c r="AH58" s="388"/>
      <c r="AI58" s="388"/>
      <c r="AJ58" s="442" t="s">
        <v>1875</v>
      </c>
      <c r="AK58" s="350" t="s">
        <v>1876</v>
      </c>
      <c r="AL58" s="350" t="s">
        <v>1877</v>
      </c>
      <c r="AM58" s="350"/>
      <c r="AN58" s="440"/>
      <c r="AO58" s="440"/>
      <c r="AP58" s="442" t="s">
        <v>1879</v>
      </c>
      <c r="AQ58" s="439" t="s">
        <v>1870</v>
      </c>
      <c r="AR58" s="442" t="s">
        <v>2194</v>
      </c>
      <c r="AS58" s="440" t="s">
        <v>64</v>
      </c>
      <c r="AT58" s="440" t="s">
        <v>95</v>
      </c>
      <c r="AU58" s="364" t="s">
        <v>1878</v>
      </c>
    </row>
    <row r="59" spans="1:48">
      <c r="A59" s="524">
        <v>44</v>
      </c>
      <c r="B59" s="440">
        <v>16</v>
      </c>
      <c r="C59" s="602">
        <v>9920110161</v>
      </c>
      <c r="D59" s="603" t="s">
        <v>1903</v>
      </c>
      <c r="E59" s="440" t="s">
        <v>1910</v>
      </c>
      <c r="F59" s="440" t="s">
        <v>344</v>
      </c>
      <c r="G59" s="441">
        <v>44169</v>
      </c>
      <c r="H59" s="441">
        <v>44169</v>
      </c>
      <c r="I59" s="441"/>
      <c r="J59" s="441"/>
      <c r="K59" s="440">
        <f t="shared" ca="1" si="17"/>
        <v>0</v>
      </c>
      <c r="L59" s="440">
        <f t="shared" ca="1" si="18"/>
        <v>1</v>
      </c>
      <c r="M59" s="441"/>
      <c r="N59" s="441"/>
      <c r="O59" s="440" t="s">
        <v>76</v>
      </c>
      <c r="P59" s="440" t="s">
        <v>36</v>
      </c>
      <c r="Q59" s="440" t="s">
        <v>129</v>
      </c>
      <c r="R59" s="441">
        <v>34094</v>
      </c>
      <c r="S59" s="438">
        <f t="shared" ca="1" si="21"/>
        <v>27</v>
      </c>
      <c r="T59" s="438">
        <f t="shared" ca="1" si="22"/>
        <v>8</v>
      </c>
      <c r="U59" s="440" t="s">
        <v>1384</v>
      </c>
      <c r="V59" s="440" t="s">
        <v>1904</v>
      </c>
      <c r="W59" s="440" t="s">
        <v>44</v>
      </c>
      <c r="X59" s="440" t="s">
        <v>59</v>
      </c>
      <c r="Y59" s="440"/>
      <c r="Z59" s="440"/>
      <c r="AA59" s="440"/>
      <c r="AB59" s="440"/>
      <c r="AC59" s="440"/>
      <c r="AD59" s="440"/>
      <c r="AE59" s="440"/>
      <c r="AF59" s="440"/>
      <c r="AG59" s="388"/>
      <c r="AH59" s="388"/>
      <c r="AI59" s="388"/>
      <c r="AJ59" s="442" t="s">
        <v>1905</v>
      </c>
      <c r="AK59" s="350" t="s">
        <v>1906</v>
      </c>
      <c r="AL59" s="350" t="s">
        <v>1906</v>
      </c>
      <c r="AM59" s="350"/>
      <c r="AN59" s="440"/>
      <c r="AO59" s="440"/>
      <c r="AP59" s="442" t="s">
        <v>1907</v>
      </c>
      <c r="AQ59" s="439" t="s">
        <v>1903</v>
      </c>
      <c r="AR59" s="442" t="s">
        <v>1908</v>
      </c>
      <c r="AS59" s="440" t="s">
        <v>64</v>
      </c>
      <c r="AT59" s="440" t="s">
        <v>129</v>
      </c>
      <c r="AU59" s="364" t="s">
        <v>1909</v>
      </c>
    </row>
    <row r="60" spans="1:48">
      <c r="A60" s="566"/>
      <c r="B60" s="585"/>
      <c r="C60" s="593"/>
      <c r="D60" s="594"/>
      <c r="E60" s="585"/>
      <c r="F60" s="585"/>
      <c r="G60" s="595"/>
      <c r="H60" s="595"/>
      <c r="I60" s="595"/>
      <c r="J60" s="595"/>
      <c r="K60" s="585"/>
      <c r="L60" s="585"/>
      <c r="M60" s="595"/>
      <c r="N60" s="595"/>
      <c r="O60" s="585"/>
      <c r="P60" s="585"/>
      <c r="Q60" s="585"/>
      <c r="R60" s="595"/>
      <c r="S60" s="596"/>
      <c r="T60" s="596"/>
      <c r="U60" s="585"/>
      <c r="V60" s="585"/>
      <c r="W60" s="585"/>
      <c r="X60" s="585"/>
      <c r="Y60" s="585"/>
      <c r="Z60" s="585"/>
      <c r="AA60" s="585"/>
      <c r="AB60" s="585"/>
      <c r="AC60" s="585"/>
      <c r="AD60" s="585"/>
      <c r="AE60" s="585"/>
      <c r="AF60" s="585"/>
      <c r="AG60" s="597"/>
      <c r="AH60" s="597"/>
      <c r="AI60" s="597"/>
      <c r="AJ60" s="591"/>
      <c r="AK60" s="598"/>
      <c r="AL60" s="598"/>
      <c r="AM60" s="598"/>
      <c r="AN60" s="585"/>
      <c r="AO60" s="585"/>
      <c r="AP60" s="591"/>
      <c r="AQ60" s="592"/>
      <c r="AR60" s="591"/>
      <c r="AS60" s="585"/>
      <c r="AT60" s="585"/>
      <c r="AU60" s="599"/>
    </row>
    <row r="61" spans="1:48">
      <c r="A61" s="568"/>
      <c r="B61" s="829" t="s">
        <v>1426</v>
      </c>
      <c r="C61" s="830"/>
      <c r="D61" s="832"/>
      <c r="E61" s="455"/>
      <c r="F61" s="455"/>
      <c r="G61" s="456"/>
      <c r="H61" s="456"/>
      <c r="I61" s="456"/>
      <c r="J61" s="456"/>
      <c r="K61" s="455"/>
      <c r="L61" s="455"/>
      <c r="M61" s="456"/>
      <c r="N61" s="456"/>
      <c r="O61" s="455"/>
      <c r="P61" s="455"/>
      <c r="Q61" s="455"/>
      <c r="R61" s="456"/>
      <c r="S61" s="490"/>
      <c r="T61" s="490"/>
      <c r="U61" s="455"/>
      <c r="V61" s="455"/>
      <c r="W61" s="455"/>
      <c r="X61" s="455"/>
      <c r="Y61" s="455"/>
      <c r="Z61" s="455"/>
      <c r="AA61" s="455"/>
      <c r="AB61" s="455"/>
      <c r="AC61" s="455"/>
      <c r="AD61" s="455"/>
      <c r="AE61" s="455"/>
      <c r="AF61" s="455"/>
      <c r="AG61" s="464"/>
      <c r="AH61" s="464"/>
      <c r="AI61" s="464"/>
      <c r="AJ61" s="457"/>
      <c r="AK61" s="458"/>
      <c r="AL61" s="458"/>
      <c r="AM61" s="458"/>
      <c r="AN61" s="455"/>
      <c r="AO61" s="455"/>
      <c r="AP61" s="457"/>
      <c r="AQ61" s="393"/>
      <c r="AR61" s="457"/>
      <c r="AS61" s="455"/>
      <c r="AT61" s="455"/>
      <c r="AU61" s="515"/>
    </row>
    <row r="62" spans="1:48" s="601" customFormat="1">
      <c r="A62" s="524">
        <v>45</v>
      </c>
      <c r="B62" s="440">
        <v>1</v>
      </c>
      <c r="C62" s="398" t="s">
        <v>1757</v>
      </c>
      <c r="D62" s="603" t="s">
        <v>1753</v>
      </c>
      <c r="E62" s="440" t="s">
        <v>1754</v>
      </c>
      <c r="F62" s="440" t="s">
        <v>344</v>
      </c>
      <c r="G62" s="441">
        <v>44136</v>
      </c>
      <c r="H62" s="441">
        <v>44136</v>
      </c>
      <c r="I62" s="441"/>
      <c r="J62" s="441"/>
      <c r="K62" s="440">
        <f t="shared" ref="K62:K97" ca="1" si="23">DATEDIF(G62,$B$1,"Y")</f>
        <v>0</v>
      </c>
      <c r="L62" s="440">
        <f t="shared" ref="L62:L97" ca="1" si="24">DATEDIF(G62,$B$1,"YM")</f>
        <v>2</v>
      </c>
      <c r="M62" s="441"/>
      <c r="N62" s="441"/>
      <c r="O62" s="440" t="s">
        <v>35</v>
      </c>
      <c r="P62" s="440" t="s">
        <v>36</v>
      </c>
      <c r="Q62" s="440" t="s">
        <v>129</v>
      </c>
      <c r="R62" s="441">
        <v>27052</v>
      </c>
      <c r="S62" s="438">
        <f t="shared" ref="S62:S97" ca="1" si="25">DATEDIF(R62,$B$1,"Y")</f>
        <v>46</v>
      </c>
      <c r="T62" s="438">
        <f t="shared" ref="T62:T97" ca="1" si="26">DATEDIF(R62,$B$1,"YM")</f>
        <v>11</v>
      </c>
      <c r="U62" s="440" t="s">
        <v>1384</v>
      </c>
      <c r="V62" s="440" t="s">
        <v>1755</v>
      </c>
      <c r="W62" s="440" t="s">
        <v>44</v>
      </c>
      <c r="X62" s="440" t="s">
        <v>59</v>
      </c>
      <c r="Y62" s="440"/>
      <c r="Z62" s="440"/>
      <c r="AA62" s="440"/>
      <c r="AB62" s="440"/>
      <c r="AC62" s="440"/>
      <c r="AD62" s="440"/>
      <c r="AE62" s="440"/>
      <c r="AF62" s="440"/>
      <c r="AG62" s="388"/>
      <c r="AH62" s="388"/>
      <c r="AI62" s="388"/>
      <c r="AJ62" s="442"/>
      <c r="AK62" s="350" t="s">
        <v>1756</v>
      </c>
      <c r="AL62" s="350" t="s">
        <v>1756</v>
      </c>
      <c r="AM62" s="350"/>
      <c r="AN62" s="440"/>
      <c r="AO62" s="440"/>
      <c r="AP62" s="442"/>
      <c r="AQ62" s="439" t="s">
        <v>1753</v>
      </c>
      <c r="AR62" s="442" t="s">
        <v>1902</v>
      </c>
      <c r="AS62" s="440" t="s">
        <v>64</v>
      </c>
      <c r="AT62" s="440" t="s">
        <v>95</v>
      </c>
      <c r="AU62" s="364"/>
    </row>
    <row r="63" spans="1:48">
      <c r="A63" s="524">
        <v>46</v>
      </c>
      <c r="B63" s="443">
        <v>2</v>
      </c>
      <c r="C63" s="440" t="s">
        <v>310</v>
      </c>
      <c r="D63" s="437" t="s">
        <v>74</v>
      </c>
      <c r="E63" s="440" t="s">
        <v>992</v>
      </c>
      <c r="F63" s="440" t="s">
        <v>344</v>
      </c>
      <c r="G63" s="441">
        <v>43202</v>
      </c>
      <c r="H63" s="441">
        <v>43202</v>
      </c>
      <c r="I63" s="441">
        <v>43567</v>
      </c>
      <c r="J63" s="441"/>
      <c r="K63" s="440">
        <f t="shared" ca="1" si="23"/>
        <v>2</v>
      </c>
      <c r="L63" s="440">
        <f t="shared" ca="1" si="24"/>
        <v>8</v>
      </c>
      <c r="M63" s="441"/>
      <c r="N63" s="441"/>
      <c r="O63" s="440" t="s">
        <v>76</v>
      </c>
      <c r="P63" s="440" t="s">
        <v>36</v>
      </c>
      <c r="Q63" s="440" t="s">
        <v>41</v>
      </c>
      <c r="R63" s="441">
        <v>33622</v>
      </c>
      <c r="S63" s="438">
        <f t="shared" ca="1" si="25"/>
        <v>28</v>
      </c>
      <c r="T63" s="438">
        <f t="shared" ca="1" si="26"/>
        <v>11</v>
      </c>
      <c r="U63" s="440" t="s">
        <v>68</v>
      </c>
      <c r="V63" s="440" t="s">
        <v>121</v>
      </c>
      <c r="W63" s="440" t="s">
        <v>105</v>
      </c>
      <c r="X63" s="440" t="s">
        <v>45</v>
      </c>
      <c r="Y63" s="440" t="s">
        <v>126</v>
      </c>
      <c r="Z63" s="441">
        <v>32043</v>
      </c>
      <c r="AA63" s="440" t="s">
        <v>127</v>
      </c>
      <c r="AB63" s="441">
        <v>40734</v>
      </c>
      <c r="AC63" s="438">
        <f ca="1">DATEDIF(AB63,$B$1,"Y")</f>
        <v>9</v>
      </c>
      <c r="AD63" s="440" t="s">
        <v>48</v>
      </c>
      <c r="AE63" s="440" t="s">
        <v>48</v>
      </c>
      <c r="AF63" s="440" t="s">
        <v>48</v>
      </c>
      <c r="AG63" s="374"/>
      <c r="AH63" s="441"/>
      <c r="AI63" s="440"/>
      <c r="AJ63" s="439" t="s">
        <v>128</v>
      </c>
      <c r="AK63" s="350" t="s">
        <v>75</v>
      </c>
      <c r="AL63" s="350" t="s">
        <v>122</v>
      </c>
      <c r="AM63" s="350"/>
      <c r="AN63" s="440"/>
      <c r="AO63" s="440" t="s">
        <v>48</v>
      </c>
      <c r="AP63" s="439" t="s">
        <v>123</v>
      </c>
      <c r="AQ63" s="439" t="s">
        <v>74</v>
      </c>
      <c r="AR63" s="439" t="s">
        <v>931</v>
      </c>
      <c r="AS63" s="440" t="s">
        <v>64</v>
      </c>
      <c r="AT63" s="440" t="s">
        <v>95</v>
      </c>
      <c r="AU63" s="351" t="s">
        <v>125</v>
      </c>
      <c r="AV63" s="436" t="s">
        <v>1869</v>
      </c>
    </row>
    <row r="64" spans="1:48">
      <c r="A64" s="524">
        <v>47</v>
      </c>
      <c r="B64" s="440">
        <v>3</v>
      </c>
      <c r="C64" s="440" t="s">
        <v>313</v>
      </c>
      <c r="D64" s="437" t="s">
        <v>66</v>
      </c>
      <c r="E64" s="440" t="s">
        <v>989</v>
      </c>
      <c r="F64" s="440" t="s">
        <v>344</v>
      </c>
      <c r="G64" s="441">
        <v>43635</v>
      </c>
      <c r="H64" s="441">
        <v>43635</v>
      </c>
      <c r="I64" s="441"/>
      <c r="J64" s="441"/>
      <c r="K64" s="440">
        <f t="shared" ca="1" si="23"/>
        <v>1</v>
      </c>
      <c r="L64" s="440">
        <f t="shared" ca="1" si="24"/>
        <v>6</v>
      </c>
      <c r="M64" s="441"/>
      <c r="N64" s="441"/>
      <c r="O64" s="440" t="s">
        <v>35</v>
      </c>
      <c r="P64" s="440" t="s">
        <v>36</v>
      </c>
      <c r="Q64" s="440" t="s">
        <v>41</v>
      </c>
      <c r="R64" s="441">
        <v>34991</v>
      </c>
      <c r="S64" s="438">
        <f t="shared" ca="1" si="25"/>
        <v>25</v>
      </c>
      <c r="T64" s="438">
        <f t="shared" ca="1" si="26"/>
        <v>2</v>
      </c>
      <c r="U64" s="440" t="s">
        <v>68</v>
      </c>
      <c r="V64" s="440" t="s">
        <v>69</v>
      </c>
      <c r="W64" s="440" t="s">
        <v>44</v>
      </c>
      <c r="X64" s="440" t="s">
        <v>59</v>
      </c>
      <c r="Y64" s="440"/>
      <c r="Z64" s="441"/>
      <c r="AA64" s="440"/>
      <c r="AB64" s="441"/>
      <c r="AC64" s="347"/>
      <c r="AD64" s="374"/>
      <c r="AE64" s="497"/>
      <c r="AF64" s="347"/>
      <c r="AG64" s="374"/>
      <c r="AH64" s="441"/>
      <c r="AI64" s="440"/>
      <c r="AJ64" s="439" t="s">
        <v>87</v>
      </c>
      <c r="AK64" s="350" t="s">
        <v>70</v>
      </c>
      <c r="AL64" s="350" t="s">
        <v>70</v>
      </c>
      <c r="AM64" s="350"/>
      <c r="AN64" s="365"/>
      <c r="AO64" s="440" t="s">
        <v>48</v>
      </c>
      <c r="AP64" s="439" t="s">
        <v>71</v>
      </c>
      <c r="AQ64" s="439" t="s">
        <v>66</v>
      </c>
      <c r="AR64" s="439" t="s">
        <v>946</v>
      </c>
      <c r="AS64" s="440" t="s">
        <v>64</v>
      </c>
      <c r="AT64" s="440" t="s">
        <v>95</v>
      </c>
      <c r="AU64" s="364" t="s">
        <v>73</v>
      </c>
      <c r="AV64" s="436" t="s">
        <v>1869</v>
      </c>
    </row>
    <row r="65" spans="1:48">
      <c r="A65" s="524">
        <v>48</v>
      </c>
      <c r="B65" s="443">
        <v>4</v>
      </c>
      <c r="C65" s="398" t="s">
        <v>690</v>
      </c>
      <c r="D65" s="437" t="s">
        <v>687</v>
      </c>
      <c r="E65" s="440" t="s">
        <v>988</v>
      </c>
      <c r="F65" s="440" t="s">
        <v>344</v>
      </c>
      <c r="G65" s="441">
        <v>43643</v>
      </c>
      <c r="H65" s="441">
        <v>43643</v>
      </c>
      <c r="I65" s="441"/>
      <c r="J65" s="441"/>
      <c r="K65" s="440">
        <f t="shared" ca="1" si="23"/>
        <v>1</v>
      </c>
      <c r="L65" s="440">
        <f t="shared" ca="1" si="24"/>
        <v>6</v>
      </c>
      <c r="M65" s="441"/>
      <c r="N65" s="441"/>
      <c r="O65" s="440" t="s">
        <v>76</v>
      </c>
      <c r="P65" s="440" t="s">
        <v>36</v>
      </c>
      <c r="Q65" s="440" t="s">
        <v>41</v>
      </c>
      <c r="R65" s="441">
        <v>35602</v>
      </c>
      <c r="S65" s="438">
        <f t="shared" ca="1" si="25"/>
        <v>23</v>
      </c>
      <c r="T65" s="438">
        <f t="shared" ca="1" si="26"/>
        <v>6</v>
      </c>
      <c r="U65" s="440" t="s">
        <v>57</v>
      </c>
      <c r="V65" s="440" t="s">
        <v>161</v>
      </c>
      <c r="W65" s="440" t="s">
        <v>44</v>
      </c>
      <c r="X65" s="440" t="s">
        <v>59</v>
      </c>
      <c r="Y65" s="440" t="s">
        <v>48</v>
      </c>
      <c r="Z65" s="440" t="s">
        <v>48</v>
      </c>
      <c r="AA65" s="440" t="s">
        <v>48</v>
      </c>
      <c r="AB65" s="440" t="s">
        <v>48</v>
      </c>
      <c r="AC65" s="440" t="s">
        <v>48</v>
      </c>
      <c r="AD65" s="440" t="s">
        <v>48</v>
      </c>
      <c r="AE65" s="440" t="s">
        <v>48</v>
      </c>
      <c r="AF65" s="440" t="s">
        <v>48</v>
      </c>
      <c r="AG65" s="440" t="s">
        <v>48</v>
      </c>
      <c r="AH65" s="440" t="s">
        <v>48</v>
      </c>
      <c r="AI65" s="440" t="s">
        <v>48</v>
      </c>
      <c r="AJ65" s="442" t="s">
        <v>697</v>
      </c>
      <c r="AK65" s="350" t="s">
        <v>698</v>
      </c>
      <c r="AL65" s="350" t="s">
        <v>698</v>
      </c>
      <c r="AM65" s="350"/>
      <c r="AN65" s="350"/>
      <c r="AO65" s="350"/>
      <c r="AP65" s="442" t="s">
        <v>699</v>
      </c>
      <c r="AQ65" s="439" t="s">
        <v>687</v>
      </c>
      <c r="AR65" s="347" t="s">
        <v>714</v>
      </c>
      <c r="AS65" s="440" t="s">
        <v>64</v>
      </c>
      <c r="AT65" s="440" t="s">
        <v>95</v>
      </c>
      <c r="AU65" s="395"/>
      <c r="AV65" s="436" t="s">
        <v>1869</v>
      </c>
    </row>
    <row r="66" spans="1:48">
      <c r="A66" s="524">
        <v>49</v>
      </c>
      <c r="B66" s="440">
        <v>5</v>
      </c>
      <c r="C66" s="440" t="s">
        <v>314</v>
      </c>
      <c r="D66" s="437" t="s">
        <v>88</v>
      </c>
      <c r="E66" s="440" t="s">
        <v>67</v>
      </c>
      <c r="F66" s="440" t="s">
        <v>344</v>
      </c>
      <c r="G66" s="441">
        <v>43202</v>
      </c>
      <c r="H66" s="357">
        <v>43202</v>
      </c>
      <c r="I66" s="357">
        <v>43567</v>
      </c>
      <c r="J66" s="441"/>
      <c r="K66" s="440">
        <f t="shared" ca="1" si="23"/>
        <v>2</v>
      </c>
      <c r="L66" s="440">
        <f t="shared" ca="1" si="24"/>
        <v>8</v>
      </c>
      <c r="M66" s="441"/>
      <c r="N66" s="441"/>
      <c r="O66" s="440" t="s">
        <v>35</v>
      </c>
      <c r="P66" s="440" t="s">
        <v>36</v>
      </c>
      <c r="Q66" s="440" t="s">
        <v>41</v>
      </c>
      <c r="R66" s="441">
        <v>33519</v>
      </c>
      <c r="S66" s="438">
        <f t="shared" ca="1" si="25"/>
        <v>29</v>
      </c>
      <c r="T66" s="438">
        <f t="shared" ca="1" si="26"/>
        <v>2</v>
      </c>
      <c r="U66" s="440" t="s">
        <v>57</v>
      </c>
      <c r="V66" s="440" t="s">
        <v>90</v>
      </c>
      <c r="W66" s="440" t="s">
        <v>48</v>
      </c>
      <c r="X66" s="440" t="s">
        <v>59</v>
      </c>
      <c r="Y66" s="440" t="s">
        <v>48</v>
      </c>
      <c r="Z66" s="440" t="s">
        <v>48</v>
      </c>
      <c r="AA66" s="440" t="s">
        <v>48</v>
      </c>
      <c r="AB66" s="440" t="s">
        <v>48</v>
      </c>
      <c r="AC66" s="440" t="s">
        <v>48</v>
      </c>
      <c r="AD66" s="440" t="s">
        <v>48</v>
      </c>
      <c r="AE66" s="440" t="s">
        <v>48</v>
      </c>
      <c r="AF66" s="440" t="s">
        <v>48</v>
      </c>
      <c r="AG66" s="374"/>
      <c r="AH66" s="441"/>
      <c r="AI66" s="440"/>
      <c r="AJ66" s="442" t="s">
        <v>91</v>
      </c>
      <c r="AK66" s="350" t="s">
        <v>92</v>
      </c>
      <c r="AL66" s="350" t="s">
        <v>92</v>
      </c>
      <c r="AM66" s="350"/>
      <c r="AN66" s="440"/>
      <c r="AO66" s="440" t="s">
        <v>48</v>
      </c>
      <c r="AP66" s="439" t="s">
        <v>93</v>
      </c>
      <c r="AQ66" s="439" t="s">
        <v>88</v>
      </c>
      <c r="AR66" s="439" t="s">
        <v>935</v>
      </c>
      <c r="AS66" s="440" t="s">
        <v>64</v>
      </c>
      <c r="AT66" s="440" t="s">
        <v>95</v>
      </c>
      <c r="AU66" s="364" t="s">
        <v>96</v>
      </c>
      <c r="AV66" s="436" t="s">
        <v>1869</v>
      </c>
    </row>
    <row r="67" spans="1:48">
      <c r="A67" s="524">
        <v>50</v>
      </c>
      <c r="B67" s="443">
        <v>6</v>
      </c>
      <c r="C67" s="440" t="s">
        <v>328</v>
      </c>
      <c r="D67" s="437" t="s">
        <v>211</v>
      </c>
      <c r="E67" s="440" t="s">
        <v>1033</v>
      </c>
      <c r="F67" s="440" t="s">
        <v>344</v>
      </c>
      <c r="G67" s="441">
        <v>43202</v>
      </c>
      <c r="H67" s="441">
        <v>43202</v>
      </c>
      <c r="I67" s="441">
        <v>43567</v>
      </c>
      <c r="J67" s="441"/>
      <c r="K67" s="440">
        <f t="shared" ca="1" si="23"/>
        <v>2</v>
      </c>
      <c r="L67" s="440">
        <f t="shared" ca="1" si="24"/>
        <v>8</v>
      </c>
      <c r="M67" s="441"/>
      <c r="N67" s="441"/>
      <c r="O67" s="440" t="s">
        <v>76</v>
      </c>
      <c r="P67" s="440" t="s">
        <v>36</v>
      </c>
      <c r="Q67" s="440" t="s">
        <v>41</v>
      </c>
      <c r="R67" s="441">
        <v>37047</v>
      </c>
      <c r="S67" s="438">
        <f t="shared" ca="1" si="25"/>
        <v>19</v>
      </c>
      <c r="T67" s="438">
        <f t="shared" ca="1" si="26"/>
        <v>7</v>
      </c>
      <c r="U67" s="440" t="s">
        <v>184</v>
      </c>
      <c r="V67" s="440" t="s">
        <v>48</v>
      </c>
      <c r="W67" s="440" t="s">
        <v>44</v>
      </c>
      <c r="X67" s="440" t="s">
        <v>59</v>
      </c>
      <c r="Y67" s="440" t="s">
        <v>48</v>
      </c>
      <c r="Z67" s="440" t="s">
        <v>48</v>
      </c>
      <c r="AA67" s="440" t="s">
        <v>48</v>
      </c>
      <c r="AB67" s="440" t="s">
        <v>48</v>
      </c>
      <c r="AC67" s="440" t="s">
        <v>48</v>
      </c>
      <c r="AD67" s="440" t="s">
        <v>48</v>
      </c>
      <c r="AE67" s="440" t="s">
        <v>48</v>
      </c>
      <c r="AF67" s="440" t="s">
        <v>48</v>
      </c>
      <c r="AG67" s="365"/>
      <c r="AH67" s="365"/>
      <c r="AI67" s="365"/>
      <c r="AJ67" s="442" t="s">
        <v>2197</v>
      </c>
      <c r="AK67" s="350" t="s">
        <v>248</v>
      </c>
      <c r="AL67" s="350" t="s">
        <v>248</v>
      </c>
      <c r="AM67" s="350"/>
      <c r="AN67" s="440"/>
      <c r="AO67" s="440" t="s">
        <v>48</v>
      </c>
      <c r="AP67" s="439" t="s">
        <v>249</v>
      </c>
      <c r="AQ67" s="439" t="s">
        <v>211</v>
      </c>
      <c r="AR67" s="347" t="s">
        <v>942</v>
      </c>
      <c r="AS67" s="440" t="s">
        <v>64</v>
      </c>
      <c r="AT67" s="440" t="s">
        <v>95</v>
      </c>
      <c r="AU67" s="395" t="s">
        <v>48</v>
      </c>
      <c r="AV67" s="436" t="s">
        <v>1869</v>
      </c>
    </row>
    <row r="68" spans="1:48">
      <c r="A68" s="524">
        <v>51</v>
      </c>
      <c r="B68" s="440">
        <v>7</v>
      </c>
      <c r="C68" s="440" t="s">
        <v>329</v>
      </c>
      <c r="D68" s="437" t="s">
        <v>217</v>
      </c>
      <c r="E68" s="440" t="s">
        <v>991</v>
      </c>
      <c r="F68" s="440" t="s">
        <v>344</v>
      </c>
      <c r="G68" s="441">
        <v>43202</v>
      </c>
      <c r="H68" s="441">
        <v>43202</v>
      </c>
      <c r="I68" s="441">
        <v>43567</v>
      </c>
      <c r="J68" s="441"/>
      <c r="K68" s="440">
        <f t="shared" ca="1" si="23"/>
        <v>2</v>
      </c>
      <c r="L68" s="440">
        <f t="shared" ca="1" si="24"/>
        <v>8</v>
      </c>
      <c r="M68" s="441"/>
      <c r="N68" s="441"/>
      <c r="O68" s="440" t="s">
        <v>35</v>
      </c>
      <c r="P68" s="440" t="s">
        <v>36</v>
      </c>
      <c r="Q68" s="440" t="s">
        <v>41</v>
      </c>
      <c r="R68" s="441">
        <v>35595</v>
      </c>
      <c r="S68" s="438">
        <f t="shared" ca="1" si="25"/>
        <v>23</v>
      </c>
      <c r="T68" s="438">
        <f t="shared" ca="1" si="26"/>
        <v>6</v>
      </c>
      <c r="U68" s="440" t="s">
        <v>68</v>
      </c>
      <c r="V68" s="440" t="s">
        <v>235</v>
      </c>
      <c r="W68" s="440" t="s">
        <v>44</v>
      </c>
      <c r="X68" s="440" t="s">
        <v>59</v>
      </c>
      <c r="Y68" s="440" t="s">
        <v>48</v>
      </c>
      <c r="Z68" s="440" t="s">
        <v>48</v>
      </c>
      <c r="AA68" s="440" t="s">
        <v>48</v>
      </c>
      <c r="AB68" s="440" t="s">
        <v>48</v>
      </c>
      <c r="AC68" s="440" t="s">
        <v>48</v>
      </c>
      <c r="AD68" s="440" t="s">
        <v>48</v>
      </c>
      <c r="AE68" s="440" t="s">
        <v>48</v>
      </c>
      <c r="AF68" s="440" t="s">
        <v>48</v>
      </c>
      <c r="AG68" s="365"/>
      <c r="AH68" s="365"/>
      <c r="AI68" s="365"/>
      <c r="AJ68" s="439" t="s">
        <v>236</v>
      </c>
      <c r="AK68" s="350" t="s">
        <v>237</v>
      </c>
      <c r="AL68" s="350" t="s">
        <v>237</v>
      </c>
      <c r="AM68" s="350"/>
      <c r="AN68" s="440"/>
      <c r="AO68" s="440" t="s">
        <v>48</v>
      </c>
      <c r="AP68" s="439" t="s">
        <v>238</v>
      </c>
      <c r="AQ68" s="439" t="s">
        <v>239</v>
      </c>
      <c r="AR68" s="347" t="s">
        <v>943</v>
      </c>
      <c r="AS68" s="440" t="s">
        <v>64</v>
      </c>
      <c r="AT68" s="440" t="s">
        <v>95</v>
      </c>
      <c r="AU68" s="380" t="s">
        <v>240</v>
      </c>
      <c r="AV68" s="436" t="s">
        <v>1869</v>
      </c>
    </row>
    <row r="69" spans="1:48">
      <c r="A69" s="524">
        <v>52</v>
      </c>
      <c r="B69" s="443">
        <v>8</v>
      </c>
      <c r="C69" s="398" t="s">
        <v>691</v>
      </c>
      <c r="D69" s="437" t="s">
        <v>688</v>
      </c>
      <c r="E69" s="440" t="s">
        <v>990</v>
      </c>
      <c r="F69" s="440" t="s">
        <v>344</v>
      </c>
      <c r="G69" s="441">
        <v>43643</v>
      </c>
      <c r="H69" s="441">
        <v>43643</v>
      </c>
      <c r="I69" s="441"/>
      <c r="J69" s="441"/>
      <c r="K69" s="440">
        <f t="shared" ca="1" si="23"/>
        <v>1</v>
      </c>
      <c r="L69" s="440">
        <f t="shared" ca="1" si="24"/>
        <v>6</v>
      </c>
      <c r="M69" s="441"/>
      <c r="N69" s="441"/>
      <c r="O69" s="440" t="s">
        <v>35</v>
      </c>
      <c r="P69" s="440" t="s">
        <v>36</v>
      </c>
      <c r="Q69" s="440" t="s">
        <v>41</v>
      </c>
      <c r="R69" s="441">
        <v>32620</v>
      </c>
      <c r="S69" s="438">
        <f t="shared" ca="1" si="25"/>
        <v>31</v>
      </c>
      <c r="T69" s="438">
        <f t="shared" ca="1" si="26"/>
        <v>8</v>
      </c>
      <c r="U69" s="440" t="s">
        <v>57</v>
      </c>
      <c r="V69" s="440" t="s">
        <v>692</v>
      </c>
      <c r="W69" s="440" t="s">
        <v>48</v>
      </c>
      <c r="X69" s="440" t="s">
        <v>45</v>
      </c>
      <c r="Y69" s="440" t="s">
        <v>700</v>
      </c>
      <c r="Z69" s="441">
        <v>34296</v>
      </c>
      <c r="AA69" s="440" t="s">
        <v>48</v>
      </c>
      <c r="AB69" s="440" t="s">
        <v>48</v>
      </c>
      <c r="AC69" s="440" t="s">
        <v>48</v>
      </c>
      <c r="AD69" s="440" t="s">
        <v>48</v>
      </c>
      <c r="AE69" s="440" t="s">
        <v>48</v>
      </c>
      <c r="AF69" s="440" t="s">
        <v>48</v>
      </c>
      <c r="AG69" s="440" t="s">
        <v>48</v>
      </c>
      <c r="AH69" s="440" t="s">
        <v>48</v>
      </c>
      <c r="AI69" s="440" t="s">
        <v>48</v>
      </c>
      <c r="AJ69" s="442" t="s">
        <v>701</v>
      </c>
      <c r="AK69" s="350" t="s">
        <v>702</v>
      </c>
      <c r="AL69" s="350" t="s">
        <v>702</v>
      </c>
      <c r="AM69" s="350"/>
      <c r="AN69" s="350"/>
      <c r="AO69" s="350"/>
      <c r="AP69" s="442" t="s">
        <v>704</v>
      </c>
      <c r="AQ69" s="439" t="s">
        <v>688</v>
      </c>
      <c r="AR69" s="347" t="s">
        <v>713</v>
      </c>
      <c r="AS69" s="440" t="s">
        <v>64</v>
      </c>
      <c r="AT69" s="440" t="s">
        <v>95</v>
      </c>
      <c r="AU69" s="395"/>
      <c r="AV69" s="436" t="s">
        <v>1869</v>
      </c>
    </row>
    <row r="70" spans="1:48">
      <c r="A70" s="524">
        <v>53</v>
      </c>
      <c r="B70" s="440">
        <v>9</v>
      </c>
      <c r="C70" s="398" t="s">
        <v>853</v>
      </c>
      <c r="D70" s="498" t="s">
        <v>846</v>
      </c>
      <c r="E70" s="499" t="s">
        <v>847</v>
      </c>
      <c r="F70" s="440" t="s">
        <v>344</v>
      </c>
      <c r="G70" s="441">
        <v>43715</v>
      </c>
      <c r="H70" s="441">
        <v>43715</v>
      </c>
      <c r="I70" s="499"/>
      <c r="J70" s="500"/>
      <c r="K70" s="440">
        <f t="shared" ca="1" si="23"/>
        <v>1</v>
      </c>
      <c r="L70" s="440">
        <f t="shared" ca="1" si="24"/>
        <v>3</v>
      </c>
      <c r="M70" s="500"/>
      <c r="N70" s="500"/>
      <c r="O70" s="440" t="s">
        <v>76</v>
      </c>
      <c r="P70" s="440" t="s">
        <v>36</v>
      </c>
      <c r="Q70" s="440" t="s">
        <v>41</v>
      </c>
      <c r="R70" s="441">
        <v>35575</v>
      </c>
      <c r="S70" s="438">
        <f t="shared" ca="1" si="25"/>
        <v>23</v>
      </c>
      <c r="T70" s="438">
        <f t="shared" ca="1" si="26"/>
        <v>7</v>
      </c>
      <c r="U70" s="440" t="s">
        <v>130</v>
      </c>
      <c r="V70" s="499" t="s">
        <v>848</v>
      </c>
      <c r="W70" s="440" t="s">
        <v>44</v>
      </c>
      <c r="X70" s="440" t="s">
        <v>59</v>
      </c>
      <c r="Y70" s="440" t="s">
        <v>48</v>
      </c>
      <c r="Z70" s="440" t="s">
        <v>48</v>
      </c>
      <c r="AA70" s="440" t="s">
        <v>48</v>
      </c>
      <c r="AB70" s="440" t="s">
        <v>48</v>
      </c>
      <c r="AC70" s="440" t="s">
        <v>48</v>
      </c>
      <c r="AD70" s="440" t="s">
        <v>48</v>
      </c>
      <c r="AE70" s="440" t="s">
        <v>48</v>
      </c>
      <c r="AF70" s="440" t="s">
        <v>48</v>
      </c>
      <c r="AG70" s="500"/>
      <c r="AH70" s="500"/>
      <c r="AI70" s="500"/>
      <c r="AJ70" s="501" t="s">
        <v>849</v>
      </c>
      <c r="AK70" s="500" t="s">
        <v>850</v>
      </c>
      <c r="AL70" s="500" t="s">
        <v>850</v>
      </c>
      <c r="AM70" s="500"/>
      <c r="AN70" s="499"/>
      <c r="AO70" s="499"/>
      <c r="AP70" s="501" t="s">
        <v>851</v>
      </c>
      <c r="AQ70" s="499" t="s">
        <v>846</v>
      </c>
      <c r="AR70" s="499" t="s">
        <v>883</v>
      </c>
      <c r="AS70" s="440" t="s">
        <v>64</v>
      </c>
      <c r="AT70" s="440" t="s">
        <v>95</v>
      </c>
      <c r="AU70" s="502"/>
      <c r="AV70" s="436" t="s">
        <v>1869</v>
      </c>
    </row>
    <row r="71" spans="1:48">
      <c r="A71" s="524">
        <v>55</v>
      </c>
      <c r="B71" s="443">
        <v>12</v>
      </c>
      <c r="C71" s="440" t="s">
        <v>323</v>
      </c>
      <c r="D71" s="437" t="s">
        <v>165</v>
      </c>
      <c r="E71" s="440" t="s">
        <v>144</v>
      </c>
      <c r="F71" s="440" t="s">
        <v>344</v>
      </c>
      <c r="G71" s="441">
        <v>43202</v>
      </c>
      <c r="H71" s="441">
        <v>43202</v>
      </c>
      <c r="I71" s="441">
        <v>43567</v>
      </c>
      <c r="J71" s="441"/>
      <c r="K71" s="440">
        <f t="shared" ca="1" si="23"/>
        <v>2</v>
      </c>
      <c r="L71" s="440">
        <f t="shared" ca="1" si="24"/>
        <v>8</v>
      </c>
      <c r="M71" s="441"/>
      <c r="N71" s="441"/>
      <c r="O71" s="440" t="s">
        <v>76</v>
      </c>
      <c r="P71" s="440" t="s">
        <v>36</v>
      </c>
      <c r="Q71" s="440" t="s">
        <v>41</v>
      </c>
      <c r="R71" s="441">
        <v>31895</v>
      </c>
      <c r="S71" s="438">
        <f t="shared" ca="1" si="25"/>
        <v>33</v>
      </c>
      <c r="T71" s="438">
        <f t="shared" ca="1" si="26"/>
        <v>8</v>
      </c>
      <c r="U71" s="440" t="s">
        <v>136</v>
      </c>
      <c r="V71" s="440" t="s">
        <v>48</v>
      </c>
      <c r="W71" s="440" t="s">
        <v>459</v>
      </c>
      <c r="X71" s="440" t="s">
        <v>45</v>
      </c>
      <c r="Y71" s="440" t="s">
        <v>166</v>
      </c>
      <c r="Z71" s="441">
        <v>29878</v>
      </c>
      <c r="AA71" s="440" t="s">
        <v>167</v>
      </c>
      <c r="AB71" s="441">
        <v>39899</v>
      </c>
      <c r="AC71" s="438">
        <f t="shared" ref="AC71:AC72" ca="1" si="27">DATEDIF(AB71,$B$1,"Y")</f>
        <v>11</v>
      </c>
      <c r="AD71" s="440" t="s">
        <v>48</v>
      </c>
      <c r="AE71" s="440" t="s">
        <v>48</v>
      </c>
      <c r="AF71" s="440" t="s">
        <v>48</v>
      </c>
      <c r="AG71" s="365"/>
      <c r="AH71" s="365"/>
      <c r="AI71" s="365"/>
      <c r="AJ71" s="439" t="s">
        <v>168</v>
      </c>
      <c r="AK71" s="350" t="s">
        <v>169</v>
      </c>
      <c r="AL71" s="350" t="s">
        <v>169</v>
      </c>
      <c r="AM71" s="350"/>
      <c r="AN71" s="440"/>
      <c r="AO71" s="440" t="s">
        <v>48</v>
      </c>
      <c r="AP71" s="439" t="s">
        <v>170</v>
      </c>
      <c r="AQ71" s="439" t="s">
        <v>165</v>
      </c>
      <c r="AR71" s="347" t="s">
        <v>939</v>
      </c>
      <c r="AS71" s="440" t="s">
        <v>64</v>
      </c>
      <c r="AT71" s="440" t="s">
        <v>95</v>
      </c>
      <c r="AU71" s="395" t="s">
        <v>48</v>
      </c>
      <c r="AV71" s="436" t="s">
        <v>1869</v>
      </c>
    </row>
    <row r="72" spans="1:48">
      <c r="A72" s="524">
        <v>56</v>
      </c>
      <c r="B72" s="440">
        <v>13</v>
      </c>
      <c r="C72" s="378" t="s">
        <v>2262</v>
      </c>
      <c r="D72" s="396" t="s">
        <v>678</v>
      </c>
      <c r="E72" s="440" t="s">
        <v>1043</v>
      </c>
      <c r="F72" s="440" t="s">
        <v>344</v>
      </c>
      <c r="G72" s="441">
        <v>43637</v>
      </c>
      <c r="H72" s="441">
        <v>43637</v>
      </c>
      <c r="I72" s="441"/>
      <c r="J72" s="441"/>
      <c r="K72" s="440">
        <f t="shared" ca="1" si="23"/>
        <v>1</v>
      </c>
      <c r="L72" s="440">
        <f t="shared" ca="1" si="24"/>
        <v>6</v>
      </c>
      <c r="M72" s="441"/>
      <c r="N72" s="441"/>
      <c r="O72" s="440" t="s">
        <v>76</v>
      </c>
      <c r="P72" s="440" t="s">
        <v>36</v>
      </c>
      <c r="Q72" s="440" t="s">
        <v>41</v>
      </c>
      <c r="R72" s="441">
        <v>35179</v>
      </c>
      <c r="S72" s="438">
        <f t="shared" ca="1" si="25"/>
        <v>24</v>
      </c>
      <c r="T72" s="438">
        <f t="shared" ca="1" si="26"/>
        <v>8</v>
      </c>
      <c r="U72" s="440" t="s">
        <v>68</v>
      </c>
      <c r="V72" s="440" t="s">
        <v>48</v>
      </c>
      <c r="W72" s="440" t="s">
        <v>44</v>
      </c>
      <c r="X72" s="440" t="s">
        <v>45</v>
      </c>
      <c r="Y72" s="440" t="s">
        <v>679</v>
      </c>
      <c r="Z72" s="441">
        <v>35214</v>
      </c>
      <c r="AA72" s="440" t="s">
        <v>680</v>
      </c>
      <c r="AB72" s="441">
        <v>43317</v>
      </c>
      <c r="AC72" s="438">
        <f t="shared" ca="1" si="27"/>
        <v>2</v>
      </c>
      <c r="AD72" s="440" t="s">
        <v>48</v>
      </c>
      <c r="AE72" s="440" t="s">
        <v>48</v>
      </c>
      <c r="AF72" s="440" t="s">
        <v>48</v>
      </c>
      <c r="AG72" s="440" t="s">
        <v>48</v>
      </c>
      <c r="AH72" s="440" t="s">
        <v>48</v>
      </c>
      <c r="AI72" s="440" t="s">
        <v>48</v>
      </c>
      <c r="AJ72" s="442" t="s">
        <v>681</v>
      </c>
      <c r="AK72" s="350" t="s">
        <v>682</v>
      </c>
      <c r="AL72" s="350" t="s">
        <v>682</v>
      </c>
      <c r="AM72" s="350"/>
      <c r="AN72" s="440"/>
      <c r="AO72" s="440"/>
      <c r="AP72" s="442" t="s">
        <v>683</v>
      </c>
      <c r="AQ72" s="397" t="s">
        <v>678</v>
      </c>
      <c r="AR72" s="347" t="s">
        <v>684</v>
      </c>
      <c r="AS72" s="440" t="s">
        <v>64</v>
      </c>
      <c r="AT72" s="440" t="s">
        <v>95</v>
      </c>
      <c r="AU72" s="395"/>
      <c r="AV72" s="436" t="s">
        <v>1869</v>
      </c>
    </row>
    <row r="73" spans="1:48">
      <c r="A73" s="524">
        <v>57</v>
      </c>
      <c r="B73" s="443">
        <v>14</v>
      </c>
      <c r="C73" s="440" t="s">
        <v>333</v>
      </c>
      <c r="D73" s="437" t="s">
        <v>355</v>
      </c>
      <c r="E73" s="440" t="s">
        <v>144</v>
      </c>
      <c r="F73" s="440" t="s">
        <v>344</v>
      </c>
      <c r="G73" s="441">
        <v>43202</v>
      </c>
      <c r="H73" s="441">
        <v>43202</v>
      </c>
      <c r="I73" s="441">
        <v>43567</v>
      </c>
      <c r="J73" s="441"/>
      <c r="K73" s="440">
        <f t="shared" ca="1" si="23"/>
        <v>2</v>
      </c>
      <c r="L73" s="440">
        <f t="shared" ca="1" si="24"/>
        <v>8</v>
      </c>
      <c r="M73" s="441"/>
      <c r="N73" s="441"/>
      <c r="O73" s="440" t="s">
        <v>76</v>
      </c>
      <c r="P73" s="440" t="s">
        <v>36</v>
      </c>
      <c r="Q73" s="440" t="s">
        <v>41</v>
      </c>
      <c r="R73" s="441">
        <v>34056</v>
      </c>
      <c r="S73" s="438">
        <f t="shared" ca="1" si="25"/>
        <v>27</v>
      </c>
      <c r="T73" s="438">
        <f t="shared" ca="1" si="26"/>
        <v>9</v>
      </c>
      <c r="U73" s="440" t="s">
        <v>136</v>
      </c>
      <c r="V73" s="440" t="s">
        <v>48</v>
      </c>
      <c r="W73" s="440" t="s">
        <v>48</v>
      </c>
      <c r="X73" s="440" t="s">
        <v>350</v>
      </c>
      <c r="Y73" s="440" t="s">
        <v>351</v>
      </c>
      <c r="Z73" s="441">
        <v>33005</v>
      </c>
      <c r="AA73" s="440" t="s">
        <v>48</v>
      </c>
      <c r="AB73" s="440" t="s">
        <v>48</v>
      </c>
      <c r="AC73" s="440" t="s">
        <v>48</v>
      </c>
      <c r="AD73" s="440" t="s">
        <v>48</v>
      </c>
      <c r="AE73" s="440" t="s">
        <v>48</v>
      </c>
      <c r="AF73" s="440" t="s">
        <v>48</v>
      </c>
      <c r="AG73" s="365"/>
      <c r="AH73" s="365"/>
      <c r="AI73" s="365"/>
      <c r="AJ73" s="439" t="s">
        <v>352</v>
      </c>
      <c r="AK73" s="350" t="s">
        <v>353</v>
      </c>
      <c r="AL73" s="350" t="s">
        <v>353</v>
      </c>
      <c r="AM73" s="350"/>
      <c r="AN73" s="440"/>
      <c r="AO73" s="440" t="s">
        <v>48</v>
      </c>
      <c r="AP73" s="442" t="s">
        <v>354</v>
      </c>
      <c r="AQ73" s="439" t="s">
        <v>355</v>
      </c>
      <c r="AR73" s="347" t="s">
        <v>945</v>
      </c>
      <c r="AS73" s="440" t="s">
        <v>64</v>
      </c>
      <c r="AT73" s="440" t="s">
        <v>95</v>
      </c>
      <c r="AU73" s="395"/>
      <c r="AV73" s="436" t="s">
        <v>1869</v>
      </c>
    </row>
    <row r="74" spans="1:48">
      <c r="A74" s="524">
        <v>58</v>
      </c>
      <c r="B74" s="440">
        <v>15</v>
      </c>
      <c r="C74" s="440" t="s">
        <v>322</v>
      </c>
      <c r="D74" s="437" t="s">
        <v>159</v>
      </c>
      <c r="E74" s="440" t="s">
        <v>144</v>
      </c>
      <c r="F74" s="440" t="s">
        <v>344</v>
      </c>
      <c r="G74" s="441">
        <v>43202</v>
      </c>
      <c r="H74" s="441">
        <v>43202</v>
      </c>
      <c r="I74" s="441">
        <v>43567</v>
      </c>
      <c r="J74" s="441"/>
      <c r="K74" s="440">
        <f t="shared" ca="1" si="23"/>
        <v>2</v>
      </c>
      <c r="L74" s="440">
        <f t="shared" ca="1" si="24"/>
        <v>8</v>
      </c>
      <c r="M74" s="441"/>
      <c r="N74" s="441"/>
      <c r="O74" s="440" t="s">
        <v>76</v>
      </c>
      <c r="P74" s="440" t="s">
        <v>36</v>
      </c>
      <c r="Q74" s="440" t="s">
        <v>160</v>
      </c>
      <c r="R74" s="441">
        <v>31591</v>
      </c>
      <c r="S74" s="438">
        <f t="shared" ca="1" si="25"/>
        <v>34</v>
      </c>
      <c r="T74" s="438">
        <f t="shared" ca="1" si="26"/>
        <v>6</v>
      </c>
      <c r="U74" s="440" t="s">
        <v>68</v>
      </c>
      <c r="V74" s="440" t="s">
        <v>161</v>
      </c>
      <c r="W74" s="440" t="s">
        <v>44</v>
      </c>
      <c r="X74" s="440" t="s">
        <v>59</v>
      </c>
      <c r="Y74" s="440" t="s">
        <v>48</v>
      </c>
      <c r="Z74" s="440" t="s">
        <v>48</v>
      </c>
      <c r="AA74" s="440" t="s">
        <v>48</v>
      </c>
      <c r="AB74" s="440" t="s">
        <v>48</v>
      </c>
      <c r="AC74" s="440" t="s">
        <v>48</v>
      </c>
      <c r="AD74" s="440" t="s">
        <v>48</v>
      </c>
      <c r="AE74" s="440" t="s">
        <v>48</v>
      </c>
      <c r="AF74" s="440" t="s">
        <v>48</v>
      </c>
      <c r="AG74" s="365"/>
      <c r="AH74" s="365"/>
      <c r="AI74" s="365"/>
      <c r="AJ74" s="439" t="s">
        <v>162</v>
      </c>
      <c r="AK74" s="350" t="s">
        <v>163</v>
      </c>
      <c r="AL74" s="350" t="s">
        <v>156</v>
      </c>
      <c r="AM74" s="350"/>
      <c r="AN74" s="440"/>
      <c r="AO74" s="440" t="s">
        <v>48</v>
      </c>
      <c r="AP74" s="439" t="s">
        <v>164</v>
      </c>
      <c r="AQ74" s="439" t="s">
        <v>159</v>
      </c>
      <c r="AR74" s="347" t="s">
        <v>938</v>
      </c>
      <c r="AS74" s="440" t="s">
        <v>64</v>
      </c>
      <c r="AT74" s="440" t="s">
        <v>95</v>
      </c>
      <c r="AU74" s="395" t="s">
        <v>48</v>
      </c>
    </row>
    <row r="75" spans="1:48">
      <c r="A75" s="524">
        <v>59</v>
      </c>
      <c r="B75" s="443">
        <v>16</v>
      </c>
      <c r="C75" s="440" t="s">
        <v>330</v>
      </c>
      <c r="D75" s="437" t="s">
        <v>218</v>
      </c>
      <c r="E75" s="440" t="s">
        <v>144</v>
      </c>
      <c r="F75" s="440" t="s">
        <v>344</v>
      </c>
      <c r="G75" s="441">
        <v>43202</v>
      </c>
      <c r="H75" s="441">
        <v>43202</v>
      </c>
      <c r="I75" s="441">
        <v>43567</v>
      </c>
      <c r="J75" s="441"/>
      <c r="K75" s="440">
        <f t="shared" ca="1" si="23"/>
        <v>2</v>
      </c>
      <c r="L75" s="440">
        <f t="shared" ca="1" si="24"/>
        <v>8</v>
      </c>
      <c r="M75" s="441"/>
      <c r="N75" s="441"/>
      <c r="O75" s="440" t="s">
        <v>76</v>
      </c>
      <c r="P75" s="440" t="s">
        <v>36</v>
      </c>
      <c r="Q75" s="440" t="s">
        <v>41</v>
      </c>
      <c r="R75" s="441">
        <v>35068</v>
      </c>
      <c r="S75" s="438">
        <f t="shared" ca="1" si="25"/>
        <v>25</v>
      </c>
      <c r="T75" s="438">
        <f t="shared" ca="1" si="26"/>
        <v>0</v>
      </c>
      <c r="U75" s="440" t="s">
        <v>136</v>
      </c>
      <c r="V75" s="440" t="s">
        <v>48</v>
      </c>
      <c r="W75" s="440" t="s">
        <v>44</v>
      </c>
      <c r="X75" s="440" t="s">
        <v>59</v>
      </c>
      <c r="Y75" s="440" t="s">
        <v>48</v>
      </c>
      <c r="Z75" s="440" t="s">
        <v>48</v>
      </c>
      <c r="AA75" s="440" t="s">
        <v>48</v>
      </c>
      <c r="AB75" s="440" t="s">
        <v>48</v>
      </c>
      <c r="AC75" s="440" t="s">
        <v>48</v>
      </c>
      <c r="AD75" s="440" t="s">
        <v>48</v>
      </c>
      <c r="AE75" s="440" t="s">
        <v>48</v>
      </c>
      <c r="AF75" s="440" t="s">
        <v>48</v>
      </c>
      <c r="AG75" s="365"/>
      <c r="AH75" s="365"/>
      <c r="AI75" s="365"/>
      <c r="AJ75" s="439" t="s">
        <v>250</v>
      </c>
      <c r="AK75" s="350" t="s">
        <v>251</v>
      </c>
      <c r="AL75" s="350" t="s">
        <v>251</v>
      </c>
      <c r="AM75" s="350"/>
      <c r="AN75" s="440"/>
      <c r="AO75" s="440" t="s">
        <v>48</v>
      </c>
      <c r="AP75" s="439" t="s">
        <v>252</v>
      </c>
      <c r="AQ75" s="439" t="s">
        <v>253</v>
      </c>
      <c r="AR75" s="347" t="s">
        <v>944</v>
      </c>
      <c r="AS75" s="440" t="s">
        <v>64</v>
      </c>
      <c r="AT75" s="440" t="s">
        <v>95</v>
      </c>
      <c r="AU75" s="395"/>
      <c r="AV75" s="436" t="s">
        <v>1869</v>
      </c>
    </row>
    <row r="76" spans="1:48">
      <c r="A76" s="524">
        <v>60</v>
      </c>
      <c r="B76" s="440">
        <v>17</v>
      </c>
      <c r="C76" s="440" t="s">
        <v>404</v>
      </c>
      <c r="D76" s="437" t="s">
        <v>401</v>
      </c>
      <c r="E76" s="440" t="s">
        <v>996</v>
      </c>
      <c r="F76" s="440" t="s">
        <v>344</v>
      </c>
      <c r="G76" s="441">
        <v>43330</v>
      </c>
      <c r="H76" s="441">
        <v>43330</v>
      </c>
      <c r="I76" s="441">
        <v>43695</v>
      </c>
      <c r="J76" s="441"/>
      <c r="K76" s="440">
        <f t="shared" ca="1" si="23"/>
        <v>2</v>
      </c>
      <c r="L76" s="440">
        <f t="shared" ca="1" si="24"/>
        <v>4</v>
      </c>
      <c r="M76" s="441"/>
      <c r="N76" s="441"/>
      <c r="O76" s="440" t="s">
        <v>35</v>
      </c>
      <c r="P76" s="440" t="s">
        <v>36</v>
      </c>
      <c r="Q76" s="440" t="s">
        <v>41</v>
      </c>
      <c r="R76" s="441">
        <v>36332</v>
      </c>
      <c r="S76" s="438">
        <f t="shared" ca="1" si="25"/>
        <v>21</v>
      </c>
      <c r="T76" s="438">
        <f t="shared" ca="1" si="26"/>
        <v>6</v>
      </c>
      <c r="U76" s="440" t="s">
        <v>152</v>
      </c>
      <c r="V76" s="440" t="s">
        <v>48</v>
      </c>
      <c r="W76" s="440" t="s">
        <v>48</v>
      </c>
      <c r="X76" s="440" t="s">
        <v>59</v>
      </c>
      <c r="Y76" s="440" t="s">
        <v>48</v>
      </c>
      <c r="Z76" s="440" t="s">
        <v>48</v>
      </c>
      <c r="AA76" s="440" t="s">
        <v>48</v>
      </c>
      <c r="AB76" s="440" t="s">
        <v>48</v>
      </c>
      <c r="AC76" s="440" t="s">
        <v>48</v>
      </c>
      <c r="AD76" s="440" t="s">
        <v>48</v>
      </c>
      <c r="AE76" s="440" t="s">
        <v>48</v>
      </c>
      <c r="AF76" s="440" t="s">
        <v>48</v>
      </c>
      <c r="AG76" s="365"/>
      <c r="AH76" s="365"/>
      <c r="AI76" s="365"/>
      <c r="AJ76" s="442" t="s">
        <v>568</v>
      </c>
      <c r="AK76" s="350" t="s">
        <v>569</v>
      </c>
      <c r="AL76" s="350" t="s">
        <v>569</v>
      </c>
      <c r="AM76" s="350"/>
      <c r="AN76" s="440"/>
      <c r="AO76" s="440" t="s">
        <v>48</v>
      </c>
      <c r="AP76" s="442" t="s">
        <v>567</v>
      </c>
      <c r="AQ76" s="362" t="s">
        <v>401</v>
      </c>
      <c r="AR76" s="347" t="s">
        <v>950</v>
      </c>
      <c r="AS76" s="440" t="s">
        <v>64</v>
      </c>
      <c r="AT76" s="440" t="s">
        <v>95</v>
      </c>
      <c r="AU76" s="395"/>
      <c r="AV76" s="436" t="s">
        <v>1869</v>
      </c>
    </row>
    <row r="77" spans="1:48">
      <c r="A77" s="524">
        <v>61</v>
      </c>
      <c r="B77" s="443">
        <v>18</v>
      </c>
      <c r="C77" s="440" t="s">
        <v>479</v>
      </c>
      <c r="D77" s="396" t="s">
        <v>500</v>
      </c>
      <c r="E77" s="440" t="s">
        <v>997</v>
      </c>
      <c r="F77" s="440" t="s">
        <v>344</v>
      </c>
      <c r="G77" s="441">
        <v>43475</v>
      </c>
      <c r="H77" s="441">
        <v>43475</v>
      </c>
      <c r="I77" s="441">
        <v>43840</v>
      </c>
      <c r="J77" s="441"/>
      <c r="K77" s="440">
        <f t="shared" ca="1" si="23"/>
        <v>1</v>
      </c>
      <c r="L77" s="440">
        <f t="shared" ca="1" si="24"/>
        <v>11</v>
      </c>
      <c r="M77" s="441"/>
      <c r="N77" s="441"/>
      <c r="O77" s="440" t="s">
        <v>35</v>
      </c>
      <c r="P77" s="440" t="s">
        <v>36</v>
      </c>
      <c r="Q77" s="440" t="s">
        <v>41</v>
      </c>
      <c r="R77" s="441">
        <v>35692</v>
      </c>
      <c r="S77" s="438">
        <f t="shared" ca="1" si="25"/>
        <v>23</v>
      </c>
      <c r="T77" s="438">
        <f t="shared" ca="1" si="26"/>
        <v>3</v>
      </c>
      <c r="U77" s="440" t="s">
        <v>68</v>
      </c>
      <c r="V77" s="440" t="s">
        <v>480</v>
      </c>
      <c r="W77" s="440" t="s">
        <v>48</v>
      </c>
      <c r="X77" s="440" t="s">
        <v>59</v>
      </c>
      <c r="Y77" s="440" t="s">
        <v>48</v>
      </c>
      <c r="Z77" s="440" t="s">
        <v>48</v>
      </c>
      <c r="AA77" s="440" t="s">
        <v>48</v>
      </c>
      <c r="AB77" s="440" t="s">
        <v>48</v>
      </c>
      <c r="AC77" s="440" t="s">
        <v>48</v>
      </c>
      <c r="AD77" s="440" t="s">
        <v>48</v>
      </c>
      <c r="AE77" s="440" t="s">
        <v>48</v>
      </c>
      <c r="AF77" s="440" t="s">
        <v>48</v>
      </c>
      <c r="AG77" s="365"/>
      <c r="AH77" s="365"/>
      <c r="AI77" s="365"/>
      <c r="AJ77" s="439" t="s">
        <v>497</v>
      </c>
      <c r="AK77" s="350" t="s">
        <v>498</v>
      </c>
      <c r="AL77" s="350" t="s">
        <v>498</v>
      </c>
      <c r="AM77" s="350"/>
      <c r="AN77" s="440"/>
      <c r="AO77" s="440" t="s">
        <v>48</v>
      </c>
      <c r="AP77" s="442" t="s">
        <v>499</v>
      </c>
      <c r="AQ77" s="397" t="s">
        <v>500</v>
      </c>
      <c r="AR77" s="347" t="s">
        <v>914</v>
      </c>
      <c r="AS77" s="440" t="s">
        <v>64</v>
      </c>
      <c r="AT77" s="440" t="s">
        <v>95</v>
      </c>
      <c r="AU77" s="395"/>
      <c r="AV77" s="436" t="s">
        <v>1869</v>
      </c>
    </row>
    <row r="78" spans="1:48">
      <c r="A78" s="524">
        <v>62</v>
      </c>
      <c r="B78" s="440">
        <v>19</v>
      </c>
      <c r="C78" s="440" t="s">
        <v>474</v>
      </c>
      <c r="D78" s="437" t="s">
        <v>473</v>
      </c>
      <c r="E78" s="440" t="s">
        <v>997</v>
      </c>
      <c r="F78" s="440" t="s">
        <v>344</v>
      </c>
      <c r="G78" s="441">
        <v>43474</v>
      </c>
      <c r="H78" s="441">
        <v>43474</v>
      </c>
      <c r="I78" s="441">
        <v>43839</v>
      </c>
      <c r="J78" s="441"/>
      <c r="K78" s="440">
        <f ca="1">DATEDIF(G78,$B$1,"Y")</f>
        <v>1</v>
      </c>
      <c r="L78" s="440">
        <f t="shared" ca="1" si="24"/>
        <v>11</v>
      </c>
      <c r="M78" s="441"/>
      <c r="N78" s="441"/>
      <c r="O78" s="440" t="s">
        <v>35</v>
      </c>
      <c r="P78" s="440" t="s">
        <v>36</v>
      </c>
      <c r="Q78" s="440" t="s">
        <v>41</v>
      </c>
      <c r="R78" s="441">
        <v>35122</v>
      </c>
      <c r="S78" s="438">
        <f t="shared" ca="1" si="25"/>
        <v>24</v>
      </c>
      <c r="T78" s="438">
        <f t="shared" ca="1" si="26"/>
        <v>10</v>
      </c>
      <c r="U78" s="440" t="s">
        <v>68</v>
      </c>
      <c r="V78" s="440" t="s">
        <v>364</v>
      </c>
      <c r="W78" s="440" t="s">
        <v>48</v>
      </c>
      <c r="X78" s="440" t="s">
        <v>59</v>
      </c>
      <c r="Y78" s="440" t="s">
        <v>48</v>
      </c>
      <c r="Z78" s="440" t="s">
        <v>48</v>
      </c>
      <c r="AA78" s="440" t="s">
        <v>48</v>
      </c>
      <c r="AB78" s="440" t="s">
        <v>48</v>
      </c>
      <c r="AC78" s="440" t="s">
        <v>48</v>
      </c>
      <c r="AD78" s="440" t="s">
        <v>48</v>
      </c>
      <c r="AE78" s="440" t="s">
        <v>48</v>
      </c>
      <c r="AF78" s="440" t="s">
        <v>48</v>
      </c>
      <c r="AG78" s="365"/>
      <c r="AH78" s="365"/>
      <c r="AI78" s="365"/>
      <c r="AJ78" s="439" t="s">
        <v>1279</v>
      </c>
      <c r="AK78" s="350" t="s">
        <v>475</v>
      </c>
      <c r="AL78" s="350" t="s">
        <v>475</v>
      </c>
      <c r="AM78" s="350"/>
      <c r="AN78" s="440"/>
      <c r="AO78" s="440" t="s">
        <v>48</v>
      </c>
      <c r="AP78" s="442" t="s">
        <v>477</v>
      </c>
      <c r="AQ78" s="362" t="s">
        <v>473</v>
      </c>
      <c r="AR78" s="347" t="s">
        <v>913</v>
      </c>
      <c r="AS78" s="440" t="s">
        <v>64</v>
      </c>
      <c r="AT78" s="440" t="s">
        <v>95</v>
      </c>
      <c r="AU78" s="395"/>
      <c r="AV78" s="436" t="s">
        <v>1869</v>
      </c>
    </row>
    <row r="79" spans="1:48">
      <c r="A79" s="524">
        <v>63</v>
      </c>
      <c r="B79" s="443">
        <v>20</v>
      </c>
      <c r="C79" s="378" t="s">
        <v>493</v>
      </c>
      <c r="D79" s="396" t="s">
        <v>492</v>
      </c>
      <c r="E79" s="440" t="s">
        <v>144</v>
      </c>
      <c r="F79" s="440" t="s">
        <v>344</v>
      </c>
      <c r="G79" s="441">
        <v>43481</v>
      </c>
      <c r="H79" s="441">
        <v>43481</v>
      </c>
      <c r="I79" s="441">
        <v>43846</v>
      </c>
      <c r="J79" s="441"/>
      <c r="K79" s="440">
        <f t="shared" ca="1" si="23"/>
        <v>1</v>
      </c>
      <c r="L79" s="440">
        <f ca="1">DATEDIF(G79,$B$1,"YM")</f>
        <v>11</v>
      </c>
      <c r="M79" s="441"/>
      <c r="N79" s="441"/>
      <c r="O79" s="440" t="s">
        <v>76</v>
      </c>
      <c r="P79" s="440" t="s">
        <v>36</v>
      </c>
      <c r="Q79" s="440" t="s">
        <v>41</v>
      </c>
      <c r="R79" s="441">
        <v>35716</v>
      </c>
      <c r="S79" s="438">
        <f t="shared" ca="1" si="25"/>
        <v>23</v>
      </c>
      <c r="T79" s="438">
        <f t="shared" ca="1" si="26"/>
        <v>2</v>
      </c>
      <c r="U79" s="440" t="s">
        <v>152</v>
      </c>
      <c r="V79" s="440" t="s">
        <v>153</v>
      </c>
      <c r="W79" s="440" t="s">
        <v>48</v>
      </c>
      <c r="X79" s="440" t="s">
        <v>59</v>
      </c>
      <c r="Y79" s="440" t="s">
        <v>48</v>
      </c>
      <c r="Z79" s="440" t="s">
        <v>48</v>
      </c>
      <c r="AA79" s="440" t="s">
        <v>48</v>
      </c>
      <c r="AB79" s="440" t="s">
        <v>48</v>
      </c>
      <c r="AC79" s="440" t="s">
        <v>48</v>
      </c>
      <c r="AD79" s="440" t="s">
        <v>48</v>
      </c>
      <c r="AE79" s="440" t="s">
        <v>48</v>
      </c>
      <c r="AF79" s="440" t="s">
        <v>48</v>
      </c>
      <c r="AG79" s="365"/>
      <c r="AH79" s="365"/>
      <c r="AI79" s="365"/>
      <c r="AJ79" s="439" t="s">
        <v>494</v>
      </c>
      <c r="AK79" s="350" t="s">
        <v>495</v>
      </c>
      <c r="AL79" s="350" t="s">
        <v>495</v>
      </c>
      <c r="AM79" s="350"/>
      <c r="AN79" s="440"/>
      <c r="AO79" s="440" t="s">
        <v>48</v>
      </c>
      <c r="AP79" s="442" t="s">
        <v>496</v>
      </c>
      <c r="AQ79" s="397" t="s">
        <v>492</v>
      </c>
      <c r="AR79" s="347" t="s">
        <v>915</v>
      </c>
      <c r="AS79" s="440" t="s">
        <v>64</v>
      </c>
      <c r="AT79" s="440" t="s">
        <v>95</v>
      </c>
      <c r="AU79" s="395"/>
      <c r="AV79" s="436" t="s">
        <v>1869</v>
      </c>
    </row>
    <row r="80" spans="1:48">
      <c r="A80" s="524">
        <v>64</v>
      </c>
      <c r="B80" s="440">
        <v>21</v>
      </c>
      <c r="C80" s="355">
        <v>9919040017</v>
      </c>
      <c r="D80" s="437" t="s">
        <v>590</v>
      </c>
      <c r="E80" s="440" t="s">
        <v>144</v>
      </c>
      <c r="F80" s="440" t="s">
        <v>344</v>
      </c>
      <c r="G80" s="441">
        <v>43556</v>
      </c>
      <c r="H80" s="441">
        <v>43556</v>
      </c>
      <c r="I80" s="441">
        <v>43922</v>
      </c>
      <c r="J80" s="441"/>
      <c r="K80" s="440">
        <f t="shared" ca="1" si="23"/>
        <v>1</v>
      </c>
      <c r="L80" s="440">
        <f t="shared" ca="1" si="24"/>
        <v>9</v>
      </c>
      <c r="M80" s="441"/>
      <c r="N80" s="441"/>
      <c r="O80" s="440" t="s">
        <v>76</v>
      </c>
      <c r="P80" s="440" t="s">
        <v>36</v>
      </c>
      <c r="Q80" s="440" t="s">
        <v>41</v>
      </c>
      <c r="R80" s="441">
        <v>34781</v>
      </c>
      <c r="S80" s="438">
        <f t="shared" ca="1" si="25"/>
        <v>25</v>
      </c>
      <c r="T80" s="438">
        <f t="shared" ca="1" si="26"/>
        <v>9</v>
      </c>
      <c r="U80" s="440" t="s">
        <v>68</v>
      </c>
      <c r="V80" s="440" t="s">
        <v>161</v>
      </c>
      <c r="W80" s="440" t="s">
        <v>44</v>
      </c>
      <c r="X80" s="440" t="s">
        <v>59</v>
      </c>
      <c r="Y80" s="440"/>
      <c r="Z80" s="441"/>
      <c r="AA80" s="440"/>
      <c r="AB80" s="441"/>
      <c r="AC80" s="438"/>
      <c r="AD80" s="440"/>
      <c r="AE80" s="440"/>
      <c r="AF80" s="440"/>
      <c r="AG80" s="365"/>
      <c r="AH80" s="365"/>
      <c r="AI80" s="365"/>
      <c r="AJ80" s="442" t="s">
        <v>591</v>
      </c>
      <c r="AK80" s="350" t="s">
        <v>592</v>
      </c>
      <c r="AL80" s="350" t="s">
        <v>592</v>
      </c>
      <c r="AM80" s="350"/>
      <c r="AN80" s="440"/>
      <c r="AO80" s="440" t="s">
        <v>48</v>
      </c>
      <c r="AP80" s="442" t="s">
        <v>593</v>
      </c>
      <c r="AQ80" s="439" t="s">
        <v>590</v>
      </c>
      <c r="AR80" s="347" t="s">
        <v>602</v>
      </c>
      <c r="AS80" s="440" t="s">
        <v>64</v>
      </c>
      <c r="AT80" s="440" t="s">
        <v>95</v>
      </c>
      <c r="AU80" s="380" t="s">
        <v>594</v>
      </c>
      <c r="AV80" s="436" t="s">
        <v>1869</v>
      </c>
    </row>
    <row r="81" spans="1:48">
      <c r="A81" s="524">
        <v>65</v>
      </c>
      <c r="B81" s="443">
        <v>22</v>
      </c>
      <c r="C81" s="440" t="s">
        <v>432</v>
      </c>
      <c r="D81" s="437" t="s">
        <v>427</v>
      </c>
      <c r="E81" s="440" t="s">
        <v>821</v>
      </c>
      <c r="F81" s="440" t="s">
        <v>344</v>
      </c>
      <c r="G81" s="441">
        <v>43435</v>
      </c>
      <c r="H81" s="441">
        <v>43435</v>
      </c>
      <c r="I81" s="441">
        <v>43800</v>
      </c>
      <c r="J81" s="441"/>
      <c r="K81" s="440">
        <f t="shared" ca="1" si="23"/>
        <v>2</v>
      </c>
      <c r="L81" s="440">
        <f t="shared" ca="1" si="24"/>
        <v>1</v>
      </c>
      <c r="M81" s="441"/>
      <c r="N81" s="441"/>
      <c r="O81" s="440" t="s">
        <v>35</v>
      </c>
      <c r="P81" s="440" t="s">
        <v>36</v>
      </c>
      <c r="Q81" s="440" t="s">
        <v>197</v>
      </c>
      <c r="R81" s="441">
        <v>35297</v>
      </c>
      <c r="S81" s="438">
        <f t="shared" ca="1" si="25"/>
        <v>24</v>
      </c>
      <c r="T81" s="438">
        <f t="shared" ca="1" si="26"/>
        <v>4</v>
      </c>
      <c r="U81" s="440" t="s">
        <v>152</v>
      </c>
      <c r="V81" s="440" t="s">
        <v>48</v>
      </c>
      <c r="W81" s="440" t="s">
        <v>48</v>
      </c>
      <c r="X81" s="440" t="s">
        <v>59</v>
      </c>
      <c r="Y81" s="440" t="s">
        <v>48</v>
      </c>
      <c r="Z81" s="440" t="s">
        <v>48</v>
      </c>
      <c r="AA81" s="440" t="s">
        <v>48</v>
      </c>
      <c r="AB81" s="440" t="s">
        <v>48</v>
      </c>
      <c r="AC81" s="440" t="s">
        <v>48</v>
      </c>
      <c r="AD81" s="440" t="s">
        <v>48</v>
      </c>
      <c r="AE81" s="440" t="s">
        <v>48</v>
      </c>
      <c r="AF81" s="440" t="s">
        <v>48</v>
      </c>
      <c r="AG81" s="365"/>
      <c r="AH81" s="365"/>
      <c r="AI81" s="365"/>
      <c r="AJ81" s="442" t="s">
        <v>2196</v>
      </c>
      <c r="AK81" s="350" t="s">
        <v>434</v>
      </c>
      <c r="AL81" s="350" t="s">
        <v>434</v>
      </c>
      <c r="AM81" s="350"/>
      <c r="AN81" s="440"/>
      <c r="AO81" s="440" t="s">
        <v>48</v>
      </c>
      <c r="AP81" s="442" t="s">
        <v>433</v>
      </c>
      <c r="AQ81" s="362" t="s">
        <v>427</v>
      </c>
      <c r="AR81" s="347" t="s">
        <v>951</v>
      </c>
      <c r="AS81" s="440" t="s">
        <v>64</v>
      </c>
      <c r="AT81" s="440" t="s">
        <v>95</v>
      </c>
      <c r="AU81" s="395"/>
      <c r="AV81" s="436" t="s">
        <v>1869</v>
      </c>
    </row>
    <row r="82" spans="1:48">
      <c r="A82" s="524">
        <v>66</v>
      </c>
      <c r="B82" s="440">
        <v>23</v>
      </c>
      <c r="C82" s="440" t="s">
        <v>430</v>
      </c>
      <c r="D82" s="437" t="s">
        <v>400</v>
      </c>
      <c r="E82" s="440" t="s">
        <v>821</v>
      </c>
      <c r="F82" s="440" t="s">
        <v>344</v>
      </c>
      <c r="G82" s="441">
        <v>43398</v>
      </c>
      <c r="H82" s="441">
        <v>43398</v>
      </c>
      <c r="I82" s="441">
        <v>72618</v>
      </c>
      <c r="J82" s="441"/>
      <c r="K82" s="440">
        <f t="shared" ca="1" si="23"/>
        <v>2</v>
      </c>
      <c r="L82" s="440">
        <f t="shared" ca="1" si="24"/>
        <v>2</v>
      </c>
      <c r="M82" s="441"/>
      <c r="N82" s="441"/>
      <c r="O82" s="440" t="s">
        <v>35</v>
      </c>
      <c r="P82" s="440" t="s">
        <v>36</v>
      </c>
      <c r="Q82" s="440" t="s">
        <v>41</v>
      </c>
      <c r="R82" s="441">
        <v>32168</v>
      </c>
      <c r="S82" s="438">
        <f t="shared" ca="1" si="25"/>
        <v>32</v>
      </c>
      <c r="T82" s="438">
        <f t="shared" ca="1" si="26"/>
        <v>11</v>
      </c>
      <c r="U82" s="440" t="s">
        <v>152</v>
      </c>
      <c r="V82" s="440" t="s">
        <v>48</v>
      </c>
      <c r="W82" s="440" t="s">
        <v>48</v>
      </c>
      <c r="X82" s="440" t="s">
        <v>45</v>
      </c>
      <c r="Y82" s="440" t="s">
        <v>563</v>
      </c>
      <c r="Z82" s="441">
        <v>34974</v>
      </c>
      <c r="AA82" s="440" t="s">
        <v>48</v>
      </c>
      <c r="AB82" s="440" t="s">
        <v>48</v>
      </c>
      <c r="AC82" s="440" t="s">
        <v>48</v>
      </c>
      <c r="AD82" s="440" t="s">
        <v>48</v>
      </c>
      <c r="AE82" s="440" t="s">
        <v>48</v>
      </c>
      <c r="AF82" s="440" t="s">
        <v>48</v>
      </c>
      <c r="AG82" s="365"/>
      <c r="AH82" s="365"/>
      <c r="AI82" s="365"/>
      <c r="AJ82" s="442" t="s">
        <v>564</v>
      </c>
      <c r="AK82" s="350" t="s">
        <v>565</v>
      </c>
      <c r="AL82" s="350" t="s">
        <v>565</v>
      </c>
      <c r="AM82" s="350"/>
      <c r="AN82" s="440"/>
      <c r="AO82" s="440" t="s">
        <v>48</v>
      </c>
      <c r="AP82" s="442" t="s">
        <v>566</v>
      </c>
      <c r="AQ82" s="362" t="s">
        <v>400</v>
      </c>
      <c r="AR82" s="347" t="s">
        <v>912</v>
      </c>
      <c r="AS82" s="440" t="s">
        <v>64</v>
      </c>
      <c r="AT82" s="440" t="s">
        <v>95</v>
      </c>
      <c r="AU82" s="395"/>
      <c r="AV82" s="436" t="s">
        <v>1869</v>
      </c>
    </row>
    <row r="83" spans="1:48">
      <c r="A83" s="524">
        <v>67</v>
      </c>
      <c r="B83" s="443">
        <v>24</v>
      </c>
      <c r="C83" s="398" t="s">
        <v>673</v>
      </c>
      <c r="D83" s="396" t="s">
        <v>672</v>
      </c>
      <c r="E83" s="440" t="s">
        <v>144</v>
      </c>
      <c r="F83" s="440" t="s">
        <v>344</v>
      </c>
      <c r="G83" s="441">
        <v>43637</v>
      </c>
      <c r="H83" s="441">
        <v>43637</v>
      </c>
      <c r="I83" s="441"/>
      <c r="J83" s="441"/>
      <c r="K83" s="440">
        <f t="shared" ca="1" si="23"/>
        <v>1</v>
      </c>
      <c r="L83" s="440">
        <f t="shared" ca="1" si="24"/>
        <v>6</v>
      </c>
      <c r="M83" s="441"/>
      <c r="N83" s="441"/>
      <c r="O83" s="440" t="s">
        <v>76</v>
      </c>
      <c r="P83" s="440" t="s">
        <v>36</v>
      </c>
      <c r="Q83" s="440" t="s">
        <v>41</v>
      </c>
      <c r="R83" s="441">
        <v>35963</v>
      </c>
      <c r="S83" s="438">
        <f t="shared" ca="1" si="25"/>
        <v>22</v>
      </c>
      <c r="T83" s="438">
        <f t="shared" ca="1" si="26"/>
        <v>6</v>
      </c>
      <c r="U83" s="440" t="s">
        <v>68</v>
      </c>
      <c r="V83" s="440" t="s">
        <v>677</v>
      </c>
      <c r="W83" s="440" t="s">
        <v>105</v>
      </c>
      <c r="X83" s="440" t="s">
        <v>59</v>
      </c>
      <c r="Y83" s="440" t="s">
        <v>48</v>
      </c>
      <c r="Z83" s="440" t="s">
        <v>48</v>
      </c>
      <c r="AA83" s="440" t="s">
        <v>48</v>
      </c>
      <c r="AB83" s="440" t="s">
        <v>48</v>
      </c>
      <c r="AC83" s="440" t="s">
        <v>48</v>
      </c>
      <c r="AD83" s="440" t="s">
        <v>48</v>
      </c>
      <c r="AE83" s="440" t="s">
        <v>48</v>
      </c>
      <c r="AF83" s="440" t="s">
        <v>48</v>
      </c>
      <c r="AG83" s="440" t="s">
        <v>48</v>
      </c>
      <c r="AH83" s="440" t="s">
        <v>48</v>
      </c>
      <c r="AI83" s="440" t="s">
        <v>48</v>
      </c>
      <c r="AJ83" s="442" t="s">
        <v>674</v>
      </c>
      <c r="AK83" s="350" t="s">
        <v>675</v>
      </c>
      <c r="AL83" s="350" t="s">
        <v>675</v>
      </c>
      <c r="AM83" s="350"/>
      <c r="AN83" s="440"/>
      <c r="AO83" s="440"/>
      <c r="AP83" s="442" t="s">
        <v>676</v>
      </c>
      <c r="AQ83" s="397" t="s">
        <v>672</v>
      </c>
      <c r="AR83" s="347" t="s">
        <v>685</v>
      </c>
      <c r="AS83" s="440" t="s">
        <v>64</v>
      </c>
      <c r="AT83" s="440" t="s">
        <v>95</v>
      </c>
      <c r="AU83" s="395"/>
      <c r="AV83" s="436" t="s">
        <v>1869</v>
      </c>
    </row>
    <row r="84" spans="1:48">
      <c r="A84" s="524">
        <v>68</v>
      </c>
      <c r="B84" s="440">
        <v>25</v>
      </c>
      <c r="C84" s="398" t="s">
        <v>689</v>
      </c>
      <c r="D84" s="437" t="s">
        <v>686</v>
      </c>
      <c r="E84" s="440" t="s">
        <v>144</v>
      </c>
      <c r="F84" s="440" t="s">
        <v>344</v>
      </c>
      <c r="G84" s="441">
        <v>43643</v>
      </c>
      <c r="H84" s="441">
        <v>43643</v>
      </c>
      <c r="I84" s="441"/>
      <c r="J84" s="441"/>
      <c r="K84" s="440">
        <f t="shared" ca="1" si="23"/>
        <v>1</v>
      </c>
      <c r="L84" s="440">
        <f t="shared" ca="1" si="24"/>
        <v>6</v>
      </c>
      <c r="M84" s="441"/>
      <c r="N84" s="441"/>
      <c r="O84" s="440" t="s">
        <v>76</v>
      </c>
      <c r="P84" s="440" t="s">
        <v>36</v>
      </c>
      <c r="Q84" s="440" t="s">
        <v>41</v>
      </c>
      <c r="R84" s="441">
        <v>34527</v>
      </c>
      <c r="S84" s="438">
        <f t="shared" ca="1" si="25"/>
        <v>26</v>
      </c>
      <c r="T84" s="438">
        <f t="shared" ca="1" si="26"/>
        <v>5</v>
      </c>
      <c r="U84" s="440" t="s">
        <v>152</v>
      </c>
      <c r="V84" s="440" t="s">
        <v>48</v>
      </c>
      <c r="W84" s="440" t="s">
        <v>44</v>
      </c>
      <c r="X84" s="440" t="s">
        <v>45</v>
      </c>
      <c r="Y84" s="440" t="s">
        <v>693</v>
      </c>
      <c r="Z84" s="441">
        <v>30882</v>
      </c>
      <c r="AA84" s="440" t="s">
        <v>694</v>
      </c>
      <c r="AB84" s="441">
        <v>43022</v>
      </c>
      <c r="AC84" s="438">
        <f ca="1">DATEDIF(AB84,$B$1,"Y")</f>
        <v>3</v>
      </c>
      <c r="AD84" s="440" t="s">
        <v>48</v>
      </c>
      <c r="AE84" s="440" t="s">
        <v>48</v>
      </c>
      <c r="AF84" s="440" t="s">
        <v>48</v>
      </c>
      <c r="AG84" s="440" t="s">
        <v>48</v>
      </c>
      <c r="AH84" s="440" t="s">
        <v>48</v>
      </c>
      <c r="AI84" s="440" t="s">
        <v>48</v>
      </c>
      <c r="AJ84" s="442" t="s">
        <v>695</v>
      </c>
      <c r="AK84" s="350" t="s">
        <v>696</v>
      </c>
      <c r="AL84" s="350" t="s">
        <v>696</v>
      </c>
      <c r="AM84" s="350"/>
      <c r="AN84" s="350"/>
      <c r="AO84" s="350"/>
      <c r="AP84" s="442" t="s">
        <v>703</v>
      </c>
      <c r="AQ84" s="439" t="s">
        <v>686</v>
      </c>
      <c r="AR84" s="347" t="s">
        <v>711</v>
      </c>
      <c r="AS84" s="440" t="s">
        <v>64</v>
      </c>
      <c r="AT84" s="440" t="s">
        <v>95</v>
      </c>
      <c r="AU84" s="395"/>
      <c r="AV84" s="436" t="s">
        <v>1869</v>
      </c>
    </row>
    <row r="85" spans="1:48">
      <c r="A85" s="524">
        <v>69</v>
      </c>
      <c r="B85" s="443">
        <v>26</v>
      </c>
      <c r="C85" s="398" t="s">
        <v>716</v>
      </c>
      <c r="D85" s="437" t="s">
        <v>715</v>
      </c>
      <c r="E85" s="440" t="s">
        <v>144</v>
      </c>
      <c r="F85" s="440" t="s">
        <v>344</v>
      </c>
      <c r="G85" s="441">
        <v>43651</v>
      </c>
      <c r="H85" s="441">
        <v>43651</v>
      </c>
      <c r="I85" s="441"/>
      <c r="J85" s="441"/>
      <c r="K85" s="440">
        <f t="shared" ca="1" si="23"/>
        <v>1</v>
      </c>
      <c r="L85" s="440">
        <f t="shared" ca="1" si="24"/>
        <v>6</v>
      </c>
      <c r="M85" s="441"/>
      <c r="N85" s="441"/>
      <c r="O85" s="440" t="s">
        <v>76</v>
      </c>
      <c r="P85" s="440" t="s">
        <v>36</v>
      </c>
      <c r="Q85" s="440" t="s">
        <v>41</v>
      </c>
      <c r="R85" s="441">
        <v>34416</v>
      </c>
      <c r="S85" s="438">
        <f t="shared" ca="1" si="25"/>
        <v>26</v>
      </c>
      <c r="T85" s="438">
        <f t="shared" ca="1" si="26"/>
        <v>9</v>
      </c>
      <c r="U85" s="440" t="s">
        <v>68</v>
      </c>
      <c r="V85" s="440" t="s">
        <v>677</v>
      </c>
      <c r="W85" s="440" t="s">
        <v>44</v>
      </c>
      <c r="X85" s="440" t="s">
        <v>59</v>
      </c>
      <c r="Y85" s="440" t="s">
        <v>48</v>
      </c>
      <c r="Z85" s="440" t="s">
        <v>48</v>
      </c>
      <c r="AA85" s="440" t="s">
        <v>48</v>
      </c>
      <c r="AB85" s="440" t="s">
        <v>48</v>
      </c>
      <c r="AC85" s="440" t="s">
        <v>48</v>
      </c>
      <c r="AD85" s="440" t="s">
        <v>48</v>
      </c>
      <c r="AE85" s="440" t="s">
        <v>48</v>
      </c>
      <c r="AF85" s="440" t="s">
        <v>48</v>
      </c>
      <c r="AG85" s="440" t="s">
        <v>48</v>
      </c>
      <c r="AH85" s="440" t="s">
        <v>48</v>
      </c>
      <c r="AI85" s="440" t="s">
        <v>48</v>
      </c>
      <c r="AJ85" s="442" t="s">
        <v>717</v>
      </c>
      <c r="AK85" s="350" t="s">
        <v>718</v>
      </c>
      <c r="AL85" s="350" t="s">
        <v>718</v>
      </c>
      <c r="AM85" s="350"/>
      <c r="AN85" s="350"/>
      <c r="AO85" s="350"/>
      <c r="AP85" s="442" t="s">
        <v>719</v>
      </c>
      <c r="AQ85" s="439" t="s">
        <v>715</v>
      </c>
      <c r="AR85" s="347" t="s">
        <v>762</v>
      </c>
      <c r="AS85" s="440" t="s">
        <v>64</v>
      </c>
      <c r="AT85" s="440" t="s">
        <v>95</v>
      </c>
      <c r="AU85" s="395"/>
      <c r="AV85" s="436" t="s">
        <v>1869</v>
      </c>
    </row>
    <row r="86" spans="1:48">
      <c r="A86" s="524">
        <v>70</v>
      </c>
      <c r="B86" s="440">
        <v>27</v>
      </c>
      <c r="C86" s="398" t="s">
        <v>726</v>
      </c>
      <c r="D86" s="437" t="s">
        <v>720</v>
      </c>
      <c r="E86" s="440" t="s">
        <v>998</v>
      </c>
      <c r="F86" s="440" t="s">
        <v>344</v>
      </c>
      <c r="G86" s="441">
        <v>43656</v>
      </c>
      <c r="H86" s="441">
        <v>43656</v>
      </c>
      <c r="I86" s="441"/>
      <c r="J86" s="441"/>
      <c r="K86" s="440">
        <f t="shared" ca="1" si="23"/>
        <v>1</v>
      </c>
      <c r="L86" s="440">
        <f t="shared" ca="1" si="24"/>
        <v>5</v>
      </c>
      <c r="M86" s="441"/>
      <c r="N86" s="441"/>
      <c r="O86" s="440" t="s">
        <v>35</v>
      </c>
      <c r="P86" s="440" t="s">
        <v>36</v>
      </c>
      <c r="Q86" s="440" t="s">
        <v>731</v>
      </c>
      <c r="R86" s="441">
        <v>33241</v>
      </c>
      <c r="S86" s="438">
        <f t="shared" ca="1" si="25"/>
        <v>30</v>
      </c>
      <c r="T86" s="438">
        <f t="shared" ca="1" si="26"/>
        <v>0</v>
      </c>
      <c r="U86" s="440" t="s">
        <v>152</v>
      </c>
      <c r="V86" s="440" t="s">
        <v>153</v>
      </c>
      <c r="W86" s="440"/>
      <c r="X86" s="440" t="s">
        <v>45</v>
      </c>
      <c r="Y86" s="440" t="s">
        <v>735</v>
      </c>
      <c r="Z86" s="441">
        <v>34274</v>
      </c>
      <c r="AA86" s="440" t="s">
        <v>736</v>
      </c>
      <c r="AB86" s="441">
        <v>43476</v>
      </c>
      <c r="AC86" s="438">
        <f ca="1">DATEDIF(AB86,$B$1,"Y")</f>
        <v>1</v>
      </c>
      <c r="AD86" s="440" t="s">
        <v>48</v>
      </c>
      <c r="AE86" s="440" t="s">
        <v>48</v>
      </c>
      <c r="AF86" s="440" t="s">
        <v>48</v>
      </c>
      <c r="AG86" s="440" t="s">
        <v>48</v>
      </c>
      <c r="AH86" s="440" t="s">
        <v>48</v>
      </c>
      <c r="AI86" s="440" t="s">
        <v>48</v>
      </c>
      <c r="AJ86" s="442" t="s">
        <v>741</v>
      </c>
      <c r="AK86" s="350" t="s">
        <v>746</v>
      </c>
      <c r="AL86" s="350" t="s">
        <v>746</v>
      </c>
      <c r="AM86" s="350"/>
      <c r="AN86" s="350"/>
      <c r="AO86" s="350"/>
      <c r="AP86" s="442" t="s">
        <v>747</v>
      </c>
      <c r="AQ86" s="439" t="s">
        <v>720</v>
      </c>
      <c r="AR86" s="347" t="s">
        <v>761</v>
      </c>
      <c r="AS86" s="440" t="s">
        <v>64</v>
      </c>
      <c r="AT86" s="440" t="s">
        <v>95</v>
      </c>
      <c r="AU86" s="395"/>
      <c r="AV86" s="436" t="s">
        <v>1869</v>
      </c>
    </row>
    <row r="87" spans="1:48">
      <c r="A87" s="524">
        <v>71</v>
      </c>
      <c r="B87" s="443">
        <v>28</v>
      </c>
      <c r="C87" s="398" t="s">
        <v>728</v>
      </c>
      <c r="D87" s="437" t="s">
        <v>723</v>
      </c>
      <c r="E87" s="440" t="s">
        <v>997</v>
      </c>
      <c r="F87" s="440" t="s">
        <v>344</v>
      </c>
      <c r="G87" s="441">
        <v>43656</v>
      </c>
      <c r="H87" s="441">
        <v>43656</v>
      </c>
      <c r="I87" s="441"/>
      <c r="J87" s="441"/>
      <c r="K87" s="440">
        <f t="shared" ca="1" si="23"/>
        <v>1</v>
      </c>
      <c r="L87" s="440">
        <f t="shared" ca="1" si="24"/>
        <v>5</v>
      </c>
      <c r="M87" s="441"/>
      <c r="N87" s="441"/>
      <c r="O87" s="440" t="s">
        <v>35</v>
      </c>
      <c r="P87" s="440" t="s">
        <v>36</v>
      </c>
      <c r="Q87" s="440" t="s">
        <v>41</v>
      </c>
      <c r="R87" s="441">
        <v>35573</v>
      </c>
      <c r="S87" s="438">
        <f t="shared" ca="1" si="25"/>
        <v>23</v>
      </c>
      <c r="T87" s="438">
        <f t="shared" ca="1" si="26"/>
        <v>7</v>
      </c>
      <c r="U87" s="440" t="s">
        <v>68</v>
      </c>
      <c r="V87" s="440" t="s">
        <v>733</v>
      </c>
      <c r="W87" s="440" t="s">
        <v>44</v>
      </c>
      <c r="X87" s="440" t="s">
        <v>59</v>
      </c>
      <c r="Y87" s="440" t="s">
        <v>48</v>
      </c>
      <c r="Z87" s="440" t="s">
        <v>48</v>
      </c>
      <c r="AA87" s="440" t="s">
        <v>48</v>
      </c>
      <c r="AB87" s="440" t="s">
        <v>48</v>
      </c>
      <c r="AC87" s="440" t="s">
        <v>48</v>
      </c>
      <c r="AD87" s="440" t="s">
        <v>48</v>
      </c>
      <c r="AE87" s="440" t="s">
        <v>48</v>
      </c>
      <c r="AF87" s="440" t="s">
        <v>48</v>
      </c>
      <c r="AG87" s="440" t="s">
        <v>48</v>
      </c>
      <c r="AH87" s="440" t="s">
        <v>48</v>
      </c>
      <c r="AI87" s="440" t="s">
        <v>48</v>
      </c>
      <c r="AJ87" s="442" t="s">
        <v>743</v>
      </c>
      <c r="AK87" s="350" t="s">
        <v>753</v>
      </c>
      <c r="AL87" s="350" t="s">
        <v>753</v>
      </c>
      <c r="AM87" s="350"/>
      <c r="AN87" s="350"/>
      <c r="AO87" s="350"/>
      <c r="AP87" s="442" t="s">
        <v>749</v>
      </c>
      <c r="AQ87" s="439" t="s">
        <v>723</v>
      </c>
      <c r="AR87" s="347" t="s">
        <v>760</v>
      </c>
      <c r="AS87" s="440" t="s">
        <v>64</v>
      </c>
      <c r="AT87" s="440" t="s">
        <v>95</v>
      </c>
      <c r="AU87" s="395"/>
      <c r="AV87" s="436" t="s">
        <v>1869</v>
      </c>
    </row>
    <row r="88" spans="1:48">
      <c r="A88" s="524">
        <v>72</v>
      </c>
      <c r="B88" s="440">
        <v>29</v>
      </c>
      <c r="C88" s="398" t="s">
        <v>729</v>
      </c>
      <c r="D88" s="437" t="s">
        <v>724</v>
      </c>
      <c r="E88" s="440" t="s">
        <v>998</v>
      </c>
      <c r="F88" s="440" t="s">
        <v>344</v>
      </c>
      <c r="G88" s="441">
        <v>43656</v>
      </c>
      <c r="H88" s="441">
        <v>43656</v>
      </c>
      <c r="I88" s="441"/>
      <c r="J88" s="441"/>
      <c r="K88" s="440">
        <f t="shared" ca="1" si="23"/>
        <v>1</v>
      </c>
      <c r="L88" s="440">
        <f t="shared" ca="1" si="24"/>
        <v>5</v>
      </c>
      <c r="M88" s="441"/>
      <c r="N88" s="441"/>
      <c r="O88" s="440" t="s">
        <v>35</v>
      </c>
      <c r="P88" s="440" t="s">
        <v>36</v>
      </c>
      <c r="Q88" s="440" t="s">
        <v>41</v>
      </c>
      <c r="R88" s="441">
        <v>33363</v>
      </c>
      <c r="S88" s="438">
        <f t="shared" ca="1" si="25"/>
        <v>29</v>
      </c>
      <c r="T88" s="438">
        <f t="shared" ca="1" si="26"/>
        <v>8</v>
      </c>
      <c r="U88" s="440" t="s">
        <v>68</v>
      </c>
      <c r="V88" s="440" t="s">
        <v>734</v>
      </c>
      <c r="W88" s="440"/>
      <c r="X88" s="440" t="s">
        <v>45</v>
      </c>
      <c r="Y88" s="440" t="s">
        <v>739</v>
      </c>
      <c r="Z88" s="441">
        <v>33257</v>
      </c>
      <c r="AA88" s="440" t="s">
        <v>740</v>
      </c>
      <c r="AB88" s="441">
        <v>42535</v>
      </c>
      <c r="AC88" s="438">
        <f ca="1">DATEDIF(AB88,$B$1,"Y")</f>
        <v>4</v>
      </c>
      <c r="AD88" s="440" t="s">
        <v>48</v>
      </c>
      <c r="AE88" s="440" t="s">
        <v>48</v>
      </c>
      <c r="AF88" s="440" t="s">
        <v>48</v>
      </c>
      <c r="AG88" s="440" t="s">
        <v>48</v>
      </c>
      <c r="AH88" s="440" t="s">
        <v>48</v>
      </c>
      <c r="AI88" s="440" t="s">
        <v>48</v>
      </c>
      <c r="AJ88" s="442" t="s">
        <v>744</v>
      </c>
      <c r="AK88" s="350" t="s">
        <v>754</v>
      </c>
      <c r="AL88" s="350" t="s">
        <v>754</v>
      </c>
      <c r="AM88" s="350"/>
      <c r="AN88" s="350"/>
      <c r="AO88" s="350"/>
      <c r="AP88" s="442" t="s">
        <v>750</v>
      </c>
      <c r="AQ88" s="439" t="s">
        <v>724</v>
      </c>
      <c r="AR88" s="347" t="s">
        <v>758</v>
      </c>
      <c r="AS88" s="440" t="s">
        <v>64</v>
      </c>
      <c r="AT88" s="440" t="s">
        <v>95</v>
      </c>
      <c r="AU88" s="395"/>
      <c r="AV88" s="436" t="s">
        <v>1869</v>
      </c>
    </row>
    <row r="89" spans="1:48">
      <c r="A89" s="524">
        <v>73</v>
      </c>
      <c r="B89" s="443">
        <v>30</v>
      </c>
      <c r="C89" s="398" t="s">
        <v>730</v>
      </c>
      <c r="D89" s="437" t="s">
        <v>756</v>
      </c>
      <c r="E89" s="440" t="s">
        <v>144</v>
      </c>
      <c r="F89" s="440" t="s">
        <v>344</v>
      </c>
      <c r="G89" s="441">
        <v>43656</v>
      </c>
      <c r="H89" s="441">
        <v>43656</v>
      </c>
      <c r="I89" s="441"/>
      <c r="J89" s="441"/>
      <c r="K89" s="440">
        <f t="shared" ca="1" si="23"/>
        <v>1</v>
      </c>
      <c r="L89" s="440">
        <f t="shared" ca="1" si="24"/>
        <v>5</v>
      </c>
      <c r="M89" s="441"/>
      <c r="N89" s="441"/>
      <c r="O89" s="440" t="s">
        <v>76</v>
      </c>
      <c r="P89" s="440" t="s">
        <v>36</v>
      </c>
      <c r="Q89" s="440" t="s">
        <v>41</v>
      </c>
      <c r="R89" s="441">
        <v>35973</v>
      </c>
      <c r="S89" s="438">
        <f t="shared" ca="1" si="25"/>
        <v>22</v>
      </c>
      <c r="T89" s="438">
        <f t="shared" ca="1" si="26"/>
        <v>6</v>
      </c>
      <c r="U89" s="440" t="s">
        <v>68</v>
      </c>
      <c r="V89" s="440" t="s">
        <v>677</v>
      </c>
      <c r="W89" s="440" t="s">
        <v>44</v>
      </c>
      <c r="X89" s="440" t="s">
        <v>59</v>
      </c>
      <c r="Y89" s="440" t="s">
        <v>48</v>
      </c>
      <c r="Z89" s="440" t="s">
        <v>48</v>
      </c>
      <c r="AA89" s="440" t="s">
        <v>48</v>
      </c>
      <c r="AB89" s="440" t="s">
        <v>48</v>
      </c>
      <c r="AC89" s="440" t="s">
        <v>48</v>
      </c>
      <c r="AD89" s="440" t="s">
        <v>48</v>
      </c>
      <c r="AE89" s="440" t="s">
        <v>48</v>
      </c>
      <c r="AF89" s="440" t="s">
        <v>48</v>
      </c>
      <c r="AG89" s="440" t="s">
        <v>48</v>
      </c>
      <c r="AH89" s="440" t="s">
        <v>48</v>
      </c>
      <c r="AI89" s="440" t="s">
        <v>48</v>
      </c>
      <c r="AJ89" s="442" t="s">
        <v>745</v>
      </c>
      <c r="AK89" s="350" t="s">
        <v>755</v>
      </c>
      <c r="AL89" s="350" t="s">
        <v>755</v>
      </c>
      <c r="AM89" s="350"/>
      <c r="AN89" s="350"/>
      <c r="AO89" s="350"/>
      <c r="AP89" s="442" t="s">
        <v>751</v>
      </c>
      <c r="AQ89" s="439" t="s">
        <v>725</v>
      </c>
      <c r="AR89" s="347" t="s">
        <v>757</v>
      </c>
      <c r="AS89" s="440" t="s">
        <v>64</v>
      </c>
      <c r="AT89" s="440" t="s">
        <v>95</v>
      </c>
      <c r="AU89" s="395"/>
    </row>
    <row r="90" spans="1:48">
      <c r="A90" s="524">
        <v>74</v>
      </c>
      <c r="B90" s="440">
        <v>31</v>
      </c>
      <c r="C90" s="402">
        <v>9919070035</v>
      </c>
      <c r="D90" s="437" t="s">
        <v>763</v>
      </c>
      <c r="E90" s="440" t="s">
        <v>721</v>
      </c>
      <c r="F90" s="440" t="s">
        <v>344</v>
      </c>
      <c r="G90" s="441">
        <v>43668</v>
      </c>
      <c r="H90" s="441">
        <v>43668</v>
      </c>
      <c r="I90" s="441"/>
      <c r="J90" s="441"/>
      <c r="K90" s="440">
        <f t="shared" ca="1" si="23"/>
        <v>1</v>
      </c>
      <c r="L90" s="440">
        <f t="shared" ca="1" si="24"/>
        <v>5</v>
      </c>
      <c r="M90" s="441"/>
      <c r="N90" s="441"/>
      <c r="O90" s="440" t="s">
        <v>35</v>
      </c>
      <c r="P90" s="440" t="s">
        <v>36</v>
      </c>
      <c r="Q90" s="440" t="s">
        <v>41</v>
      </c>
      <c r="R90" s="441">
        <v>33288</v>
      </c>
      <c r="S90" s="438">
        <f t="shared" ca="1" si="25"/>
        <v>29</v>
      </c>
      <c r="T90" s="438">
        <f t="shared" ca="1" si="26"/>
        <v>10</v>
      </c>
      <c r="U90" s="440" t="s">
        <v>152</v>
      </c>
      <c r="V90" s="440"/>
      <c r="W90" s="440" t="s">
        <v>105</v>
      </c>
      <c r="X90" s="440" t="s">
        <v>45</v>
      </c>
      <c r="Y90" s="440" t="s">
        <v>764</v>
      </c>
      <c r="Z90" s="440" t="s">
        <v>48</v>
      </c>
      <c r="AA90" s="440" t="s">
        <v>48</v>
      </c>
      <c r="AB90" s="440" t="s">
        <v>48</v>
      </c>
      <c r="AC90" s="440" t="s">
        <v>48</v>
      </c>
      <c r="AD90" s="440" t="s">
        <v>48</v>
      </c>
      <c r="AE90" s="440" t="s">
        <v>48</v>
      </c>
      <c r="AF90" s="440" t="s">
        <v>48</v>
      </c>
      <c r="AG90" s="440" t="s">
        <v>48</v>
      </c>
      <c r="AH90" s="440" t="s">
        <v>48</v>
      </c>
      <c r="AI90" s="440" t="s">
        <v>48</v>
      </c>
      <c r="AJ90" s="442" t="s">
        <v>765</v>
      </c>
      <c r="AK90" s="350" t="s">
        <v>766</v>
      </c>
      <c r="AL90" s="350" t="s">
        <v>766</v>
      </c>
      <c r="AM90" s="350"/>
      <c r="AN90" s="350"/>
      <c r="AO90" s="350"/>
      <c r="AP90" s="442" t="s">
        <v>767</v>
      </c>
      <c r="AQ90" s="439" t="s">
        <v>763</v>
      </c>
      <c r="AR90" s="347" t="s">
        <v>806</v>
      </c>
      <c r="AS90" s="440" t="s">
        <v>64</v>
      </c>
      <c r="AT90" s="440" t="s">
        <v>95</v>
      </c>
      <c r="AU90" s="395"/>
      <c r="AV90" s="436" t="s">
        <v>1869</v>
      </c>
    </row>
    <row r="91" spans="1:48">
      <c r="A91" s="524">
        <v>75</v>
      </c>
      <c r="B91" s="443">
        <v>32</v>
      </c>
      <c r="C91" s="402">
        <v>9919080040</v>
      </c>
      <c r="D91" s="437" t="s">
        <v>814</v>
      </c>
      <c r="E91" s="440" t="s">
        <v>144</v>
      </c>
      <c r="F91" s="440" t="s">
        <v>344</v>
      </c>
      <c r="G91" s="441">
        <v>43684</v>
      </c>
      <c r="H91" s="441">
        <v>43684</v>
      </c>
      <c r="I91" s="441"/>
      <c r="J91" s="441"/>
      <c r="K91" s="440">
        <f t="shared" ca="1" si="23"/>
        <v>1</v>
      </c>
      <c r="L91" s="440">
        <f t="shared" ca="1" si="24"/>
        <v>4</v>
      </c>
      <c r="M91" s="441"/>
      <c r="N91" s="441"/>
      <c r="O91" s="440" t="s">
        <v>76</v>
      </c>
      <c r="P91" s="440" t="s">
        <v>36</v>
      </c>
      <c r="Q91" s="440" t="s">
        <v>819</v>
      </c>
      <c r="R91" s="441">
        <v>35051</v>
      </c>
      <c r="S91" s="438">
        <f t="shared" ca="1" si="25"/>
        <v>25</v>
      </c>
      <c r="T91" s="438">
        <f t="shared" ca="1" si="26"/>
        <v>0</v>
      </c>
      <c r="U91" s="440" t="s">
        <v>68</v>
      </c>
      <c r="V91" s="440"/>
      <c r="W91" s="440" t="s">
        <v>224</v>
      </c>
      <c r="X91" s="440" t="s">
        <v>59</v>
      </c>
      <c r="Y91" s="440" t="s">
        <v>48</v>
      </c>
      <c r="Z91" s="440" t="s">
        <v>48</v>
      </c>
      <c r="AA91" s="440" t="s">
        <v>48</v>
      </c>
      <c r="AB91" s="440" t="s">
        <v>48</v>
      </c>
      <c r="AC91" s="440" t="s">
        <v>48</v>
      </c>
      <c r="AD91" s="440" t="s">
        <v>48</v>
      </c>
      <c r="AE91" s="440" t="s">
        <v>48</v>
      </c>
      <c r="AF91" s="440" t="s">
        <v>48</v>
      </c>
      <c r="AG91" s="440" t="s">
        <v>48</v>
      </c>
      <c r="AH91" s="440" t="s">
        <v>48</v>
      </c>
      <c r="AI91" s="440" t="s">
        <v>48</v>
      </c>
      <c r="AJ91" s="442" t="s">
        <v>815</v>
      </c>
      <c r="AK91" s="350" t="s">
        <v>816</v>
      </c>
      <c r="AL91" s="350" t="s">
        <v>816</v>
      </c>
      <c r="AM91" s="350"/>
      <c r="AN91" s="350"/>
      <c r="AO91" s="350"/>
      <c r="AP91" s="442" t="s">
        <v>817</v>
      </c>
      <c r="AQ91" s="439" t="s">
        <v>813</v>
      </c>
      <c r="AR91" s="347" t="s">
        <v>818</v>
      </c>
      <c r="AS91" s="440" t="s">
        <v>64</v>
      </c>
      <c r="AT91" s="440" t="s">
        <v>95</v>
      </c>
      <c r="AU91" s="395"/>
      <c r="AV91" s="436" t="s">
        <v>1869</v>
      </c>
    </row>
    <row r="92" spans="1:48">
      <c r="A92" s="524">
        <v>76</v>
      </c>
      <c r="B92" s="440">
        <v>33</v>
      </c>
      <c r="C92" s="439" t="s">
        <v>2263</v>
      </c>
      <c r="D92" s="437" t="s">
        <v>1034</v>
      </c>
      <c r="E92" s="439" t="s">
        <v>1036</v>
      </c>
      <c r="F92" s="440" t="s">
        <v>344</v>
      </c>
      <c r="G92" s="441">
        <v>43809</v>
      </c>
      <c r="H92" s="441">
        <v>43810</v>
      </c>
      <c r="I92" s="439"/>
      <c r="J92" s="439"/>
      <c r="K92" s="440">
        <f t="shared" ca="1" si="23"/>
        <v>1</v>
      </c>
      <c r="L92" s="440">
        <f t="shared" ca="1" si="24"/>
        <v>0</v>
      </c>
      <c r="M92" s="439"/>
      <c r="N92" s="439"/>
      <c r="O92" s="440" t="s">
        <v>35</v>
      </c>
      <c r="P92" s="439" t="s">
        <v>36</v>
      </c>
      <c r="Q92" s="439" t="s">
        <v>1037</v>
      </c>
      <c r="R92" s="441">
        <v>32885</v>
      </c>
      <c r="S92" s="438">
        <f t="shared" ca="1" si="25"/>
        <v>30</v>
      </c>
      <c r="T92" s="438">
        <f t="shared" ca="1" si="26"/>
        <v>11</v>
      </c>
      <c r="U92" s="439" t="s">
        <v>152</v>
      </c>
      <c r="V92" s="439" t="s">
        <v>153</v>
      </c>
      <c r="W92" s="439" t="s">
        <v>44</v>
      </c>
      <c r="X92" s="440" t="s">
        <v>45</v>
      </c>
      <c r="Y92" s="439" t="s">
        <v>1038</v>
      </c>
      <c r="Z92" s="441">
        <v>34237</v>
      </c>
      <c r="AA92" s="439" t="s">
        <v>1039</v>
      </c>
      <c r="AB92" s="441">
        <v>43342</v>
      </c>
      <c r="AC92" s="438">
        <f ca="1">DATEDIF(AB92,$B$1,"Y")</f>
        <v>2</v>
      </c>
      <c r="AD92" s="440" t="s">
        <v>48</v>
      </c>
      <c r="AE92" s="440" t="s">
        <v>48</v>
      </c>
      <c r="AF92" s="440" t="s">
        <v>48</v>
      </c>
      <c r="AG92" s="440" t="s">
        <v>48</v>
      </c>
      <c r="AH92" s="440" t="s">
        <v>48</v>
      </c>
      <c r="AI92" s="440" t="s">
        <v>48</v>
      </c>
      <c r="AJ92" s="442" t="s">
        <v>1040</v>
      </c>
      <c r="AK92" s="437" t="s">
        <v>1041</v>
      </c>
      <c r="AL92" s="437" t="s">
        <v>1041</v>
      </c>
      <c r="AM92" s="439"/>
      <c r="AN92" s="439"/>
      <c r="AO92" s="439"/>
      <c r="AP92" s="442" t="s">
        <v>1042</v>
      </c>
      <c r="AQ92" s="439" t="s">
        <v>1034</v>
      </c>
      <c r="AR92" s="442" t="s">
        <v>1098</v>
      </c>
      <c r="AS92" s="440" t="s">
        <v>64</v>
      </c>
      <c r="AT92" s="440" t="s">
        <v>95</v>
      </c>
      <c r="AU92" s="439"/>
      <c r="AV92" s="436" t="s">
        <v>1869</v>
      </c>
    </row>
    <row r="93" spans="1:48">
      <c r="A93" s="524">
        <v>77</v>
      </c>
      <c r="B93" s="443">
        <v>34</v>
      </c>
      <c r="C93" s="439" t="s">
        <v>2264</v>
      </c>
      <c r="D93" s="437" t="s">
        <v>1308</v>
      </c>
      <c r="E93" s="439" t="s">
        <v>1310</v>
      </c>
      <c r="F93" s="440" t="s">
        <v>344</v>
      </c>
      <c r="G93" s="441">
        <v>43851</v>
      </c>
      <c r="H93" s="441">
        <v>43851</v>
      </c>
      <c r="I93" s="439"/>
      <c r="J93" s="439"/>
      <c r="K93" s="440">
        <f t="shared" ca="1" si="23"/>
        <v>0</v>
      </c>
      <c r="L93" s="440">
        <f t="shared" ca="1" si="24"/>
        <v>11</v>
      </c>
      <c r="M93" s="439"/>
      <c r="N93" s="439"/>
      <c r="O93" s="440" t="s">
        <v>35</v>
      </c>
      <c r="P93" s="439" t="s">
        <v>36</v>
      </c>
      <c r="Q93" s="439" t="s">
        <v>41</v>
      </c>
      <c r="R93" s="441">
        <v>36365</v>
      </c>
      <c r="S93" s="438">
        <f t="shared" ca="1" si="25"/>
        <v>21</v>
      </c>
      <c r="T93" s="438">
        <f t="shared" ca="1" si="26"/>
        <v>5</v>
      </c>
      <c r="U93" s="439" t="s">
        <v>68</v>
      </c>
      <c r="V93" s="439" t="s">
        <v>1313</v>
      </c>
      <c r="W93" s="439" t="s">
        <v>105</v>
      </c>
      <c r="X93" s="440" t="s">
        <v>45</v>
      </c>
      <c r="Y93" s="439"/>
      <c r="Z93" s="441"/>
      <c r="AA93" s="439"/>
      <c r="AB93" s="441"/>
      <c r="AC93" s="438"/>
      <c r="AD93" s="440"/>
      <c r="AE93" s="440"/>
      <c r="AF93" s="440"/>
      <c r="AG93" s="440"/>
      <c r="AH93" s="440"/>
      <c r="AI93" s="440"/>
      <c r="AJ93" s="442" t="s">
        <v>1315</v>
      </c>
      <c r="AK93" s="437" t="s">
        <v>1316</v>
      </c>
      <c r="AL93" s="437" t="s">
        <v>1316</v>
      </c>
      <c r="AM93" s="439"/>
      <c r="AN93" s="439"/>
      <c r="AO93" s="439"/>
      <c r="AP93" s="442" t="s">
        <v>1317</v>
      </c>
      <c r="AQ93" s="439" t="s">
        <v>1308</v>
      </c>
      <c r="AR93" s="442" t="s">
        <v>1331</v>
      </c>
      <c r="AS93" s="440" t="s">
        <v>64</v>
      </c>
      <c r="AT93" s="440" t="s">
        <v>95</v>
      </c>
      <c r="AU93" s="439"/>
    </row>
    <row r="94" spans="1:48">
      <c r="A94" s="524">
        <v>78</v>
      </c>
      <c r="B94" s="440">
        <v>35</v>
      </c>
      <c r="C94" s="439" t="s">
        <v>2265</v>
      </c>
      <c r="D94" s="437" t="s">
        <v>1312</v>
      </c>
      <c r="E94" s="439" t="s">
        <v>1310</v>
      </c>
      <c r="F94" s="440" t="s">
        <v>344</v>
      </c>
      <c r="G94" s="441">
        <v>43851</v>
      </c>
      <c r="H94" s="441">
        <v>43851</v>
      </c>
      <c r="I94" s="439"/>
      <c r="J94" s="439"/>
      <c r="K94" s="440">
        <f t="shared" ca="1" si="23"/>
        <v>0</v>
      </c>
      <c r="L94" s="440">
        <f t="shared" ca="1" si="24"/>
        <v>11</v>
      </c>
      <c r="M94" s="439"/>
      <c r="N94" s="439"/>
      <c r="O94" s="440" t="s">
        <v>35</v>
      </c>
      <c r="P94" s="439" t="s">
        <v>36</v>
      </c>
      <c r="Q94" s="439" t="s">
        <v>41</v>
      </c>
      <c r="R94" s="441">
        <v>35559</v>
      </c>
      <c r="S94" s="438">
        <f t="shared" ca="1" si="25"/>
        <v>23</v>
      </c>
      <c r="T94" s="438">
        <f t="shared" ca="1" si="26"/>
        <v>7</v>
      </c>
      <c r="U94" s="439" t="s">
        <v>68</v>
      </c>
      <c r="V94" s="439" t="s">
        <v>1314</v>
      </c>
      <c r="W94" s="439"/>
      <c r="X94" s="440" t="s">
        <v>45</v>
      </c>
      <c r="Y94" s="439"/>
      <c r="Z94" s="441"/>
      <c r="AA94" s="439"/>
      <c r="AB94" s="441"/>
      <c r="AC94" s="438"/>
      <c r="AD94" s="440"/>
      <c r="AE94" s="440"/>
      <c r="AF94" s="440"/>
      <c r="AG94" s="440"/>
      <c r="AH94" s="440"/>
      <c r="AI94" s="440"/>
      <c r="AJ94" s="442" t="s">
        <v>1321</v>
      </c>
      <c r="AK94" s="437" t="s">
        <v>1322</v>
      </c>
      <c r="AL94" s="437" t="s">
        <v>1322</v>
      </c>
      <c r="AM94" s="439"/>
      <c r="AN94" s="439"/>
      <c r="AO94" s="439"/>
      <c r="AP94" s="442" t="s">
        <v>1323</v>
      </c>
      <c r="AQ94" s="439" t="s">
        <v>1312</v>
      </c>
      <c r="AR94" s="442" t="s">
        <v>1329</v>
      </c>
      <c r="AS94" s="440" t="s">
        <v>64</v>
      </c>
      <c r="AT94" s="440" t="s">
        <v>95</v>
      </c>
      <c r="AU94" s="439"/>
      <c r="AV94" s="436" t="s">
        <v>1869</v>
      </c>
    </row>
    <row r="95" spans="1:48">
      <c r="A95" s="524">
        <v>79</v>
      </c>
      <c r="B95" s="443">
        <v>36</v>
      </c>
      <c r="C95" s="468" t="s">
        <v>2266</v>
      </c>
      <c r="D95" s="531" t="s">
        <v>1046</v>
      </c>
      <c r="E95" s="372" t="s">
        <v>821</v>
      </c>
      <c r="F95" s="372" t="s">
        <v>344</v>
      </c>
      <c r="G95" s="389">
        <v>43811</v>
      </c>
      <c r="H95" s="389">
        <v>43811</v>
      </c>
      <c r="I95" s="389"/>
      <c r="J95" s="389"/>
      <c r="K95" s="372">
        <f t="shared" ca="1" si="23"/>
        <v>1</v>
      </c>
      <c r="L95" s="372">
        <f t="shared" ca="1" si="24"/>
        <v>0</v>
      </c>
      <c r="M95" s="389"/>
      <c r="N95" s="389"/>
      <c r="O95" s="372" t="s">
        <v>35</v>
      </c>
      <c r="P95" s="372" t="s">
        <v>36</v>
      </c>
      <c r="Q95" s="372" t="s">
        <v>41</v>
      </c>
      <c r="R95" s="389">
        <v>35537</v>
      </c>
      <c r="S95" s="452">
        <f t="shared" ca="1" si="25"/>
        <v>23</v>
      </c>
      <c r="T95" s="452">
        <f t="shared" ca="1" si="26"/>
        <v>8</v>
      </c>
      <c r="U95" s="372" t="s">
        <v>68</v>
      </c>
      <c r="V95" s="372" t="s">
        <v>364</v>
      </c>
      <c r="W95" s="372"/>
      <c r="X95" s="372" t="s">
        <v>59</v>
      </c>
      <c r="Y95" s="372"/>
      <c r="Z95" s="389"/>
      <c r="AA95" s="372"/>
      <c r="AB95" s="389"/>
      <c r="AC95" s="452"/>
      <c r="AD95" s="372"/>
      <c r="AE95" s="372"/>
      <c r="AF95" s="372"/>
      <c r="AG95" s="372"/>
      <c r="AH95" s="372"/>
      <c r="AI95" s="372"/>
      <c r="AJ95" s="391" t="s">
        <v>1055</v>
      </c>
      <c r="AK95" s="392" t="s">
        <v>1056</v>
      </c>
      <c r="AL95" s="392" t="s">
        <v>1056</v>
      </c>
      <c r="AM95" s="392"/>
      <c r="AN95" s="372"/>
      <c r="AO95" s="372"/>
      <c r="AP95" s="391" t="s">
        <v>1057</v>
      </c>
      <c r="AQ95" s="532" t="s">
        <v>1046</v>
      </c>
      <c r="AR95" s="425" t="s">
        <v>1088</v>
      </c>
      <c r="AS95" s="372" t="s">
        <v>64</v>
      </c>
      <c r="AT95" s="372" t="s">
        <v>95</v>
      </c>
      <c r="AU95" s="426"/>
      <c r="AV95" s="436" t="s">
        <v>1869</v>
      </c>
    </row>
    <row r="96" spans="1:48">
      <c r="A96" s="524">
        <v>80</v>
      </c>
      <c r="B96" s="440">
        <v>37</v>
      </c>
      <c r="C96" s="468">
        <v>992070135</v>
      </c>
      <c r="D96" s="531" t="s">
        <v>1542</v>
      </c>
      <c r="E96" s="440" t="s">
        <v>992</v>
      </c>
      <c r="F96" s="372" t="s">
        <v>344</v>
      </c>
      <c r="G96" s="389">
        <v>44038</v>
      </c>
      <c r="H96" s="389">
        <v>44038</v>
      </c>
      <c r="I96" s="389"/>
      <c r="J96" s="389"/>
      <c r="K96" s="372">
        <f t="shared" ca="1" si="23"/>
        <v>0</v>
      </c>
      <c r="L96" s="372">
        <f t="shared" ca="1" si="24"/>
        <v>5</v>
      </c>
      <c r="M96" s="389"/>
      <c r="N96" s="389"/>
      <c r="O96" s="372" t="s">
        <v>35</v>
      </c>
      <c r="P96" s="372" t="s">
        <v>36</v>
      </c>
      <c r="Q96" s="372" t="s">
        <v>41</v>
      </c>
      <c r="R96" s="389">
        <v>34691</v>
      </c>
      <c r="S96" s="452">
        <f t="shared" ca="1" si="25"/>
        <v>26</v>
      </c>
      <c r="T96" s="452">
        <f t="shared" ca="1" si="26"/>
        <v>0</v>
      </c>
      <c r="U96" s="372" t="s">
        <v>68</v>
      </c>
      <c r="V96" s="372" t="s">
        <v>677</v>
      </c>
      <c r="W96" s="372" t="s">
        <v>1365</v>
      </c>
      <c r="X96" s="372" t="s">
        <v>59</v>
      </c>
      <c r="Y96" s="372"/>
      <c r="Z96" s="389"/>
      <c r="AA96" s="372"/>
      <c r="AB96" s="389"/>
      <c r="AC96" s="452"/>
      <c r="AD96" s="372"/>
      <c r="AE96" s="372"/>
      <c r="AF96" s="372"/>
      <c r="AG96" s="372"/>
      <c r="AH96" s="372"/>
      <c r="AI96" s="372"/>
      <c r="AJ96" s="391" t="s">
        <v>1543</v>
      </c>
      <c r="AK96" s="392" t="s">
        <v>1544</v>
      </c>
      <c r="AL96" s="392" t="s">
        <v>1544</v>
      </c>
      <c r="AM96" s="392"/>
      <c r="AN96" s="372"/>
      <c r="AO96" s="372"/>
      <c r="AP96" s="391" t="s">
        <v>1545</v>
      </c>
      <c r="AQ96" s="532" t="s">
        <v>1542</v>
      </c>
      <c r="AR96" s="425" t="s">
        <v>1591</v>
      </c>
      <c r="AS96" s="372" t="s">
        <v>64</v>
      </c>
      <c r="AT96" s="372" t="s">
        <v>95</v>
      </c>
      <c r="AU96" s="426"/>
    </row>
    <row r="97" spans="1:48">
      <c r="A97" s="524">
        <v>81</v>
      </c>
      <c r="B97" s="443">
        <v>38</v>
      </c>
      <c r="C97" s="468" t="s">
        <v>1868</v>
      </c>
      <c r="D97" s="607" t="s">
        <v>1862</v>
      </c>
      <c r="E97" s="440" t="s">
        <v>1863</v>
      </c>
      <c r="F97" s="372" t="s">
        <v>344</v>
      </c>
      <c r="G97" s="389">
        <v>44151</v>
      </c>
      <c r="H97" s="389">
        <v>44151</v>
      </c>
      <c r="I97" s="389"/>
      <c r="J97" s="389"/>
      <c r="K97" s="372">
        <f t="shared" ca="1" si="23"/>
        <v>0</v>
      </c>
      <c r="L97" s="372">
        <f t="shared" ca="1" si="24"/>
        <v>1</v>
      </c>
      <c r="M97" s="389"/>
      <c r="N97" s="389"/>
      <c r="O97" s="372" t="s">
        <v>35</v>
      </c>
      <c r="P97" s="372" t="s">
        <v>36</v>
      </c>
      <c r="Q97" s="372" t="s">
        <v>41</v>
      </c>
      <c r="R97" s="389">
        <v>33373</v>
      </c>
      <c r="S97" s="452">
        <f t="shared" ca="1" si="25"/>
        <v>29</v>
      </c>
      <c r="T97" s="452">
        <f t="shared" ca="1" si="26"/>
        <v>7</v>
      </c>
      <c r="U97" s="372" t="s">
        <v>619</v>
      </c>
      <c r="V97" s="372" t="s">
        <v>1864</v>
      </c>
      <c r="W97" s="372"/>
      <c r="X97" s="372" t="s">
        <v>59</v>
      </c>
      <c r="Y97" s="372"/>
      <c r="Z97" s="389"/>
      <c r="AA97" s="372"/>
      <c r="AB97" s="441"/>
      <c r="AC97" s="438"/>
      <c r="AD97" s="440"/>
      <c r="AE97" s="440"/>
      <c r="AF97" s="440"/>
      <c r="AG97" s="440"/>
      <c r="AH97" s="440"/>
      <c r="AI97" s="440"/>
      <c r="AJ97" s="442" t="s">
        <v>1865</v>
      </c>
      <c r="AK97" s="350" t="s">
        <v>1866</v>
      </c>
      <c r="AL97" s="392" t="s">
        <v>1866</v>
      </c>
      <c r="AM97" s="392"/>
      <c r="AN97" s="372"/>
      <c r="AO97" s="372"/>
      <c r="AP97" s="391" t="s">
        <v>1867</v>
      </c>
      <c r="AQ97" s="532" t="s">
        <v>1862</v>
      </c>
      <c r="AR97" s="425" t="s">
        <v>1895</v>
      </c>
      <c r="AS97" s="372" t="s">
        <v>64</v>
      </c>
      <c r="AT97" s="372" t="s">
        <v>95</v>
      </c>
      <c r="AU97" s="426"/>
    </row>
    <row r="98" spans="1:48">
      <c r="A98" s="524">
        <v>82</v>
      </c>
      <c r="B98" s="440">
        <v>39</v>
      </c>
      <c r="C98" s="402">
        <v>9919070038</v>
      </c>
      <c r="D98" s="603" t="s">
        <v>793</v>
      </c>
      <c r="E98" s="440" t="s">
        <v>794</v>
      </c>
      <c r="F98" s="372" t="s">
        <v>344</v>
      </c>
      <c r="G98" s="441">
        <v>44182</v>
      </c>
      <c r="H98" s="441">
        <v>44182</v>
      </c>
      <c r="I98" s="441"/>
      <c r="J98" s="441"/>
      <c r="K98" s="372">
        <f t="shared" ref="K98:K99" ca="1" si="28">DATEDIF(G98,$B$1,"Y")</f>
        <v>0</v>
      </c>
      <c r="L98" s="372">
        <f ca="1">DATEDIF(G98,$B$1,"YM")</f>
        <v>0</v>
      </c>
      <c r="M98" s="441"/>
      <c r="N98" s="441"/>
      <c r="O98" s="372" t="s">
        <v>35</v>
      </c>
      <c r="P98" s="345" t="s">
        <v>36</v>
      </c>
      <c r="Q98" s="372" t="s">
        <v>197</v>
      </c>
      <c r="R98" s="389">
        <v>30183</v>
      </c>
      <c r="S98" s="452">
        <f t="shared" ref="S98:S100" ca="1" si="29">DATEDIF(R98,$B$1,"Y")</f>
        <v>38</v>
      </c>
      <c r="T98" s="452">
        <f t="shared" ref="T98:T100" ca="1" si="30">DATEDIF(R98,$B$1,"YM")</f>
        <v>4</v>
      </c>
      <c r="U98" s="440" t="s">
        <v>130</v>
      </c>
      <c r="V98" s="399" t="s">
        <v>795</v>
      </c>
      <c r="W98" s="372" t="s">
        <v>44</v>
      </c>
      <c r="X98" s="372" t="s">
        <v>45</v>
      </c>
      <c r="Y98" s="372" t="s">
        <v>796</v>
      </c>
      <c r="Z98" s="389">
        <v>32445</v>
      </c>
      <c r="AA98" s="372" t="s">
        <v>797</v>
      </c>
      <c r="AB98" s="346">
        <v>41805</v>
      </c>
      <c r="AC98" s="438">
        <f t="shared" ref="AC98" ca="1" si="31">DATEDIF(AB98,$B$1,"Y")</f>
        <v>6</v>
      </c>
      <c r="AD98" s="345" t="s">
        <v>48</v>
      </c>
      <c r="AE98" s="345" t="s">
        <v>48</v>
      </c>
      <c r="AF98" s="345" t="s">
        <v>48</v>
      </c>
      <c r="AG98" s="345" t="s">
        <v>48</v>
      </c>
      <c r="AH98" s="345" t="s">
        <v>48</v>
      </c>
      <c r="AI98" s="345" t="s">
        <v>48</v>
      </c>
      <c r="AJ98" s="442" t="s">
        <v>798</v>
      </c>
      <c r="AK98" s="350" t="s">
        <v>799</v>
      </c>
      <c r="AL98" s="350" t="s">
        <v>800</v>
      </c>
      <c r="AM98" s="350"/>
      <c r="AN98" s="350"/>
      <c r="AO98" s="350"/>
      <c r="AP98" s="442" t="s">
        <v>801</v>
      </c>
      <c r="AQ98" s="439" t="s">
        <v>793</v>
      </c>
      <c r="AR98" s="586" t="s">
        <v>802</v>
      </c>
      <c r="AS98" s="440" t="s">
        <v>64</v>
      </c>
      <c r="AT98" s="345" t="s">
        <v>95</v>
      </c>
      <c r="AU98" s="395"/>
    </row>
    <row r="99" spans="1:48">
      <c r="A99" s="524">
        <v>83</v>
      </c>
      <c r="B99" s="440">
        <v>41</v>
      </c>
      <c r="C99" s="402" t="s">
        <v>2362</v>
      </c>
      <c r="D99" s="603" t="s">
        <v>2336</v>
      </c>
      <c r="E99" s="440" t="s">
        <v>2337</v>
      </c>
      <c r="F99" s="372" t="s">
        <v>344</v>
      </c>
      <c r="G99" s="441">
        <v>44200</v>
      </c>
      <c r="H99" s="441">
        <v>44200</v>
      </c>
      <c r="I99" s="441"/>
      <c r="J99" s="441"/>
      <c r="K99" s="372">
        <f t="shared" ca="1" si="28"/>
        <v>0</v>
      </c>
      <c r="L99" s="372">
        <f ca="1">DATEDIF(G99,$B$1,"YM")</f>
        <v>0</v>
      </c>
      <c r="M99" s="441"/>
      <c r="N99" s="441"/>
      <c r="O99" s="372" t="s">
        <v>76</v>
      </c>
      <c r="P99" s="345" t="s">
        <v>36</v>
      </c>
      <c r="Q99" s="372" t="s">
        <v>41</v>
      </c>
      <c r="R99" s="389">
        <v>35077</v>
      </c>
      <c r="S99" s="452">
        <f t="shared" ca="1" si="29"/>
        <v>24</v>
      </c>
      <c r="T99" s="452">
        <f t="shared" ca="1" si="30"/>
        <v>11</v>
      </c>
      <c r="U99" s="440" t="s">
        <v>130</v>
      </c>
      <c r="V99" s="399" t="s">
        <v>90</v>
      </c>
      <c r="W99" s="372" t="s">
        <v>105</v>
      </c>
      <c r="X99" s="372" t="s">
        <v>59</v>
      </c>
      <c r="Y99" s="372"/>
      <c r="Z99" s="389"/>
      <c r="AA99" s="372"/>
      <c r="AB99" s="346"/>
      <c r="AC99" s="438"/>
      <c r="AD99" s="345"/>
      <c r="AE99" s="345"/>
      <c r="AF99" s="345"/>
      <c r="AG99" s="345"/>
      <c r="AH99" s="345"/>
      <c r="AI99" s="345"/>
      <c r="AJ99" s="442" t="s">
        <v>2338</v>
      </c>
      <c r="AK99" s="350" t="s">
        <v>2339</v>
      </c>
      <c r="AL99" s="350" t="s">
        <v>2339</v>
      </c>
      <c r="AM99" s="350"/>
      <c r="AN99" s="350"/>
      <c r="AO99" s="350"/>
      <c r="AP99" s="442" t="s">
        <v>2340</v>
      </c>
      <c r="AQ99" s="439" t="s">
        <v>2336</v>
      </c>
      <c r="AR99" s="688" t="s">
        <v>2341</v>
      </c>
      <c r="AS99" s="440" t="s">
        <v>64</v>
      </c>
      <c r="AT99" s="345" t="s">
        <v>1420</v>
      </c>
      <c r="AU99" s="386" t="s">
        <v>2342</v>
      </c>
    </row>
    <row r="100" spans="1:48">
      <c r="A100" s="524">
        <v>84</v>
      </c>
      <c r="B100" s="443">
        <v>42</v>
      </c>
      <c r="C100" s="402" t="s">
        <v>2363</v>
      </c>
      <c r="D100" s="603" t="s">
        <v>2343</v>
      </c>
      <c r="E100" s="440" t="s">
        <v>2337</v>
      </c>
      <c r="F100" s="372" t="s">
        <v>344</v>
      </c>
      <c r="G100" s="441">
        <v>44200</v>
      </c>
      <c r="H100" s="441">
        <v>44200</v>
      </c>
      <c r="I100" s="441"/>
      <c r="J100" s="441"/>
      <c r="K100" s="372">
        <f t="shared" ref="K100" ca="1" si="32">DATEDIF(G100,$B$1,"Y")</f>
        <v>0</v>
      </c>
      <c r="L100" s="372">
        <f ca="1">DATEDIF(G100,$B$1,"YM")</f>
        <v>0</v>
      </c>
      <c r="M100" s="441"/>
      <c r="N100" s="441"/>
      <c r="O100" s="372" t="s">
        <v>76</v>
      </c>
      <c r="P100" s="345" t="s">
        <v>36</v>
      </c>
      <c r="Q100" s="372" t="s">
        <v>2344</v>
      </c>
      <c r="R100" s="389">
        <v>35714</v>
      </c>
      <c r="S100" s="452">
        <f t="shared" ca="1" si="29"/>
        <v>23</v>
      </c>
      <c r="T100" s="452">
        <f t="shared" ca="1" si="30"/>
        <v>2</v>
      </c>
      <c r="U100" s="440" t="s">
        <v>2345</v>
      </c>
      <c r="V100" s="399" t="s">
        <v>2346</v>
      </c>
      <c r="W100" s="372" t="s">
        <v>105</v>
      </c>
      <c r="X100" s="372" t="s">
        <v>59</v>
      </c>
      <c r="Y100" s="372"/>
      <c r="Z100" s="389"/>
      <c r="AA100" s="372"/>
      <c r="AB100" s="346"/>
      <c r="AC100" s="438"/>
      <c r="AD100" s="345"/>
      <c r="AE100" s="345"/>
      <c r="AF100" s="345"/>
      <c r="AG100" s="345"/>
      <c r="AH100" s="345"/>
      <c r="AI100" s="345"/>
      <c r="AJ100" s="442" t="s">
        <v>2347</v>
      </c>
      <c r="AK100" s="350" t="s">
        <v>2348</v>
      </c>
      <c r="AL100" s="350" t="s">
        <v>2349</v>
      </c>
      <c r="AM100" s="350"/>
      <c r="AN100" s="350"/>
      <c r="AO100" s="350"/>
      <c r="AP100" s="442" t="s">
        <v>2350</v>
      </c>
      <c r="AQ100" s="439" t="s">
        <v>2343</v>
      </c>
      <c r="AR100" s="688"/>
      <c r="AS100" s="440" t="s">
        <v>64</v>
      </c>
      <c r="AT100" s="345" t="s">
        <v>95</v>
      </c>
      <c r="AU100" s="386" t="s">
        <v>2351</v>
      </c>
    </row>
    <row r="101" spans="1:48">
      <c r="A101" s="569"/>
      <c r="B101" s="519"/>
      <c r="C101" s="533"/>
      <c r="D101" s="528"/>
      <c r="E101" s="399"/>
      <c r="F101" s="399"/>
      <c r="G101" s="520"/>
      <c r="H101" s="520"/>
      <c r="I101" s="520"/>
      <c r="J101" s="520"/>
      <c r="K101" s="399"/>
      <c r="L101" s="399"/>
      <c r="M101" s="520"/>
      <c r="N101" s="520"/>
      <c r="O101" s="399"/>
      <c r="P101" s="399"/>
      <c r="Q101" s="399"/>
      <c r="R101" s="520"/>
      <c r="S101" s="521"/>
      <c r="T101" s="521"/>
      <c r="U101" s="399"/>
      <c r="V101" s="399"/>
      <c r="W101" s="399"/>
      <c r="X101" s="399"/>
      <c r="Y101" s="399"/>
      <c r="Z101" s="520"/>
      <c r="AA101" s="399"/>
      <c r="AB101" s="520"/>
      <c r="AC101" s="521"/>
      <c r="AD101" s="399"/>
      <c r="AE101" s="399"/>
      <c r="AF101" s="399"/>
      <c r="AG101" s="399"/>
      <c r="AH101" s="399"/>
      <c r="AI101" s="399"/>
      <c r="AJ101" s="400"/>
      <c r="AK101" s="401"/>
      <c r="AL101" s="401"/>
      <c r="AM101" s="401"/>
      <c r="AN101" s="399"/>
      <c r="AO101" s="399"/>
      <c r="AP101" s="400"/>
      <c r="AQ101" s="529"/>
      <c r="AR101" s="530"/>
      <c r="AS101" s="399"/>
      <c r="AT101" s="399"/>
      <c r="AU101" s="386"/>
    </row>
    <row r="102" spans="1:48">
      <c r="A102" s="568"/>
      <c r="B102" s="829" t="s">
        <v>1427</v>
      </c>
      <c r="C102" s="830"/>
      <c r="D102" s="832"/>
      <c r="E102" s="460"/>
      <c r="F102" s="460"/>
      <c r="G102" s="462"/>
      <c r="H102" s="462"/>
      <c r="I102" s="462"/>
      <c r="J102" s="462"/>
      <c r="K102" s="460"/>
      <c r="L102" s="460"/>
      <c r="M102" s="462"/>
      <c r="N102" s="462"/>
      <c r="O102" s="460"/>
      <c r="P102" s="460"/>
      <c r="Q102" s="460"/>
      <c r="R102" s="462"/>
      <c r="S102" s="463"/>
      <c r="T102" s="463"/>
      <c r="U102" s="460"/>
      <c r="V102" s="460"/>
      <c r="W102" s="460"/>
      <c r="X102" s="460"/>
      <c r="Y102" s="460"/>
      <c r="Z102" s="462"/>
      <c r="AA102" s="460"/>
      <c r="AB102" s="462"/>
      <c r="AC102" s="463"/>
      <c r="AD102" s="460"/>
      <c r="AE102" s="460"/>
      <c r="AF102" s="460"/>
      <c r="AG102" s="460"/>
      <c r="AH102" s="460"/>
      <c r="AI102" s="460"/>
      <c r="AJ102" s="465"/>
      <c r="AK102" s="466"/>
      <c r="AL102" s="466"/>
      <c r="AM102" s="466"/>
      <c r="AN102" s="460"/>
      <c r="AO102" s="460"/>
      <c r="AP102" s="465"/>
      <c r="AQ102" s="503"/>
      <c r="AR102" s="504"/>
      <c r="AS102" s="460"/>
      <c r="AT102" s="460"/>
      <c r="AU102" s="505"/>
    </row>
    <row r="103" spans="1:48">
      <c r="A103" s="524">
        <v>85</v>
      </c>
      <c r="B103" s="345">
        <v>1</v>
      </c>
      <c r="C103" s="381" t="s">
        <v>504</v>
      </c>
      <c r="D103" s="446" t="s">
        <v>503</v>
      </c>
      <c r="E103" s="356" t="s">
        <v>2320</v>
      </c>
      <c r="F103" s="356" t="s">
        <v>344</v>
      </c>
      <c r="G103" s="352">
        <v>43496</v>
      </c>
      <c r="H103" s="352">
        <v>43496</v>
      </c>
      <c r="I103" s="352">
        <v>43861</v>
      </c>
      <c r="J103" s="352"/>
      <c r="K103" s="345">
        <f t="shared" ref="K103:K118" ca="1" si="33">DATEDIF(G103,$B$1,"Y")</f>
        <v>1</v>
      </c>
      <c r="L103" s="345">
        <f t="shared" ref="L103:L118" ca="1" si="34">DATEDIF(G103,$B$1,"YM")</f>
        <v>11</v>
      </c>
      <c r="M103" s="352"/>
      <c r="N103" s="352"/>
      <c r="O103" s="356" t="s">
        <v>35</v>
      </c>
      <c r="P103" s="356" t="s">
        <v>36</v>
      </c>
      <c r="Q103" s="356" t="s">
        <v>41</v>
      </c>
      <c r="R103" s="352">
        <v>31595</v>
      </c>
      <c r="S103" s="394">
        <f t="shared" ref="S103:S118" ca="1" si="35">DATEDIF(R103,$B$1,"Y")</f>
        <v>34</v>
      </c>
      <c r="T103" s="394">
        <f t="shared" ref="T103:T118" ca="1" si="36">DATEDIF(R103,$B$1,"YM")</f>
        <v>6</v>
      </c>
      <c r="U103" s="356" t="s">
        <v>68</v>
      </c>
      <c r="V103" s="356" t="s">
        <v>529</v>
      </c>
      <c r="W103" s="345" t="s">
        <v>48</v>
      </c>
      <c r="X103" s="345" t="s">
        <v>210</v>
      </c>
      <c r="Y103" s="358" t="s">
        <v>530</v>
      </c>
      <c r="Z103" s="345" t="s">
        <v>48</v>
      </c>
      <c r="AA103" s="358" t="s">
        <v>531</v>
      </c>
      <c r="AB103" s="345" t="s">
        <v>48</v>
      </c>
      <c r="AC103" s="345" t="s">
        <v>48</v>
      </c>
      <c r="AD103" s="345" t="s">
        <v>48</v>
      </c>
      <c r="AE103" s="345" t="s">
        <v>48</v>
      </c>
      <c r="AF103" s="345" t="s">
        <v>48</v>
      </c>
      <c r="AG103" s="358"/>
      <c r="AH103" s="358"/>
      <c r="AI103" s="358"/>
      <c r="AJ103" s="369" t="s">
        <v>560</v>
      </c>
      <c r="AK103" s="383" t="s">
        <v>532</v>
      </c>
      <c r="AL103" s="383" t="s">
        <v>532</v>
      </c>
      <c r="AM103" s="383"/>
      <c r="AN103" s="356"/>
      <c r="AO103" s="345" t="s">
        <v>48</v>
      </c>
      <c r="AP103" s="385" t="s">
        <v>533</v>
      </c>
      <c r="AQ103" s="368" t="s">
        <v>503</v>
      </c>
      <c r="AR103" s="385" t="s">
        <v>546</v>
      </c>
      <c r="AS103" s="356" t="s">
        <v>64</v>
      </c>
      <c r="AT103" s="356" t="s">
        <v>95</v>
      </c>
      <c r="AU103" s="386" t="s">
        <v>534</v>
      </c>
      <c r="AV103" s="436" t="s">
        <v>1869</v>
      </c>
    </row>
    <row r="104" spans="1:48">
      <c r="A104" s="524">
        <v>86</v>
      </c>
      <c r="B104" s="403">
        <v>2</v>
      </c>
      <c r="C104" s="440" t="s">
        <v>334</v>
      </c>
      <c r="D104" s="437" t="s">
        <v>112</v>
      </c>
      <c r="E104" s="440" t="s">
        <v>113</v>
      </c>
      <c r="F104" s="440" t="s">
        <v>344</v>
      </c>
      <c r="G104" s="441">
        <v>43202</v>
      </c>
      <c r="H104" s="357">
        <v>43202</v>
      </c>
      <c r="I104" s="441">
        <v>43567</v>
      </c>
      <c r="J104" s="441"/>
      <c r="K104" s="440">
        <f t="shared" ca="1" si="33"/>
        <v>2</v>
      </c>
      <c r="L104" s="440">
        <f t="shared" ca="1" si="34"/>
        <v>8</v>
      </c>
      <c r="M104" s="441"/>
      <c r="N104" s="441"/>
      <c r="O104" s="440" t="s">
        <v>35</v>
      </c>
      <c r="P104" s="440" t="s">
        <v>36</v>
      </c>
      <c r="Q104" s="440" t="s">
        <v>41</v>
      </c>
      <c r="R104" s="441">
        <v>23563</v>
      </c>
      <c r="S104" s="438">
        <f t="shared" ca="1" si="35"/>
        <v>56</v>
      </c>
      <c r="T104" s="438">
        <f t="shared" ca="1" si="36"/>
        <v>6</v>
      </c>
      <c r="U104" s="440" t="s">
        <v>184</v>
      </c>
      <c r="V104" s="440" t="s">
        <v>48</v>
      </c>
      <c r="W104" s="440" t="s">
        <v>48</v>
      </c>
      <c r="X104" s="440" t="s">
        <v>45</v>
      </c>
      <c r="Y104" s="388" t="s">
        <v>258</v>
      </c>
      <c r="Z104" s="388">
        <v>25826</v>
      </c>
      <c r="AA104" s="388" t="s">
        <v>259</v>
      </c>
      <c r="AB104" s="388">
        <v>36272</v>
      </c>
      <c r="AC104" s="438">
        <f ca="1">DATEDIF(AB104,$B$1,"Y")</f>
        <v>21</v>
      </c>
      <c r="AD104" s="440" t="s">
        <v>48</v>
      </c>
      <c r="AE104" s="388"/>
      <c r="AF104" s="347"/>
      <c r="AG104" s="440" t="s">
        <v>48</v>
      </c>
      <c r="AH104" s="440" t="s">
        <v>48</v>
      </c>
      <c r="AI104" s="440" t="s">
        <v>48</v>
      </c>
      <c r="AJ104" s="439" t="s">
        <v>114</v>
      </c>
      <c r="AK104" s="350" t="s">
        <v>115</v>
      </c>
      <c r="AL104" s="350" t="s">
        <v>115</v>
      </c>
      <c r="AM104" s="350"/>
      <c r="AN104" s="365"/>
      <c r="AO104" s="365" t="s">
        <v>48</v>
      </c>
      <c r="AP104" s="439" t="s">
        <v>48</v>
      </c>
      <c r="AQ104" s="439" t="s">
        <v>112</v>
      </c>
      <c r="AR104" s="439" t="s">
        <v>952</v>
      </c>
      <c r="AS104" s="440" t="s">
        <v>64</v>
      </c>
      <c r="AT104" s="440" t="s">
        <v>95</v>
      </c>
      <c r="AU104" s="395" t="s">
        <v>48</v>
      </c>
      <c r="AV104" s="436" t="s">
        <v>1869</v>
      </c>
    </row>
    <row r="105" spans="1:48">
      <c r="A105" s="524">
        <v>87</v>
      </c>
      <c r="B105" s="345">
        <v>3</v>
      </c>
      <c r="C105" s="440" t="s">
        <v>335</v>
      </c>
      <c r="D105" s="437" t="s">
        <v>216</v>
      </c>
      <c r="E105" s="440" t="s">
        <v>113</v>
      </c>
      <c r="F105" s="440" t="s">
        <v>344</v>
      </c>
      <c r="G105" s="441">
        <v>43202</v>
      </c>
      <c r="H105" s="357">
        <v>43202</v>
      </c>
      <c r="I105" s="441">
        <v>43567</v>
      </c>
      <c r="J105" s="441"/>
      <c r="K105" s="440">
        <f t="shared" ca="1" si="33"/>
        <v>2</v>
      </c>
      <c r="L105" s="440">
        <f t="shared" ca="1" si="34"/>
        <v>8</v>
      </c>
      <c r="M105" s="441"/>
      <c r="N105" s="441"/>
      <c r="O105" s="440" t="s">
        <v>35</v>
      </c>
      <c r="P105" s="440" t="s">
        <v>36</v>
      </c>
      <c r="Q105" s="440" t="s">
        <v>41</v>
      </c>
      <c r="R105" s="441">
        <v>25632</v>
      </c>
      <c r="S105" s="438">
        <f t="shared" ca="1" si="35"/>
        <v>50</v>
      </c>
      <c r="T105" s="438">
        <f t="shared" ca="1" si="36"/>
        <v>10</v>
      </c>
      <c r="U105" s="440" t="s">
        <v>223</v>
      </c>
      <c r="V105" s="440" t="s">
        <v>48</v>
      </c>
      <c r="W105" s="440" t="s">
        <v>224</v>
      </c>
      <c r="X105" s="440" t="s">
        <v>210</v>
      </c>
      <c r="Y105" s="388" t="s">
        <v>226</v>
      </c>
      <c r="Z105" s="388">
        <v>27760</v>
      </c>
      <c r="AA105" s="388" t="s">
        <v>227</v>
      </c>
      <c r="AB105" s="388">
        <v>35604</v>
      </c>
      <c r="AC105" s="438">
        <f ca="1">DATEDIF(AB105,$B$1,"Y")</f>
        <v>23</v>
      </c>
      <c r="AD105" s="410" t="s">
        <v>228</v>
      </c>
      <c r="AE105" s="388">
        <v>37862</v>
      </c>
      <c r="AF105" s="438"/>
      <c r="AG105" s="388"/>
      <c r="AH105" s="388"/>
      <c r="AI105" s="388"/>
      <c r="AJ105" s="439" t="s">
        <v>229</v>
      </c>
      <c r="AK105" s="350" t="s">
        <v>230</v>
      </c>
      <c r="AL105" s="350" t="s">
        <v>230</v>
      </c>
      <c r="AM105" s="350"/>
      <c r="AN105" s="365"/>
      <c r="AO105" s="365" t="s">
        <v>48</v>
      </c>
      <c r="AP105" s="439" t="s">
        <v>231</v>
      </c>
      <c r="AQ105" s="439" t="s">
        <v>216</v>
      </c>
      <c r="AR105" s="439" t="s">
        <v>911</v>
      </c>
      <c r="AS105" s="440" t="s">
        <v>64</v>
      </c>
      <c r="AT105" s="440" t="s">
        <v>95</v>
      </c>
      <c r="AU105" s="395" t="s">
        <v>48</v>
      </c>
      <c r="AV105" s="436" t="s">
        <v>1869</v>
      </c>
    </row>
    <row r="106" spans="1:48">
      <c r="A106" s="524">
        <v>88</v>
      </c>
      <c r="B106" s="403">
        <v>4</v>
      </c>
      <c r="C106" s="379" t="s">
        <v>2267</v>
      </c>
      <c r="D106" s="437" t="s">
        <v>1145</v>
      </c>
      <c r="E106" s="440" t="s">
        <v>209</v>
      </c>
      <c r="F106" s="440" t="s">
        <v>344</v>
      </c>
      <c r="G106" s="441">
        <v>43823</v>
      </c>
      <c r="H106" s="441">
        <v>43823</v>
      </c>
      <c r="I106" s="441"/>
      <c r="J106" s="441"/>
      <c r="K106" s="440">
        <f t="shared" ca="1" si="33"/>
        <v>1</v>
      </c>
      <c r="L106" s="440">
        <f t="shared" ca="1" si="34"/>
        <v>0</v>
      </c>
      <c r="M106" s="441"/>
      <c r="N106" s="441"/>
      <c r="O106" s="440" t="s">
        <v>35</v>
      </c>
      <c r="P106" s="440" t="s">
        <v>36</v>
      </c>
      <c r="Q106" s="440" t="s">
        <v>41</v>
      </c>
      <c r="R106" s="441">
        <v>27948</v>
      </c>
      <c r="S106" s="438">
        <f t="shared" ca="1" si="35"/>
        <v>44</v>
      </c>
      <c r="T106" s="438">
        <f t="shared" ca="1" si="36"/>
        <v>5</v>
      </c>
      <c r="U106" s="440" t="s">
        <v>68</v>
      </c>
      <c r="V106" s="440"/>
      <c r="W106" s="440"/>
      <c r="X106" s="440" t="s">
        <v>59</v>
      </c>
      <c r="Y106" s="440"/>
      <c r="Z106" s="440"/>
      <c r="AA106" s="440"/>
      <c r="AB106" s="440"/>
      <c r="AC106" s="440"/>
      <c r="AD106" s="440"/>
      <c r="AE106" s="440"/>
      <c r="AF106" s="440"/>
      <c r="AG106" s="388"/>
      <c r="AH106" s="388"/>
      <c r="AI106" s="388"/>
      <c r="AJ106" s="442" t="s">
        <v>1146</v>
      </c>
      <c r="AK106" s="350" t="s">
        <v>1147</v>
      </c>
      <c r="AL106" s="350" t="s">
        <v>1147</v>
      </c>
      <c r="AM106" s="350"/>
      <c r="AN106" s="440"/>
      <c r="AO106" s="440"/>
      <c r="AP106" s="442" t="s">
        <v>1148</v>
      </c>
      <c r="AQ106" s="439" t="s">
        <v>1145</v>
      </c>
      <c r="AR106" s="415" t="s">
        <v>1226</v>
      </c>
      <c r="AS106" s="440" t="s">
        <v>64</v>
      </c>
      <c r="AT106" s="440" t="s">
        <v>95</v>
      </c>
      <c r="AU106" s="364"/>
      <c r="AV106" s="436" t="s">
        <v>1869</v>
      </c>
    </row>
    <row r="107" spans="1:48">
      <c r="A107" s="524">
        <v>89</v>
      </c>
      <c r="B107" s="345">
        <v>5</v>
      </c>
      <c r="C107" s="387" t="s">
        <v>616</v>
      </c>
      <c r="D107" s="377" t="s">
        <v>617</v>
      </c>
      <c r="E107" s="440" t="s">
        <v>1336</v>
      </c>
      <c r="F107" s="440" t="s">
        <v>344</v>
      </c>
      <c r="G107" s="441">
        <v>43591</v>
      </c>
      <c r="H107" s="441">
        <v>43591</v>
      </c>
      <c r="I107" s="378"/>
      <c r="J107" s="378"/>
      <c r="K107" s="440">
        <f t="shared" ca="1" si="33"/>
        <v>1</v>
      </c>
      <c r="L107" s="440">
        <f t="shared" ca="1" si="34"/>
        <v>8</v>
      </c>
      <c r="M107" s="378"/>
      <c r="N107" s="378"/>
      <c r="O107" s="440" t="s">
        <v>35</v>
      </c>
      <c r="P107" s="440" t="s">
        <v>36</v>
      </c>
      <c r="Q107" s="378" t="s">
        <v>618</v>
      </c>
      <c r="R107" s="441">
        <v>35621</v>
      </c>
      <c r="S107" s="438">
        <f t="shared" ca="1" si="35"/>
        <v>23</v>
      </c>
      <c r="T107" s="438">
        <f t="shared" ca="1" si="36"/>
        <v>5</v>
      </c>
      <c r="U107" s="378" t="s">
        <v>619</v>
      </c>
      <c r="V107" s="378" t="s">
        <v>620</v>
      </c>
      <c r="W107" s="440" t="s">
        <v>48</v>
      </c>
      <c r="X107" s="440" t="s">
        <v>59</v>
      </c>
      <c r="Y107" s="440" t="s">
        <v>48</v>
      </c>
      <c r="Z107" s="440" t="s">
        <v>48</v>
      </c>
      <c r="AA107" s="440" t="s">
        <v>48</v>
      </c>
      <c r="AB107" s="440" t="s">
        <v>48</v>
      </c>
      <c r="AC107" s="440" t="s">
        <v>48</v>
      </c>
      <c r="AD107" s="440" t="s">
        <v>48</v>
      </c>
      <c r="AE107" s="440" t="s">
        <v>48</v>
      </c>
      <c r="AF107" s="440" t="s">
        <v>48</v>
      </c>
      <c r="AG107" s="378"/>
      <c r="AH107" s="378"/>
      <c r="AI107" s="378"/>
      <c r="AJ107" s="379" t="s">
        <v>621</v>
      </c>
      <c r="AK107" s="377" t="s">
        <v>622</v>
      </c>
      <c r="AL107" s="377" t="s">
        <v>623</v>
      </c>
      <c r="AM107" s="378"/>
      <c r="AN107" s="378"/>
      <c r="AO107" s="440" t="s">
        <v>48</v>
      </c>
      <c r="AP107" s="379" t="s">
        <v>624</v>
      </c>
      <c r="AQ107" s="378" t="s">
        <v>617</v>
      </c>
      <c r="AR107" s="378" t="s">
        <v>628</v>
      </c>
      <c r="AS107" s="440" t="s">
        <v>64</v>
      </c>
      <c r="AT107" s="440" t="s">
        <v>95</v>
      </c>
      <c r="AU107" s="380" t="s">
        <v>625</v>
      </c>
      <c r="AV107" s="436" t="s">
        <v>1869</v>
      </c>
    </row>
    <row r="108" spans="1:48">
      <c r="A108" s="524">
        <v>90</v>
      </c>
      <c r="B108" s="403">
        <v>6</v>
      </c>
      <c r="C108" s="398" t="s">
        <v>631</v>
      </c>
      <c r="D108" s="437" t="s">
        <v>629</v>
      </c>
      <c r="E108" s="440" t="s">
        <v>113</v>
      </c>
      <c r="F108" s="440" t="s">
        <v>344</v>
      </c>
      <c r="G108" s="441">
        <v>43594</v>
      </c>
      <c r="H108" s="441">
        <v>43594</v>
      </c>
      <c r="I108" s="441"/>
      <c r="J108" s="441"/>
      <c r="K108" s="440">
        <f t="shared" ca="1" si="33"/>
        <v>1</v>
      </c>
      <c r="L108" s="440">
        <f t="shared" ca="1" si="34"/>
        <v>7</v>
      </c>
      <c r="M108" s="441"/>
      <c r="N108" s="441"/>
      <c r="O108" s="440" t="s">
        <v>35</v>
      </c>
      <c r="P108" s="440" t="s">
        <v>36</v>
      </c>
      <c r="Q108" s="440" t="s">
        <v>41</v>
      </c>
      <c r="R108" s="441">
        <v>25807</v>
      </c>
      <c r="S108" s="438">
        <f t="shared" ca="1" si="35"/>
        <v>50</v>
      </c>
      <c r="T108" s="438">
        <f t="shared" ca="1" si="36"/>
        <v>4</v>
      </c>
      <c r="U108" s="440" t="s">
        <v>130</v>
      </c>
      <c r="V108" s="440" t="s">
        <v>632</v>
      </c>
      <c r="W108" s="440" t="s">
        <v>44</v>
      </c>
      <c r="X108" s="440" t="s">
        <v>633</v>
      </c>
      <c r="Y108" s="440" t="s">
        <v>48</v>
      </c>
      <c r="Z108" s="440" t="s">
        <v>48</v>
      </c>
      <c r="AA108" s="440" t="s">
        <v>634</v>
      </c>
      <c r="AB108" s="440" t="s">
        <v>48</v>
      </c>
      <c r="AC108" s="440" t="s">
        <v>48</v>
      </c>
      <c r="AD108" s="350" t="s">
        <v>635</v>
      </c>
      <c r="AE108" s="440" t="s">
        <v>48</v>
      </c>
      <c r="AF108" s="440" t="s">
        <v>48</v>
      </c>
      <c r="AG108" s="440" t="s">
        <v>48</v>
      </c>
      <c r="AH108" s="440" t="s">
        <v>48</v>
      </c>
      <c r="AI108" s="440" t="s">
        <v>48</v>
      </c>
      <c r="AJ108" s="442" t="s">
        <v>636</v>
      </c>
      <c r="AK108" s="350" t="s">
        <v>637</v>
      </c>
      <c r="AL108" s="350" t="s">
        <v>637</v>
      </c>
      <c r="AM108" s="350"/>
      <c r="AN108" s="404"/>
      <c r="AO108" s="404" t="s">
        <v>48</v>
      </c>
      <c r="AP108" s="442" t="s">
        <v>638</v>
      </c>
      <c r="AQ108" s="439" t="s">
        <v>629</v>
      </c>
      <c r="AR108" s="442" t="s">
        <v>639</v>
      </c>
      <c r="AS108" s="440" t="s">
        <v>64</v>
      </c>
      <c r="AT108" s="440" t="s">
        <v>95</v>
      </c>
      <c r="AU108" s="380" t="s">
        <v>1174</v>
      </c>
      <c r="AV108" s="436" t="s">
        <v>1869</v>
      </c>
    </row>
    <row r="109" spans="1:48">
      <c r="A109" s="524">
        <v>91</v>
      </c>
      <c r="B109" s="345">
        <v>7</v>
      </c>
      <c r="C109" s="402">
        <v>9919110051</v>
      </c>
      <c r="D109" s="437" t="s">
        <v>925</v>
      </c>
      <c r="E109" s="440" t="s">
        <v>113</v>
      </c>
      <c r="F109" s="440" t="s">
        <v>344</v>
      </c>
      <c r="G109" s="441">
        <v>43774</v>
      </c>
      <c r="H109" s="441">
        <v>43774</v>
      </c>
      <c r="I109" s="441"/>
      <c r="J109" s="441"/>
      <c r="K109" s="440">
        <f t="shared" ca="1" si="33"/>
        <v>1</v>
      </c>
      <c r="L109" s="440">
        <f t="shared" ca="1" si="34"/>
        <v>2</v>
      </c>
      <c r="M109" s="441"/>
      <c r="N109" s="441"/>
      <c r="O109" s="440" t="s">
        <v>35</v>
      </c>
      <c r="P109" s="440" t="s">
        <v>36</v>
      </c>
      <c r="Q109" s="440" t="s">
        <v>41</v>
      </c>
      <c r="R109" s="441">
        <v>31396</v>
      </c>
      <c r="S109" s="438">
        <f t="shared" ca="1" si="35"/>
        <v>35</v>
      </c>
      <c r="T109" s="438">
        <f t="shared" ca="1" si="36"/>
        <v>0</v>
      </c>
      <c r="U109" s="440" t="s">
        <v>68</v>
      </c>
      <c r="V109" s="440"/>
      <c r="W109" s="440"/>
      <c r="X109" s="440"/>
      <c r="Y109" s="440"/>
      <c r="Z109" s="388"/>
      <c r="AA109" s="440"/>
      <c r="AB109" s="440"/>
      <c r="AC109" s="440"/>
      <c r="AD109" s="440"/>
      <c r="AE109" s="440"/>
      <c r="AF109" s="440"/>
      <c r="AG109" s="440" t="s">
        <v>48</v>
      </c>
      <c r="AH109" s="440" t="s">
        <v>48</v>
      </c>
      <c r="AI109" s="440" t="s">
        <v>48</v>
      </c>
      <c r="AJ109" s="442" t="s">
        <v>926</v>
      </c>
      <c r="AK109" s="350" t="s">
        <v>927</v>
      </c>
      <c r="AL109" s="350" t="s">
        <v>927</v>
      </c>
      <c r="AM109" s="350"/>
      <c r="AN109" s="404"/>
      <c r="AO109" s="404"/>
      <c r="AP109" s="442" t="s">
        <v>928</v>
      </c>
      <c r="AQ109" s="439" t="s">
        <v>929</v>
      </c>
      <c r="AR109" s="442" t="s">
        <v>986</v>
      </c>
      <c r="AS109" s="440" t="s">
        <v>64</v>
      </c>
      <c r="AT109" s="440" t="s">
        <v>95</v>
      </c>
      <c r="AU109" s="380"/>
    </row>
    <row r="110" spans="1:48">
      <c r="A110" s="524">
        <v>92</v>
      </c>
      <c r="B110" s="403">
        <v>8</v>
      </c>
      <c r="C110" s="402">
        <v>9919070036</v>
      </c>
      <c r="D110" s="437" t="s">
        <v>768</v>
      </c>
      <c r="E110" s="440" t="s">
        <v>113</v>
      </c>
      <c r="F110" s="440" t="s">
        <v>344</v>
      </c>
      <c r="G110" s="441">
        <v>43668</v>
      </c>
      <c r="H110" s="441">
        <v>43668</v>
      </c>
      <c r="I110" s="441"/>
      <c r="J110" s="441"/>
      <c r="K110" s="440">
        <f t="shared" ca="1" si="33"/>
        <v>1</v>
      </c>
      <c r="L110" s="440">
        <f t="shared" ca="1" si="34"/>
        <v>5</v>
      </c>
      <c r="M110" s="441"/>
      <c r="N110" s="441"/>
      <c r="O110" s="440" t="s">
        <v>35</v>
      </c>
      <c r="P110" s="440" t="s">
        <v>36</v>
      </c>
      <c r="Q110" s="440" t="s">
        <v>41</v>
      </c>
      <c r="R110" s="441">
        <v>34785</v>
      </c>
      <c r="S110" s="438">
        <f t="shared" ca="1" si="35"/>
        <v>25</v>
      </c>
      <c r="T110" s="438">
        <f t="shared" ca="1" si="36"/>
        <v>9</v>
      </c>
      <c r="U110" s="440" t="s">
        <v>68</v>
      </c>
      <c r="V110" s="440" t="s">
        <v>769</v>
      </c>
      <c r="W110" s="440" t="s">
        <v>48</v>
      </c>
      <c r="X110" s="440" t="s">
        <v>45</v>
      </c>
      <c r="Y110" s="440" t="s">
        <v>770</v>
      </c>
      <c r="Z110" s="388">
        <v>35411</v>
      </c>
      <c r="AA110" s="440" t="s">
        <v>48</v>
      </c>
      <c r="AB110" s="440" t="s">
        <v>48</v>
      </c>
      <c r="AC110" s="440" t="s">
        <v>48</v>
      </c>
      <c r="AD110" s="440" t="s">
        <v>48</v>
      </c>
      <c r="AE110" s="440" t="s">
        <v>48</v>
      </c>
      <c r="AF110" s="440" t="s">
        <v>48</v>
      </c>
      <c r="AG110" s="440" t="s">
        <v>48</v>
      </c>
      <c r="AH110" s="440" t="s">
        <v>48</v>
      </c>
      <c r="AI110" s="440" t="s">
        <v>48</v>
      </c>
      <c r="AJ110" s="442" t="s">
        <v>771</v>
      </c>
      <c r="AK110" s="350" t="s">
        <v>772</v>
      </c>
      <c r="AL110" s="350" t="s">
        <v>772</v>
      </c>
      <c r="AM110" s="350"/>
      <c r="AN110" s="404"/>
      <c r="AO110" s="404" t="s">
        <v>48</v>
      </c>
      <c r="AP110" s="442" t="s">
        <v>773</v>
      </c>
      <c r="AQ110" s="439" t="s">
        <v>768</v>
      </c>
      <c r="AR110" s="442" t="s">
        <v>807</v>
      </c>
      <c r="AS110" s="440" t="s">
        <v>64</v>
      </c>
      <c r="AT110" s="440" t="s">
        <v>95</v>
      </c>
      <c r="AU110" s="380"/>
      <c r="AV110" s="436" t="s">
        <v>1869</v>
      </c>
    </row>
    <row r="111" spans="1:48">
      <c r="A111" s="524">
        <v>93</v>
      </c>
      <c r="B111" s="345">
        <v>9</v>
      </c>
      <c r="C111" s="378" t="s">
        <v>2268</v>
      </c>
      <c r="D111" s="396" t="s">
        <v>1078</v>
      </c>
      <c r="E111" s="440" t="s">
        <v>113</v>
      </c>
      <c r="F111" s="440" t="s">
        <v>344</v>
      </c>
      <c r="G111" s="441">
        <v>43815</v>
      </c>
      <c r="H111" s="441">
        <v>43815</v>
      </c>
      <c r="I111" s="441"/>
      <c r="J111" s="441"/>
      <c r="K111" s="440">
        <f t="shared" ca="1" si="33"/>
        <v>1</v>
      </c>
      <c r="L111" s="440">
        <f t="shared" ca="1" si="34"/>
        <v>0</v>
      </c>
      <c r="M111" s="441"/>
      <c r="N111" s="441"/>
      <c r="O111" s="440" t="s">
        <v>35</v>
      </c>
      <c r="P111" s="440" t="s">
        <v>36</v>
      </c>
      <c r="Q111" s="440" t="s">
        <v>41</v>
      </c>
      <c r="R111" s="441">
        <v>33088</v>
      </c>
      <c r="S111" s="438">
        <f t="shared" ca="1" si="35"/>
        <v>30</v>
      </c>
      <c r="T111" s="438">
        <f t="shared" ca="1" si="36"/>
        <v>5</v>
      </c>
      <c r="U111" s="440" t="s">
        <v>1079</v>
      </c>
      <c r="V111" s="440"/>
      <c r="W111" s="440"/>
      <c r="X111" s="440" t="s">
        <v>59</v>
      </c>
      <c r="Y111" s="440"/>
      <c r="Z111" s="441"/>
      <c r="AA111" s="440"/>
      <c r="AB111" s="441"/>
      <c r="AC111" s="438"/>
      <c r="AD111" s="440"/>
      <c r="AE111" s="440"/>
      <c r="AF111" s="440"/>
      <c r="AG111" s="440"/>
      <c r="AH111" s="440"/>
      <c r="AI111" s="440"/>
      <c r="AJ111" s="442" t="s">
        <v>1080</v>
      </c>
      <c r="AK111" s="350" t="s">
        <v>1081</v>
      </c>
      <c r="AL111" s="350" t="s">
        <v>1081</v>
      </c>
      <c r="AM111" s="350"/>
      <c r="AN111" s="440"/>
      <c r="AO111" s="440"/>
      <c r="AP111" s="442" t="s">
        <v>1082</v>
      </c>
      <c r="AQ111" s="413" t="s">
        <v>1078</v>
      </c>
      <c r="AR111" s="412" t="s">
        <v>1095</v>
      </c>
      <c r="AS111" s="440" t="s">
        <v>64</v>
      </c>
      <c r="AT111" s="440" t="s">
        <v>95</v>
      </c>
      <c r="AU111" s="395"/>
    </row>
    <row r="112" spans="1:48">
      <c r="A112" s="524">
        <v>94</v>
      </c>
      <c r="B112" s="403">
        <v>10</v>
      </c>
      <c r="C112" s="440" t="s">
        <v>384</v>
      </c>
      <c r="D112" s="437" t="s">
        <v>382</v>
      </c>
      <c r="E112" s="440" t="s">
        <v>81</v>
      </c>
      <c r="F112" s="440" t="s">
        <v>344</v>
      </c>
      <c r="G112" s="441">
        <v>43299</v>
      </c>
      <c r="H112" s="357">
        <v>43299</v>
      </c>
      <c r="I112" s="357">
        <v>43664</v>
      </c>
      <c r="J112" s="441"/>
      <c r="K112" s="440">
        <f t="shared" ca="1" si="33"/>
        <v>2</v>
      </c>
      <c r="L112" s="440">
        <f t="shared" ca="1" si="34"/>
        <v>5</v>
      </c>
      <c r="M112" s="441"/>
      <c r="N112" s="441"/>
      <c r="O112" s="440" t="s">
        <v>76</v>
      </c>
      <c r="P112" s="440" t="s">
        <v>36</v>
      </c>
      <c r="Q112" s="440" t="s">
        <v>41</v>
      </c>
      <c r="R112" s="441">
        <v>25432</v>
      </c>
      <c r="S112" s="438">
        <f t="shared" ca="1" si="35"/>
        <v>51</v>
      </c>
      <c r="T112" s="438">
        <f t="shared" ca="1" si="36"/>
        <v>4</v>
      </c>
      <c r="U112" s="440" t="s">
        <v>184</v>
      </c>
      <c r="V112" s="440" t="s">
        <v>48</v>
      </c>
      <c r="W112" s="440" t="s">
        <v>48</v>
      </c>
      <c r="X112" s="440" t="s">
        <v>48</v>
      </c>
      <c r="Y112" s="440" t="s">
        <v>48</v>
      </c>
      <c r="Z112" s="440" t="s">
        <v>48</v>
      </c>
      <c r="AA112" s="440" t="s">
        <v>48</v>
      </c>
      <c r="AB112" s="440" t="s">
        <v>48</v>
      </c>
      <c r="AC112" s="440" t="s">
        <v>48</v>
      </c>
      <c r="AD112" s="440" t="s">
        <v>48</v>
      </c>
      <c r="AE112" s="440" t="s">
        <v>48</v>
      </c>
      <c r="AF112" s="440" t="s">
        <v>48</v>
      </c>
      <c r="AG112" s="374"/>
      <c r="AH112" s="441"/>
      <c r="AI112" s="440"/>
      <c r="AJ112" s="439" t="s">
        <v>385</v>
      </c>
      <c r="AK112" s="350" t="s">
        <v>386</v>
      </c>
      <c r="AL112" s="350"/>
      <c r="AM112" s="350"/>
      <c r="AN112" s="440"/>
      <c r="AO112" s="440" t="s">
        <v>48</v>
      </c>
      <c r="AP112" s="442" t="s">
        <v>387</v>
      </c>
      <c r="AQ112" s="439" t="s">
        <v>382</v>
      </c>
      <c r="AR112" s="439" t="s">
        <v>905</v>
      </c>
      <c r="AS112" s="440" t="s">
        <v>64</v>
      </c>
      <c r="AT112" s="440" t="s">
        <v>95</v>
      </c>
      <c r="AU112" s="380"/>
      <c r="AV112" s="436" t="s">
        <v>1869</v>
      </c>
    </row>
    <row r="113" spans="1:48">
      <c r="A113" s="524">
        <v>95</v>
      </c>
      <c r="B113" s="345">
        <v>11</v>
      </c>
      <c r="C113" s="398" t="s">
        <v>875</v>
      </c>
      <c r="D113" s="406" t="s">
        <v>873</v>
      </c>
      <c r="E113" s="409" t="s">
        <v>1327</v>
      </c>
      <c r="F113" s="440" t="s">
        <v>344</v>
      </c>
      <c r="G113" s="441">
        <v>43733</v>
      </c>
      <c r="H113" s="441">
        <v>43733</v>
      </c>
      <c r="I113" s="405"/>
      <c r="J113" s="405"/>
      <c r="K113" s="440">
        <f t="shared" ca="1" si="33"/>
        <v>1</v>
      </c>
      <c r="L113" s="347">
        <f t="shared" ca="1" si="34"/>
        <v>3</v>
      </c>
      <c r="M113" s="483"/>
      <c r="N113" s="483"/>
      <c r="O113" s="440" t="s">
        <v>35</v>
      </c>
      <c r="P113" s="440" t="s">
        <v>36</v>
      </c>
      <c r="Q113" s="409" t="s">
        <v>37</v>
      </c>
      <c r="R113" s="441">
        <v>32429</v>
      </c>
      <c r="S113" s="438">
        <f t="shared" ca="1" si="35"/>
        <v>32</v>
      </c>
      <c r="T113" s="438">
        <f t="shared" ca="1" si="36"/>
        <v>2</v>
      </c>
      <c r="U113" s="409" t="s">
        <v>876</v>
      </c>
      <c r="V113" s="409" t="s">
        <v>153</v>
      </c>
      <c r="W113" s="440" t="s">
        <v>44</v>
      </c>
      <c r="X113" s="440" t="s">
        <v>45</v>
      </c>
      <c r="Y113" s="484" t="s">
        <v>877</v>
      </c>
      <c r="Z113" s="388">
        <v>33185</v>
      </c>
      <c r="AA113" s="484" t="s">
        <v>878</v>
      </c>
      <c r="AB113" s="388">
        <v>41761</v>
      </c>
      <c r="AC113" s="438">
        <f ca="1">DATEDIF(AB113,$B$1,"Y")</f>
        <v>6</v>
      </c>
      <c r="AD113" s="485" t="s">
        <v>879</v>
      </c>
      <c r="AE113" s="388">
        <v>43674</v>
      </c>
      <c r="AF113" s="440" t="s">
        <v>48</v>
      </c>
      <c r="AG113" s="440" t="s">
        <v>48</v>
      </c>
      <c r="AH113" s="440" t="s">
        <v>48</v>
      </c>
      <c r="AI113" s="440" t="s">
        <v>48</v>
      </c>
      <c r="AJ113" s="486" t="s">
        <v>880</v>
      </c>
      <c r="AK113" s="485" t="s">
        <v>881</v>
      </c>
      <c r="AL113" s="485" t="s">
        <v>881</v>
      </c>
      <c r="AM113" s="487"/>
      <c r="AN113" s="405"/>
      <c r="AO113" s="404" t="s">
        <v>48</v>
      </c>
      <c r="AP113" s="488" t="s">
        <v>882</v>
      </c>
      <c r="AQ113" s="407" t="s">
        <v>873</v>
      </c>
      <c r="AR113" s="409" t="s">
        <v>884</v>
      </c>
      <c r="AS113" s="440" t="s">
        <v>64</v>
      </c>
      <c r="AT113" s="440" t="s">
        <v>95</v>
      </c>
      <c r="AU113" s="411"/>
      <c r="AV113" s="436" t="s">
        <v>1869</v>
      </c>
    </row>
    <row r="114" spans="1:48">
      <c r="A114" s="524">
        <v>96</v>
      </c>
      <c r="B114" s="403">
        <v>12</v>
      </c>
      <c r="C114" s="375" t="s">
        <v>2269</v>
      </c>
      <c r="D114" s="373" t="s">
        <v>1309</v>
      </c>
      <c r="E114" s="375" t="s">
        <v>502</v>
      </c>
      <c r="F114" s="372" t="s">
        <v>344</v>
      </c>
      <c r="G114" s="389">
        <v>43851</v>
      </c>
      <c r="H114" s="389">
        <v>43851</v>
      </c>
      <c r="I114" s="375"/>
      <c r="J114" s="375"/>
      <c r="K114" s="372">
        <f t="shared" ca="1" si="33"/>
        <v>0</v>
      </c>
      <c r="L114" s="372">
        <f t="shared" ca="1" si="34"/>
        <v>11</v>
      </c>
      <c r="M114" s="375"/>
      <c r="N114" s="375"/>
      <c r="O114" s="372" t="s">
        <v>35</v>
      </c>
      <c r="P114" s="375" t="s">
        <v>36</v>
      </c>
      <c r="Q114" s="375" t="s">
        <v>41</v>
      </c>
      <c r="R114" s="389">
        <v>32150</v>
      </c>
      <c r="S114" s="452">
        <f t="shared" ca="1" si="35"/>
        <v>32</v>
      </c>
      <c r="T114" s="452">
        <f t="shared" ca="1" si="36"/>
        <v>11</v>
      </c>
      <c r="U114" s="375" t="s">
        <v>152</v>
      </c>
      <c r="V114" s="375" t="s">
        <v>732</v>
      </c>
      <c r="W114" s="375"/>
      <c r="X114" s="372" t="s">
        <v>45</v>
      </c>
      <c r="Y114" s="375"/>
      <c r="Z114" s="389"/>
      <c r="AA114" s="375"/>
      <c r="AB114" s="389"/>
      <c r="AC114" s="452"/>
      <c r="AD114" s="372"/>
      <c r="AE114" s="372"/>
      <c r="AF114" s="372"/>
      <c r="AG114" s="372"/>
      <c r="AH114" s="372"/>
      <c r="AI114" s="372"/>
      <c r="AJ114" s="391" t="s">
        <v>1318</v>
      </c>
      <c r="AK114" s="373" t="s">
        <v>1319</v>
      </c>
      <c r="AL114" s="373" t="s">
        <v>1319</v>
      </c>
      <c r="AM114" s="375"/>
      <c r="AN114" s="375"/>
      <c r="AO114" s="375"/>
      <c r="AP114" s="391" t="s">
        <v>1320</v>
      </c>
      <c r="AQ114" s="375" t="s">
        <v>1309</v>
      </c>
      <c r="AR114" s="391" t="s">
        <v>1328</v>
      </c>
      <c r="AS114" s="372" t="s">
        <v>64</v>
      </c>
      <c r="AT114" s="372" t="s">
        <v>95</v>
      </c>
      <c r="AU114" s="375"/>
      <c r="AV114" s="436" t="s">
        <v>1869</v>
      </c>
    </row>
    <row r="115" spans="1:48">
      <c r="A115" s="524">
        <v>97</v>
      </c>
      <c r="B115" s="345">
        <v>13</v>
      </c>
      <c r="C115" s="443" t="s">
        <v>2270</v>
      </c>
      <c r="D115" s="546" t="s">
        <v>1410</v>
      </c>
      <c r="E115" s="409" t="s">
        <v>1311</v>
      </c>
      <c r="F115" s="440" t="s">
        <v>344</v>
      </c>
      <c r="G115" s="441">
        <v>43936</v>
      </c>
      <c r="H115" s="441">
        <v>43936</v>
      </c>
      <c r="I115" s="444"/>
      <c r="J115" s="416"/>
      <c r="K115" s="440">
        <f t="shared" ca="1" si="33"/>
        <v>0</v>
      </c>
      <c r="L115" s="347">
        <f t="shared" ca="1" si="34"/>
        <v>8</v>
      </c>
      <c r="M115" s="416"/>
      <c r="N115" s="416"/>
      <c r="O115" s="440" t="s">
        <v>35</v>
      </c>
      <c r="P115" s="440" t="s">
        <v>36</v>
      </c>
      <c r="Q115" s="409" t="s">
        <v>37</v>
      </c>
      <c r="R115" s="441">
        <v>32833</v>
      </c>
      <c r="S115" s="438">
        <f t="shared" ca="1" si="35"/>
        <v>31</v>
      </c>
      <c r="T115" s="438">
        <f t="shared" ca="1" si="36"/>
        <v>1</v>
      </c>
      <c r="U115" s="409" t="s">
        <v>152</v>
      </c>
      <c r="V115" s="416"/>
      <c r="W115" s="416"/>
      <c r="X115" s="416"/>
      <c r="Y115" s="416"/>
      <c r="Z115" s="416"/>
      <c r="AA115" s="416"/>
      <c r="AB115" s="416"/>
      <c r="AC115" s="416"/>
      <c r="AD115" s="416"/>
      <c r="AE115" s="416"/>
      <c r="AF115" s="416"/>
      <c r="AG115" s="416"/>
      <c r="AH115" s="416"/>
      <c r="AI115" s="416"/>
      <c r="AJ115" s="486" t="s">
        <v>1421</v>
      </c>
      <c r="AK115" s="547" t="s">
        <v>1422</v>
      </c>
      <c r="AL115" s="547" t="s">
        <v>1422</v>
      </c>
      <c r="AM115" s="416"/>
      <c r="AN115" s="416"/>
      <c r="AO115" s="416"/>
      <c r="AP115" s="494" t="s">
        <v>1423</v>
      </c>
      <c r="AQ115" s="552" t="s">
        <v>1410</v>
      </c>
      <c r="AR115" s="378" t="s">
        <v>1433</v>
      </c>
      <c r="AS115" s="440" t="s">
        <v>64</v>
      </c>
      <c r="AT115" s="440" t="s">
        <v>95</v>
      </c>
      <c r="AU115" s="416"/>
    </row>
    <row r="116" spans="1:48">
      <c r="A116" s="524">
        <v>98</v>
      </c>
      <c r="B116" s="403">
        <v>14</v>
      </c>
      <c r="C116" s="443" t="s">
        <v>1566</v>
      </c>
      <c r="D116" s="546" t="s">
        <v>1559</v>
      </c>
      <c r="E116" s="409" t="s">
        <v>209</v>
      </c>
      <c r="F116" s="440" t="s">
        <v>344</v>
      </c>
      <c r="G116" s="441">
        <v>44054</v>
      </c>
      <c r="H116" s="441">
        <v>44054</v>
      </c>
      <c r="I116" s="444"/>
      <c r="J116" s="416"/>
      <c r="K116" s="440">
        <f t="shared" ca="1" si="33"/>
        <v>0</v>
      </c>
      <c r="L116" s="347">
        <f t="shared" ca="1" si="34"/>
        <v>4</v>
      </c>
      <c r="M116" s="416"/>
      <c r="N116" s="416"/>
      <c r="O116" s="440" t="s">
        <v>35</v>
      </c>
      <c r="P116" s="440" t="s">
        <v>36</v>
      </c>
      <c r="Q116" s="409" t="s">
        <v>1560</v>
      </c>
      <c r="R116" s="441">
        <v>35547</v>
      </c>
      <c r="S116" s="438">
        <f t="shared" ca="1" si="35"/>
        <v>23</v>
      </c>
      <c r="T116" s="438">
        <f t="shared" ca="1" si="36"/>
        <v>8</v>
      </c>
      <c r="U116" s="409" t="s">
        <v>152</v>
      </c>
      <c r="V116" s="443" t="s">
        <v>153</v>
      </c>
      <c r="W116" s="416"/>
      <c r="X116" s="416"/>
      <c r="Y116" s="416"/>
      <c r="Z116" s="416"/>
      <c r="AA116" s="416"/>
      <c r="AB116" s="416"/>
      <c r="AC116" s="416"/>
      <c r="AD116" s="416"/>
      <c r="AE116" s="416"/>
      <c r="AF116" s="416"/>
      <c r="AG116" s="416"/>
      <c r="AH116" s="416"/>
      <c r="AI116" s="416"/>
      <c r="AJ116" s="486" t="s">
        <v>1561</v>
      </c>
      <c r="AK116" s="547" t="s">
        <v>1562</v>
      </c>
      <c r="AL116" s="547" t="s">
        <v>1563</v>
      </c>
      <c r="AM116" s="416"/>
      <c r="AN116" s="416"/>
      <c r="AO116" s="416"/>
      <c r="AP116" s="432" t="s">
        <v>1564</v>
      </c>
      <c r="AQ116" s="552" t="s">
        <v>1559</v>
      </c>
      <c r="AR116" s="379" t="s">
        <v>1601</v>
      </c>
      <c r="AS116" s="440" t="s">
        <v>64</v>
      </c>
      <c r="AT116" s="440" t="s">
        <v>95</v>
      </c>
      <c r="AU116" s="416"/>
    </row>
    <row r="117" spans="1:48">
      <c r="A117" s="524">
        <v>99</v>
      </c>
      <c r="B117" s="345">
        <v>15</v>
      </c>
      <c r="C117" s="440" t="s">
        <v>318</v>
      </c>
      <c r="D117" s="546" t="s">
        <v>208</v>
      </c>
      <c r="E117" s="440" t="s">
        <v>501</v>
      </c>
      <c r="F117" s="440" t="s">
        <v>344</v>
      </c>
      <c r="G117" s="441">
        <v>43202</v>
      </c>
      <c r="H117" s="441">
        <v>43202</v>
      </c>
      <c r="I117" s="441"/>
      <c r="J117" s="441"/>
      <c r="K117" s="440">
        <f t="shared" ca="1" si="33"/>
        <v>2</v>
      </c>
      <c r="L117" s="440">
        <f t="shared" ca="1" si="34"/>
        <v>8</v>
      </c>
      <c r="M117" s="441"/>
      <c r="N117" s="441"/>
      <c r="O117" s="440" t="s">
        <v>35</v>
      </c>
      <c r="P117" s="440" t="s">
        <v>36</v>
      </c>
      <c r="Q117" s="440" t="s">
        <v>41</v>
      </c>
      <c r="R117" s="441">
        <v>28657</v>
      </c>
      <c r="S117" s="438">
        <f t="shared" ca="1" si="35"/>
        <v>42</v>
      </c>
      <c r="T117" s="438">
        <f t="shared" ca="1" si="36"/>
        <v>6</v>
      </c>
      <c r="U117" s="440" t="s">
        <v>184</v>
      </c>
      <c r="V117" s="440" t="s">
        <v>48</v>
      </c>
      <c r="W117" s="440" t="s">
        <v>48</v>
      </c>
      <c r="X117" s="440" t="s">
        <v>210</v>
      </c>
      <c r="Y117" s="440" t="s">
        <v>233</v>
      </c>
      <c r="Z117" s="441"/>
      <c r="AA117" s="440" t="s">
        <v>211</v>
      </c>
      <c r="AB117" s="441"/>
      <c r="AC117" s="350"/>
      <c r="AD117" s="350" t="s">
        <v>212</v>
      </c>
      <c r="AE117" s="497"/>
      <c r="AF117" s="350"/>
      <c r="AG117" s="374"/>
      <c r="AH117" s="441"/>
      <c r="AI117" s="440"/>
      <c r="AJ117" s="439" t="s">
        <v>213</v>
      </c>
      <c r="AK117" s="350" t="s">
        <v>84</v>
      </c>
      <c r="AL117" s="350" t="s">
        <v>84</v>
      </c>
      <c r="AM117" s="350"/>
      <c r="AN117" s="440"/>
      <c r="AO117" s="440" t="s">
        <v>48</v>
      </c>
      <c r="AP117" s="439" t="s">
        <v>214</v>
      </c>
      <c r="AQ117" s="439" t="s">
        <v>208</v>
      </c>
      <c r="AR117" s="439" t="s">
        <v>954</v>
      </c>
      <c r="AS117" s="440" t="s">
        <v>64</v>
      </c>
      <c r="AT117" s="440" t="s">
        <v>95</v>
      </c>
      <c r="AU117" s="380" t="s">
        <v>215</v>
      </c>
    </row>
    <row r="118" spans="1:48">
      <c r="A118" s="524">
        <v>100</v>
      </c>
      <c r="B118" s="403">
        <v>16</v>
      </c>
      <c r="C118" s="440" t="s">
        <v>1747</v>
      </c>
      <c r="D118" s="604" t="s">
        <v>1740</v>
      </c>
      <c r="E118" s="440" t="s">
        <v>1336</v>
      </c>
      <c r="F118" s="440" t="s">
        <v>344</v>
      </c>
      <c r="G118" s="441">
        <v>44130</v>
      </c>
      <c r="H118" s="441">
        <v>44130</v>
      </c>
      <c r="I118" s="441"/>
      <c r="J118" s="441"/>
      <c r="K118" s="440">
        <f t="shared" ca="1" si="33"/>
        <v>0</v>
      </c>
      <c r="L118" s="440">
        <f t="shared" ca="1" si="34"/>
        <v>2</v>
      </c>
      <c r="M118" s="441"/>
      <c r="N118" s="441"/>
      <c r="O118" s="440" t="s">
        <v>35</v>
      </c>
      <c r="P118" s="440" t="s">
        <v>36</v>
      </c>
      <c r="Q118" s="440" t="s">
        <v>1023</v>
      </c>
      <c r="R118" s="441">
        <v>35294</v>
      </c>
      <c r="S118" s="438">
        <f t="shared" ca="1" si="35"/>
        <v>24</v>
      </c>
      <c r="T118" s="438">
        <f t="shared" ca="1" si="36"/>
        <v>4</v>
      </c>
      <c r="U118" s="440" t="s">
        <v>130</v>
      </c>
      <c r="V118" s="440" t="s">
        <v>571</v>
      </c>
      <c r="W118" s="440" t="s">
        <v>44</v>
      </c>
      <c r="X118" s="440"/>
      <c r="Y118" s="440"/>
      <c r="Z118" s="441"/>
      <c r="AA118" s="440"/>
      <c r="AB118" s="441"/>
      <c r="AC118" s="350"/>
      <c r="AD118" s="350"/>
      <c r="AE118" s="497"/>
      <c r="AF118" s="350"/>
      <c r="AG118" s="374"/>
      <c r="AH118" s="441"/>
      <c r="AI118" s="440"/>
      <c r="AJ118" s="439" t="s">
        <v>1741</v>
      </c>
      <c r="AK118" s="350" t="s">
        <v>1742</v>
      </c>
      <c r="AL118" s="350" t="s">
        <v>1742</v>
      </c>
      <c r="AM118" s="350"/>
      <c r="AN118" s="440"/>
      <c r="AO118" s="440"/>
      <c r="AP118" s="439" t="s">
        <v>1743</v>
      </c>
      <c r="AQ118" s="439" t="s">
        <v>1740</v>
      </c>
      <c r="AR118" s="439" t="s">
        <v>1774</v>
      </c>
      <c r="AS118" s="440" t="s">
        <v>64</v>
      </c>
      <c r="AT118" s="440" t="s">
        <v>95</v>
      </c>
      <c r="AU118" s="380"/>
    </row>
    <row r="119" spans="1:48">
      <c r="A119" s="569"/>
      <c r="B119" s="537"/>
      <c r="C119" s="566"/>
      <c r="D119" s="538"/>
      <c r="E119" s="539"/>
      <c r="F119" s="427"/>
      <c r="G119" s="507"/>
      <c r="H119" s="507"/>
      <c r="I119" s="624"/>
      <c r="J119" s="540"/>
      <c r="K119" s="427"/>
      <c r="L119" s="541"/>
      <c r="M119" s="540"/>
      <c r="N119" s="540"/>
      <c r="O119" s="427"/>
      <c r="P119" s="427"/>
      <c r="Q119" s="539"/>
      <c r="R119" s="507"/>
      <c r="S119" s="542"/>
      <c r="T119" s="542"/>
      <c r="U119" s="539"/>
      <c r="V119" s="540"/>
      <c r="W119" s="540"/>
      <c r="X119" s="540"/>
      <c r="Y119" s="540"/>
      <c r="Z119" s="540"/>
      <c r="AA119" s="540"/>
      <c r="AB119" s="540"/>
      <c r="AC119" s="540"/>
      <c r="AD119" s="540"/>
      <c r="AE119" s="540"/>
      <c r="AF119" s="540"/>
      <c r="AG119" s="540"/>
      <c r="AH119" s="540"/>
      <c r="AI119" s="540"/>
      <c r="AJ119" s="543"/>
      <c r="AK119" s="544"/>
      <c r="AL119" s="544"/>
      <c r="AM119" s="540"/>
      <c r="AN119" s="540"/>
      <c r="AO119" s="540"/>
      <c r="AP119" s="545"/>
      <c r="AQ119" s="538"/>
      <c r="AR119" s="367"/>
      <c r="AS119" s="427"/>
      <c r="AT119" s="540"/>
      <c r="AU119" s="540"/>
    </row>
    <row r="120" spans="1:48">
      <c r="A120" s="568"/>
      <c r="B120" s="829" t="s">
        <v>1425</v>
      </c>
      <c r="C120" s="830"/>
      <c r="D120" s="832"/>
      <c r="E120" s="467"/>
      <c r="F120" s="460"/>
      <c r="G120" s="462"/>
      <c r="H120" s="462"/>
      <c r="I120" s="467"/>
      <c r="J120" s="467"/>
      <c r="K120" s="460"/>
      <c r="L120" s="460"/>
      <c r="M120" s="467"/>
      <c r="N120" s="467"/>
      <c r="O120" s="460"/>
      <c r="P120" s="467"/>
      <c r="Q120" s="467"/>
      <c r="R120" s="462"/>
      <c r="S120" s="463"/>
      <c r="T120" s="463"/>
      <c r="U120" s="467"/>
      <c r="V120" s="467"/>
      <c r="W120" s="467"/>
      <c r="X120" s="460"/>
      <c r="Y120" s="467"/>
      <c r="Z120" s="462"/>
      <c r="AA120" s="467"/>
      <c r="AB120" s="462"/>
      <c r="AC120" s="463"/>
      <c r="AD120" s="460"/>
      <c r="AE120" s="460"/>
      <c r="AF120" s="460"/>
      <c r="AG120" s="460"/>
      <c r="AH120" s="460"/>
      <c r="AI120" s="460"/>
      <c r="AJ120" s="465"/>
      <c r="AK120" s="461"/>
      <c r="AL120" s="461"/>
      <c r="AM120" s="467"/>
      <c r="AN120" s="467"/>
      <c r="AO120" s="467"/>
      <c r="AP120" s="465"/>
      <c r="AQ120" s="467"/>
      <c r="AR120" s="465"/>
      <c r="AS120" s="460"/>
      <c r="AT120" s="460"/>
      <c r="AU120" s="467"/>
    </row>
    <row r="121" spans="1:48">
      <c r="A121" s="524">
        <v>101</v>
      </c>
      <c r="B121" s="440">
        <v>1</v>
      </c>
      <c r="C121" s="379" t="s">
        <v>2271</v>
      </c>
      <c r="D121" s="437" t="s">
        <v>1404</v>
      </c>
      <c r="E121" s="440" t="s">
        <v>995</v>
      </c>
      <c r="F121" s="440" t="s">
        <v>344</v>
      </c>
      <c r="G121" s="441">
        <v>43927</v>
      </c>
      <c r="H121" s="441">
        <v>43927</v>
      </c>
      <c r="I121" s="441"/>
      <c r="J121" s="441"/>
      <c r="K121" s="440">
        <f t="shared" ref="K121:K126" ca="1" si="37">DATEDIF(G121,$B$1,"Y")</f>
        <v>0</v>
      </c>
      <c r="L121" s="440">
        <f t="shared" ref="L121:L126" ca="1" si="38">DATEDIF(G121,$B$1,"YM")</f>
        <v>9</v>
      </c>
      <c r="M121" s="441"/>
      <c r="N121" s="441"/>
      <c r="O121" s="440" t="s">
        <v>35</v>
      </c>
      <c r="P121" s="440" t="s">
        <v>36</v>
      </c>
      <c r="Q121" s="440" t="s">
        <v>41</v>
      </c>
      <c r="R121" s="441">
        <v>34418</v>
      </c>
      <c r="S121" s="438">
        <f t="shared" ref="S121:S126" ca="1" si="39">DATEDIF(R121,$B$1,"Y")</f>
        <v>26</v>
      </c>
      <c r="T121" s="438">
        <f t="shared" ref="T121:T126" ca="1" si="40">DATEDIF(R121,$B$1,"YM")</f>
        <v>9</v>
      </c>
      <c r="U121" s="440" t="s">
        <v>130</v>
      </c>
      <c r="V121" s="440" t="s">
        <v>1405</v>
      </c>
      <c r="W121" s="506" t="s">
        <v>48</v>
      </c>
      <c r="X121" s="440" t="s">
        <v>59</v>
      </c>
      <c r="Y121" s="440"/>
      <c r="Z121" s="440"/>
      <c r="AA121" s="440"/>
      <c r="AB121" s="440"/>
      <c r="AC121" s="440"/>
      <c r="AD121" s="440"/>
      <c r="AE121" s="440"/>
      <c r="AF121" s="440"/>
      <c r="AG121" s="388"/>
      <c r="AH121" s="388"/>
      <c r="AI121" s="388"/>
      <c r="AJ121" s="442" t="s">
        <v>1406</v>
      </c>
      <c r="AK121" s="350" t="s">
        <v>1407</v>
      </c>
      <c r="AL121" s="350" t="s">
        <v>1407</v>
      </c>
      <c r="AM121" s="350"/>
      <c r="AN121" s="440"/>
      <c r="AO121" s="440"/>
      <c r="AP121" s="442" t="s">
        <v>1408</v>
      </c>
      <c r="AQ121" s="439" t="s">
        <v>1404</v>
      </c>
      <c r="AR121" s="391" t="s">
        <v>1434</v>
      </c>
      <c r="AS121" s="440" t="s">
        <v>64</v>
      </c>
      <c r="AT121" s="440" t="s">
        <v>95</v>
      </c>
      <c r="AU121" s="364" t="s">
        <v>1409</v>
      </c>
    </row>
    <row r="122" spans="1:48">
      <c r="A122" s="524">
        <v>102</v>
      </c>
      <c r="B122" s="345">
        <v>2</v>
      </c>
      <c r="C122" s="379" t="s">
        <v>1381</v>
      </c>
      <c r="D122" s="437" t="s">
        <v>1382</v>
      </c>
      <c r="E122" s="440" t="s">
        <v>446</v>
      </c>
      <c r="F122" s="440" t="s">
        <v>344</v>
      </c>
      <c r="G122" s="441">
        <v>43922</v>
      </c>
      <c r="H122" s="441">
        <v>43922</v>
      </c>
      <c r="I122" s="441"/>
      <c r="J122" s="441"/>
      <c r="K122" s="440">
        <f t="shared" ca="1" si="37"/>
        <v>0</v>
      </c>
      <c r="L122" s="440">
        <f t="shared" ca="1" si="38"/>
        <v>9</v>
      </c>
      <c r="M122" s="441"/>
      <c r="N122" s="441"/>
      <c r="O122" s="440" t="s">
        <v>76</v>
      </c>
      <c r="P122" s="440" t="s">
        <v>36</v>
      </c>
      <c r="Q122" s="440" t="s">
        <v>41</v>
      </c>
      <c r="R122" s="441">
        <v>34574</v>
      </c>
      <c r="S122" s="438">
        <f t="shared" ca="1" si="39"/>
        <v>26</v>
      </c>
      <c r="T122" s="438">
        <f t="shared" ca="1" si="40"/>
        <v>4</v>
      </c>
      <c r="U122" s="440" t="s">
        <v>130</v>
      </c>
      <c r="V122" s="440" t="s">
        <v>848</v>
      </c>
      <c r="W122" s="440" t="s">
        <v>224</v>
      </c>
      <c r="X122" s="440" t="s">
        <v>59</v>
      </c>
      <c r="Y122" s="440"/>
      <c r="Z122" s="440"/>
      <c r="AA122" s="440"/>
      <c r="AB122" s="440"/>
      <c r="AC122" s="440"/>
      <c r="AD122" s="440"/>
      <c r="AE122" s="440"/>
      <c r="AF122" s="440"/>
      <c r="AG122" s="388"/>
      <c r="AH122" s="388"/>
      <c r="AI122" s="388"/>
      <c r="AJ122" s="442" t="s">
        <v>1396</v>
      </c>
      <c r="AK122" s="350" t="s">
        <v>1397</v>
      </c>
      <c r="AL122" s="350" t="s">
        <v>1398</v>
      </c>
      <c r="AM122" s="350"/>
      <c r="AN122" s="440"/>
      <c r="AO122" s="440"/>
      <c r="AP122" s="442" t="s">
        <v>1399</v>
      </c>
      <c r="AQ122" s="439" t="s">
        <v>1382</v>
      </c>
      <c r="AR122" s="442" t="s">
        <v>1418</v>
      </c>
      <c r="AS122" s="440" t="s">
        <v>64</v>
      </c>
      <c r="AT122" s="365" t="s">
        <v>48</v>
      </c>
      <c r="AU122" s="364" t="s">
        <v>1400</v>
      </c>
    </row>
    <row r="123" spans="1:48">
      <c r="A123" s="524">
        <v>103</v>
      </c>
      <c r="B123" s="440">
        <v>3</v>
      </c>
      <c r="C123" s="398" t="s">
        <v>924</v>
      </c>
      <c r="D123" s="437" t="s">
        <v>920</v>
      </c>
      <c r="E123" s="440" t="s">
        <v>788</v>
      </c>
      <c r="F123" s="372" t="s">
        <v>344</v>
      </c>
      <c r="G123" s="389">
        <v>43770</v>
      </c>
      <c r="H123" s="389">
        <v>43770</v>
      </c>
      <c r="I123" s="389"/>
      <c r="J123" s="389"/>
      <c r="K123" s="372">
        <f t="shared" ca="1" si="37"/>
        <v>1</v>
      </c>
      <c r="L123" s="372">
        <f t="shared" ca="1" si="38"/>
        <v>2</v>
      </c>
      <c r="M123" s="389"/>
      <c r="N123" s="389"/>
      <c r="O123" s="372" t="s">
        <v>76</v>
      </c>
      <c r="P123" s="372" t="s">
        <v>36</v>
      </c>
      <c r="Q123" s="372" t="s">
        <v>41</v>
      </c>
      <c r="R123" s="389">
        <v>35439</v>
      </c>
      <c r="S123" s="452">
        <f t="shared" ca="1" si="39"/>
        <v>23</v>
      </c>
      <c r="T123" s="452">
        <f t="shared" ca="1" si="40"/>
        <v>11</v>
      </c>
      <c r="U123" s="372" t="s">
        <v>916</v>
      </c>
      <c r="V123" s="372" t="s">
        <v>161</v>
      </c>
      <c r="W123" s="372"/>
      <c r="X123" s="372" t="s">
        <v>59</v>
      </c>
      <c r="Y123" s="372"/>
      <c r="Z123" s="372"/>
      <c r="AA123" s="372"/>
      <c r="AB123" s="372"/>
      <c r="AC123" s="372"/>
      <c r="AD123" s="372"/>
      <c r="AE123" s="372"/>
      <c r="AF123" s="372"/>
      <c r="AG123" s="390"/>
      <c r="AH123" s="390"/>
      <c r="AI123" s="390"/>
      <c r="AJ123" s="391" t="s">
        <v>917</v>
      </c>
      <c r="AK123" s="392" t="s">
        <v>918</v>
      </c>
      <c r="AL123" s="392" t="s">
        <v>918</v>
      </c>
      <c r="AM123" s="392"/>
      <c r="AN123" s="372"/>
      <c r="AO123" s="372"/>
      <c r="AP123" s="391" t="s">
        <v>919</v>
      </c>
      <c r="AQ123" s="375" t="s">
        <v>920</v>
      </c>
      <c r="AR123" s="391" t="s">
        <v>983</v>
      </c>
      <c r="AS123" s="372" t="s">
        <v>64</v>
      </c>
      <c r="AT123" s="372" t="s">
        <v>95</v>
      </c>
      <c r="AU123" s="481" t="s">
        <v>921</v>
      </c>
      <c r="AV123" s="436" t="s">
        <v>1869</v>
      </c>
    </row>
    <row r="124" spans="1:48">
      <c r="A124" s="524">
        <v>104</v>
      </c>
      <c r="B124" s="345">
        <v>4</v>
      </c>
      <c r="C124" s="609" t="s">
        <v>1861</v>
      </c>
      <c r="D124" s="437" t="s">
        <v>1702</v>
      </c>
      <c r="E124" s="440" t="s">
        <v>1442</v>
      </c>
      <c r="F124" s="440" t="s">
        <v>344</v>
      </c>
      <c r="G124" s="441">
        <v>44111</v>
      </c>
      <c r="H124" s="441">
        <v>44111</v>
      </c>
      <c r="I124" s="441"/>
      <c r="J124" s="441"/>
      <c r="K124" s="440">
        <f t="shared" ca="1" si="37"/>
        <v>0</v>
      </c>
      <c r="L124" s="440">
        <f t="shared" ca="1" si="38"/>
        <v>2</v>
      </c>
      <c r="M124" s="441"/>
      <c r="N124" s="441"/>
      <c r="O124" s="440" t="s">
        <v>76</v>
      </c>
      <c r="P124" s="440" t="s">
        <v>36</v>
      </c>
      <c r="Q124" s="440" t="s">
        <v>129</v>
      </c>
      <c r="R124" s="441">
        <v>35596</v>
      </c>
      <c r="S124" s="438">
        <f t="shared" ca="1" si="39"/>
        <v>23</v>
      </c>
      <c r="T124" s="438">
        <f t="shared" ca="1" si="40"/>
        <v>6</v>
      </c>
      <c r="U124" s="440" t="s">
        <v>130</v>
      </c>
      <c r="V124" s="440" t="s">
        <v>161</v>
      </c>
      <c r="W124" s="440"/>
      <c r="X124" s="440" t="s">
        <v>59</v>
      </c>
      <c r="Y124" s="440"/>
      <c r="Z124" s="440"/>
      <c r="AA124" s="440"/>
      <c r="AB124" s="440"/>
      <c r="AC124" s="440"/>
      <c r="AD124" s="440"/>
      <c r="AE124" s="440"/>
      <c r="AF124" s="440"/>
      <c r="AG124" s="388"/>
      <c r="AH124" s="388"/>
      <c r="AI124" s="388"/>
      <c r="AJ124" s="442" t="s">
        <v>1703</v>
      </c>
      <c r="AK124" s="350" t="s">
        <v>1704</v>
      </c>
      <c r="AL124" s="350" t="s">
        <v>1704</v>
      </c>
      <c r="AM124" s="350"/>
      <c r="AN124" s="440"/>
      <c r="AO124" s="440"/>
      <c r="AP124" s="442" t="s">
        <v>1705</v>
      </c>
      <c r="AQ124" s="439" t="s">
        <v>1702</v>
      </c>
      <c r="AR124" s="442" t="s">
        <v>1706</v>
      </c>
      <c r="AS124" s="440" t="s">
        <v>64</v>
      </c>
      <c r="AT124" s="365" t="s">
        <v>1707</v>
      </c>
      <c r="AU124" s="364" t="s">
        <v>1708</v>
      </c>
    </row>
    <row r="125" spans="1:48">
      <c r="A125" s="524">
        <v>105</v>
      </c>
      <c r="B125" s="440">
        <v>5</v>
      </c>
      <c r="C125" s="609" t="s">
        <v>2155</v>
      </c>
      <c r="D125" s="603" t="s">
        <v>2150</v>
      </c>
      <c r="E125" s="440" t="s">
        <v>995</v>
      </c>
      <c r="F125" s="440" t="s">
        <v>344</v>
      </c>
      <c r="G125" s="441">
        <v>44172</v>
      </c>
      <c r="H125" s="441">
        <v>44172</v>
      </c>
      <c r="I125" s="441"/>
      <c r="J125" s="441"/>
      <c r="K125" s="440">
        <f t="shared" ca="1" si="37"/>
        <v>0</v>
      </c>
      <c r="L125" s="440">
        <f t="shared" ca="1" si="38"/>
        <v>0</v>
      </c>
      <c r="M125" s="441"/>
      <c r="N125" s="441"/>
      <c r="O125" s="440" t="s">
        <v>76</v>
      </c>
      <c r="P125" s="440" t="s">
        <v>36</v>
      </c>
      <c r="Q125" s="440" t="s">
        <v>2151</v>
      </c>
      <c r="R125" s="441">
        <v>36004</v>
      </c>
      <c r="S125" s="438">
        <f t="shared" ca="1" si="39"/>
        <v>22</v>
      </c>
      <c r="T125" s="438">
        <f t="shared" ca="1" si="40"/>
        <v>5</v>
      </c>
      <c r="U125" s="440" t="s">
        <v>130</v>
      </c>
      <c r="V125" s="440" t="s">
        <v>2152</v>
      </c>
      <c r="W125" s="440"/>
      <c r="X125" s="440" t="s">
        <v>59</v>
      </c>
      <c r="Y125" s="440"/>
      <c r="Z125" s="440"/>
      <c r="AA125" s="440"/>
      <c r="AB125" s="440"/>
      <c r="AC125" s="440"/>
      <c r="AD125" s="440"/>
      <c r="AE125" s="440"/>
      <c r="AF125" s="440"/>
      <c r="AG125" s="388"/>
      <c r="AH125" s="388"/>
      <c r="AI125" s="388"/>
      <c r="AJ125" s="442" t="s">
        <v>2153</v>
      </c>
      <c r="AK125" s="350" t="s">
        <v>2154</v>
      </c>
      <c r="AL125" s="350" t="s">
        <v>2154</v>
      </c>
      <c r="AM125" s="350"/>
      <c r="AN125" s="440"/>
      <c r="AO125" s="440"/>
      <c r="AP125" s="442" t="s">
        <v>2216</v>
      </c>
      <c r="AQ125" s="439" t="s">
        <v>2150</v>
      </c>
      <c r="AR125" s="442" t="s">
        <v>2192</v>
      </c>
      <c r="AS125" s="440" t="s">
        <v>64</v>
      </c>
      <c r="AT125" s="440" t="s">
        <v>95</v>
      </c>
      <c r="AU125" s="364"/>
    </row>
    <row r="126" spans="1:48">
      <c r="A126" s="524">
        <v>106</v>
      </c>
      <c r="B126" s="440">
        <v>5</v>
      </c>
      <c r="C126" s="609" t="s">
        <v>2385</v>
      </c>
      <c r="D126" s="603" t="s">
        <v>2352</v>
      </c>
      <c r="E126" s="440" t="s">
        <v>446</v>
      </c>
      <c r="F126" s="440" t="s">
        <v>344</v>
      </c>
      <c r="G126" s="441">
        <v>44200</v>
      </c>
      <c r="H126" s="441">
        <v>44200</v>
      </c>
      <c r="I126" s="441"/>
      <c r="J126" s="441"/>
      <c r="K126" s="440">
        <f t="shared" ca="1" si="37"/>
        <v>0</v>
      </c>
      <c r="L126" s="440">
        <f t="shared" ca="1" si="38"/>
        <v>0</v>
      </c>
      <c r="M126" s="441"/>
      <c r="N126" s="441"/>
      <c r="O126" s="440" t="s">
        <v>76</v>
      </c>
      <c r="P126" s="440" t="s">
        <v>36</v>
      </c>
      <c r="Q126" s="440" t="s">
        <v>822</v>
      </c>
      <c r="R126" s="441">
        <v>36445</v>
      </c>
      <c r="S126" s="438">
        <f t="shared" ca="1" si="39"/>
        <v>21</v>
      </c>
      <c r="T126" s="438">
        <f t="shared" ca="1" si="40"/>
        <v>2</v>
      </c>
      <c r="U126" s="440" t="s">
        <v>597</v>
      </c>
      <c r="V126" s="440" t="s">
        <v>161</v>
      </c>
      <c r="W126" s="440" t="s">
        <v>44</v>
      </c>
      <c r="X126" s="440" t="s">
        <v>59</v>
      </c>
      <c r="Y126" s="440"/>
      <c r="Z126" s="440"/>
      <c r="AA126" s="440"/>
      <c r="AB126" s="440"/>
      <c r="AC126" s="440"/>
      <c r="AD126" s="440"/>
      <c r="AE126" s="440"/>
      <c r="AF126" s="440"/>
      <c r="AG126" s="388"/>
      <c r="AH126" s="388"/>
      <c r="AI126" s="388"/>
      <c r="AJ126" s="442" t="s">
        <v>2353</v>
      </c>
      <c r="AK126" s="350" t="s">
        <v>2354</v>
      </c>
      <c r="AL126" s="350" t="s">
        <v>2354</v>
      </c>
      <c r="AM126" s="350"/>
      <c r="AN126" s="440"/>
      <c r="AO126" s="440"/>
      <c r="AP126" s="442" t="s">
        <v>2355</v>
      </c>
      <c r="AQ126" s="439" t="s">
        <v>2352</v>
      </c>
      <c r="AR126" s="442" t="s">
        <v>2356</v>
      </c>
      <c r="AS126" s="440" t="s">
        <v>64</v>
      </c>
      <c r="AT126" s="372" t="s">
        <v>2357</v>
      </c>
      <c r="AU126" s="364" t="s">
        <v>2358</v>
      </c>
    </row>
    <row r="127" spans="1:48">
      <c r="A127" s="608"/>
      <c r="B127" s="537"/>
      <c r="C127" s="566"/>
      <c r="D127" s="538"/>
      <c r="E127" s="539"/>
      <c r="F127" s="427"/>
      <c r="G127" s="507"/>
      <c r="H127" s="507"/>
      <c r="I127" s="624"/>
      <c r="J127" s="540"/>
      <c r="K127" s="427"/>
      <c r="L127" s="541"/>
      <c r="M127" s="540"/>
      <c r="N127" s="540"/>
      <c r="O127" s="427"/>
      <c r="P127" s="427"/>
      <c r="Q127" s="539"/>
      <c r="R127" s="507"/>
      <c r="S127" s="542"/>
      <c r="T127" s="542"/>
      <c r="U127" s="539"/>
      <c r="V127" s="540"/>
      <c r="W127" s="540"/>
      <c r="X127" s="540"/>
      <c r="Y127" s="540"/>
      <c r="Z127" s="540"/>
      <c r="AA127" s="540"/>
      <c r="AB127" s="540"/>
      <c r="AC127" s="540"/>
      <c r="AD127" s="540"/>
      <c r="AE127" s="540"/>
      <c r="AF127" s="540"/>
      <c r="AG127" s="540"/>
      <c r="AH127" s="540"/>
      <c r="AI127" s="540"/>
      <c r="AJ127" s="543"/>
      <c r="AK127" s="544"/>
      <c r="AL127" s="544"/>
      <c r="AM127" s="540"/>
      <c r="AN127" s="540"/>
      <c r="AO127" s="540"/>
      <c r="AP127" s="545"/>
      <c r="AQ127" s="538"/>
      <c r="AR127" s="655"/>
      <c r="AS127" s="427"/>
      <c r="AT127" s="540"/>
      <c r="AU127" s="540"/>
    </row>
    <row r="128" spans="1:48">
      <c r="A128" s="570"/>
      <c r="B128" s="833" t="s">
        <v>1001</v>
      </c>
      <c r="C128" s="833"/>
      <c r="D128" s="833"/>
      <c r="E128" s="449"/>
      <c r="F128" s="450"/>
      <c r="G128" s="450"/>
      <c r="H128" s="449"/>
      <c r="I128" s="449"/>
      <c r="J128" s="450"/>
      <c r="K128" s="450"/>
      <c r="L128" s="450"/>
      <c r="M128" s="450"/>
      <c r="N128" s="450"/>
      <c r="O128" s="450"/>
      <c r="P128" s="450"/>
      <c r="Q128" s="449"/>
      <c r="R128" s="450"/>
      <c r="S128" s="450"/>
      <c r="T128" s="450"/>
      <c r="U128" s="450"/>
      <c r="V128" s="449"/>
      <c r="W128" s="450"/>
      <c r="X128" s="450"/>
      <c r="Y128" s="449"/>
      <c r="Z128" s="450"/>
      <c r="AA128" s="449"/>
      <c r="AB128" s="450"/>
      <c r="AC128" s="450"/>
      <c r="AD128" s="450"/>
      <c r="AE128" s="450"/>
      <c r="AF128" s="450"/>
      <c r="AG128" s="450"/>
      <c r="AH128" s="450"/>
      <c r="AI128" s="450"/>
      <c r="AJ128" s="450"/>
      <c r="AK128" s="450"/>
      <c r="AL128" s="450"/>
      <c r="AM128" s="450"/>
      <c r="AN128" s="449"/>
      <c r="AO128" s="449"/>
      <c r="AP128" s="449"/>
      <c r="AQ128" s="449"/>
      <c r="AR128" s="449"/>
      <c r="AS128" s="449"/>
      <c r="AT128" s="449"/>
      <c r="AU128" s="343"/>
    </row>
    <row r="129" spans="1:48">
      <c r="A129" s="524">
        <v>107</v>
      </c>
      <c r="B129" s="440">
        <v>1</v>
      </c>
      <c r="C129" s="405" t="s">
        <v>2272</v>
      </c>
      <c r="D129" s="406" t="s">
        <v>553</v>
      </c>
      <c r="E129" s="440" t="s">
        <v>144</v>
      </c>
      <c r="F129" s="440" t="s">
        <v>344</v>
      </c>
      <c r="G129" s="441">
        <v>43202</v>
      </c>
      <c r="H129" s="441">
        <v>43202</v>
      </c>
      <c r="I129" s="405"/>
      <c r="J129" s="408"/>
      <c r="K129" s="440">
        <f ca="1">DATEDIF(G129,$B$1,"Y")</f>
        <v>2</v>
      </c>
      <c r="L129" s="440">
        <f t="shared" ref="L129:L167" ca="1" si="41">DATEDIF(G129,$B$1,"YM")</f>
        <v>8</v>
      </c>
      <c r="M129" s="408"/>
      <c r="N129" s="408"/>
      <c r="O129" s="440" t="s">
        <v>35</v>
      </c>
      <c r="P129" s="440" t="s">
        <v>36</v>
      </c>
      <c r="Q129" s="408" t="s">
        <v>197</v>
      </c>
      <c r="R129" s="441">
        <v>33490</v>
      </c>
      <c r="S129" s="438">
        <f ca="1">DATEDIF(R129,$B$1,"Y")</f>
        <v>29</v>
      </c>
      <c r="T129" s="438">
        <f ca="1">DATEDIF(R129,$B$1,"YM")</f>
        <v>3</v>
      </c>
      <c r="U129" s="440" t="s">
        <v>136</v>
      </c>
      <c r="V129" s="408"/>
      <c r="W129" s="408"/>
      <c r="X129" s="440" t="s">
        <v>45</v>
      </c>
      <c r="Y129" s="409" t="s">
        <v>2323</v>
      </c>
      <c r="Z129" s="388">
        <v>34465</v>
      </c>
      <c r="AA129" s="409" t="s">
        <v>2324</v>
      </c>
      <c r="AB129" s="388">
        <v>42872</v>
      </c>
      <c r="AC129" s="438">
        <f ca="1">DATEDIF(AB129,$B$1,"Y")</f>
        <v>3</v>
      </c>
      <c r="AD129" s="408"/>
      <c r="AE129" s="408"/>
      <c r="AF129" s="408"/>
      <c r="AG129" s="408"/>
      <c r="AH129" s="408"/>
      <c r="AI129" s="408"/>
      <c r="AJ129" s="442" t="s">
        <v>2198</v>
      </c>
      <c r="AK129" s="408" t="s">
        <v>2325</v>
      </c>
      <c r="AL129" s="408" t="s">
        <v>2325</v>
      </c>
      <c r="AM129" s="408"/>
      <c r="AN129" s="408"/>
      <c r="AO129" s="440" t="s">
        <v>48</v>
      </c>
      <c r="AP129" s="442" t="s">
        <v>2326</v>
      </c>
      <c r="AQ129" s="407" t="s">
        <v>553</v>
      </c>
      <c r="AR129" s="405" t="s">
        <v>909</v>
      </c>
      <c r="AS129" s="440" t="s">
        <v>64</v>
      </c>
      <c r="AT129" s="440" t="s">
        <v>95</v>
      </c>
      <c r="AU129" s="408"/>
      <c r="AV129" s="436" t="s">
        <v>1869</v>
      </c>
    </row>
    <row r="130" spans="1:48">
      <c r="A130" s="524">
        <v>108</v>
      </c>
      <c r="B130" s="440">
        <v>2</v>
      </c>
      <c r="C130" s="440" t="s">
        <v>336</v>
      </c>
      <c r="D130" s="437" t="s">
        <v>196</v>
      </c>
      <c r="E130" s="440" t="s">
        <v>113</v>
      </c>
      <c r="F130" s="440" t="s">
        <v>344</v>
      </c>
      <c r="G130" s="441">
        <v>43202</v>
      </c>
      <c r="H130" s="357">
        <v>43202</v>
      </c>
      <c r="I130" s="441">
        <v>43567</v>
      </c>
      <c r="J130" s="441"/>
      <c r="K130" s="440">
        <f ca="1">DATEDIF(G130,$B$1,"Y")</f>
        <v>2</v>
      </c>
      <c r="L130" s="440">
        <f t="shared" ca="1" si="41"/>
        <v>8</v>
      </c>
      <c r="M130" s="441"/>
      <c r="N130" s="441"/>
      <c r="O130" s="440" t="s">
        <v>35</v>
      </c>
      <c r="P130" s="440" t="s">
        <v>36</v>
      </c>
      <c r="Q130" s="440" t="s">
        <v>197</v>
      </c>
      <c r="R130" s="441">
        <v>28085</v>
      </c>
      <c r="S130" s="438">
        <f ca="1">DATEDIF(R130,$B$1,"Y")</f>
        <v>44</v>
      </c>
      <c r="T130" s="438">
        <f ca="1">DATEDIF(R130,$B$1,"YM")</f>
        <v>1</v>
      </c>
      <c r="U130" s="440" t="s">
        <v>184</v>
      </c>
      <c r="V130" s="440" t="s">
        <v>48</v>
      </c>
      <c r="W130" s="440" t="s">
        <v>48</v>
      </c>
      <c r="X130" s="440" t="s">
        <v>45</v>
      </c>
      <c r="Y130" s="388" t="s">
        <v>198</v>
      </c>
      <c r="Z130" s="388">
        <v>30726</v>
      </c>
      <c r="AA130" s="388" t="s">
        <v>199</v>
      </c>
      <c r="AB130" s="388">
        <v>39029</v>
      </c>
      <c r="AC130" s="438">
        <f ca="1">DATEDIF(AB130,$B$1,"Y")</f>
        <v>14</v>
      </c>
      <c r="AD130" s="440" t="s">
        <v>48</v>
      </c>
      <c r="AE130" s="388"/>
      <c r="AF130" s="438"/>
      <c r="AG130" s="440" t="s">
        <v>48</v>
      </c>
      <c r="AH130" s="440" t="s">
        <v>48</v>
      </c>
      <c r="AI130" s="440" t="s">
        <v>48</v>
      </c>
      <c r="AJ130" s="442" t="s">
        <v>200</v>
      </c>
      <c r="AK130" s="350" t="s">
        <v>201</v>
      </c>
      <c r="AL130" s="350"/>
      <c r="AM130" s="350"/>
      <c r="AN130" s="404"/>
      <c r="AO130" s="404" t="s">
        <v>48</v>
      </c>
      <c r="AP130" s="442" t="s">
        <v>202</v>
      </c>
      <c r="AQ130" s="439" t="s">
        <v>196</v>
      </c>
      <c r="AR130" s="439" t="s">
        <v>953</v>
      </c>
      <c r="AS130" s="440" t="s">
        <v>64</v>
      </c>
      <c r="AT130" s="440" t="s">
        <v>95</v>
      </c>
      <c r="AU130" s="380" t="s">
        <v>203</v>
      </c>
      <c r="AV130" s="436" t="s">
        <v>1869</v>
      </c>
    </row>
    <row r="131" spans="1:48">
      <c r="A131" s="524">
        <v>109</v>
      </c>
      <c r="B131" s="440">
        <v>3</v>
      </c>
      <c r="C131" s="440"/>
      <c r="D131" s="406" t="s">
        <v>552</v>
      </c>
      <c r="E131" s="440" t="s">
        <v>144</v>
      </c>
      <c r="F131" s="440" t="s">
        <v>344</v>
      </c>
      <c r="G131" s="441">
        <v>43202</v>
      </c>
      <c r="H131" s="441"/>
      <c r="I131" s="441"/>
      <c r="J131" s="441"/>
      <c r="K131" s="440"/>
      <c r="L131" s="440">
        <f t="shared" ca="1" si="41"/>
        <v>8</v>
      </c>
      <c r="M131" s="441"/>
      <c r="N131" s="441"/>
      <c r="O131" s="440" t="s">
        <v>35</v>
      </c>
      <c r="P131" s="440" t="s">
        <v>36</v>
      </c>
      <c r="Q131" s="440"/>
      <c r="R131" s="441"/>
      <c r="S131" s="353"/>
      <c r="T131" s="353"/>
      <c r="U131" s="440"/>
      <c r="V131" s="440"/>
      <c r="W131" s="440"/>
      <c r="X131" s="440"/>
      <c r="Y131" s="440"/>
      <c r="Z131" s="441"/>
      <c r="AA131" s="440"/>
      <c r="AB131" s="441"/>
      <c r="AC131" s="347"/>
      <c r="AD131" s="374"/>
      <c r="AE131" s="365"/>
      <c r="AF131" s="347"/>
      <c r="AG131" s="365"/>
      <c r="AH131" s="365"/>
      <c r="AI131" s="365"/>
      <c r="AJ131" s="439"/>
      <c r="AK131" s="350"/>
      <c r="AL131" s="350"/>
      <c r="AM131" s="350"/>
      <c r="AN131" s="440"/>
      <c r="AO131" s="440" t="s">
        <v>48</v>
      </c>
      <c r="AP131" s="442"/>
      <c r="AQ131" s="407" t="s">
        <v>552</v>
      </c>
      <c r="AR131" s="347" t="s">
        <v>908</v>
      </c>
      <c r="AS131" s="440" t="s">
        <v>64</v>
      </c>
      <c r="AT131" s="440" t="s">
        <v>95</v>
      </c>
      <c r="AU131" s="395"/>
      <c r="AV131" s="436" t="s">
        <v>1869</v>
      </c>
    </row>
    <row r="132" spans="1:48">
      <c r="A132" s="524">
        <v>110</v>
      </c>
      <c r="B132" s="440">
        <v>4</v>
      </c>
      <c r="C132" s="440" t="s">
        <v>2273</v>
      </c>
      <c r="D132" s="406" t="s">
        <v>550</v>
      </c>
      <c r="E132" s="440" t="s">
        <v>1000</v>
      </c>
      <c r="F132" s="440" t="s">
        <v>344</v>
      </c>
      <c r="G132" s="441">
        <v>43202</v>
      </c>
      <c r="H132" s="441"/>
      <c r="I132" s="441"/>
      <c r="J132" s="441"/>
      <c r="K132" s="440"/>
      <c r="L132" s="440">
        <f t="shared" ca="1" si="41"/>
        <v>8</v>
      </c>
      <c r="M132" s="441"/>
      <c r="N132" s="441"/>
      <c r="O132" s="440" t="s">
        <v>35</v>
      </c>
      <c r="P132" s="440" t="s">
        <v>36</v>
      </c>
      <c r="Q132" s="440"/>
      <c r="R132" s="441"/>
      <c r="S132" s="353"/>
      <c r="T132" s="353"/>
      <c r="U132" s="440"/>
      <c r="V132" s="440"/>
      <c r="W132" s="440"/>
      <c r="X132" s="440" t="s">
        <v>59</v>
      </c>
      <c r="Y132" s="440"/>
      <c r="Z132" s="441"/>
      <c r="AA132" s="440"/>
      <c r="AB132" s="441"/>
      <c r="AC132" s="347"/>
      <c r="AD132" s="374"/>
      <c r="AE132" s="365"/>
      <c r="AF132" s="347"/>
      <c r="AG132" s="365"/>
      <c r="AH132" s="365"/>
      <c r="AI132" s="365"/>
      <c r="AJ132" s="442" t="s">
        <v>241</v>
      </c>
      <c r="AK132" s="350" t="s">
        <v>2299</v>
      </c>
      <c r="AL132" s="350" t="s">
        <v>2299</v>
      </c>
      <c r="AM132" s="350"/>
      <c r="AN132" s="440"/>
      <c r="AO132" s="440" t="s">
        <v>48</v>
      </c>
      <c r="AP132" s="442"/>
      <c r="AQ132" s="407" t="s">
        <v>550</v>
      </c>
      <c r="AR132" s="347" t="s">
        <v>907</v>
      </c>
      <c r="AS132" s="440" t="s">
        <v>64</v>
      </c>
      <c r="AT132" s="440" t="s">
        <v>95</v>
      </c>
      <c r="AU132" s="395"/>
      <c r="AV132" s="436" t="s">
        <v>1869</v>
      </c>
    </row>
    <row r="133" spans="1:48">
      <c r="A133" s="524">
        <v>111</v>
      </c>
      <c r="B133" s="440">
        <v>5</v>
      </c>
      <c r="C133" s="440" t="s">
        <v>2274</v>
      </c>
      <c r="D133" s="437" t="s">
        <v>781</v>
      </c>
      <c r="E133" s="440" t="s">
        <v>144</v>
      </c>
      <c r="F133" s="440" t="s">
        <v>344</v>
      </c>
      <c r="G133" s="441">
        <v>43663</v>
      </c>
      <c r="H133" s="441">
        <v>43663</v>
      </c>
      <c r="I133" s="405"/>
      <c r="J133" s="408"/>
      <c r="K133" s="440">
        <f t="shared" ref="K133:K167" ca="1" si="42">DATEDIF(G133,$B$1,"Y")</f>
        <v>1</v>
      </c>
      <c r="L133" s="440">
        <f t="shared" ca="1" si="41"/>
        <v>5</v>
      </c>
      <c r="M133" s="441"/>
      <c r="N133" s="441"/>
      <c r="O133" s="440" t="s">
        <v>35</v>
      </c>
      <c r="P133" s="440" t="s">
        <v>36</v>
      </c>
      <c r="Q133" s="440" t="s">
        <v>197</v>
      </c>
      <c r="R133" s="441">
        <v>33018</v>
      </c>
      <c r="S133" s="438">
        <f t="shared" ref="S133:S155" ca="1" si="43">DATEDIF(R133,$B$1,"Y")</f>
        <v>30</v>
      </c>
      <c r="T133" s="438">
        <f t="shared" ref="T133:T155" ca="1" si="44">DATEDIF(R133,$B$1,"YM")</f>
        <v>7</v>
      </c>
      <c r="U133" s="405" t="s">
        <v>152</v>
      </c>
      <c r="V133" s="440" t="s">
        <v>48</v>
      </c>
      <c r="W133" s="408"/>
      <c r="X133" s="440"/>
      <c r="Y133" s="409"/>
      <c r="Z133" s="408"/>
      <c r="AA133" s="409"/>
      <c r="AB133" s="408"/>
      <c r="AC133" s="408"/>
      <c r="AD133" s="408"/>
      <c r="AE133" s="408"/>
      <c r="AF133" s="408"/>
      <c r="AG133" s="408"/>
      <c r="AH133" s="408"/>
      <c r="AI133" s="408"/>
      <c r="AJ133" s="488" t="s">
        <v>782</v>
      </c>
      <c r="AK133" s="350" t="s">
        <v>783</v>
      </c>
      <c r="AL133" s="350" t="s">
        <v>783</v>
      </c>
      <c r="AM133" s="350"/>
      <c r="AN133" s="350"/>
      <c r="AO133" s="365" t="s">
        <v>48</v>
      </c>
      <c r="AP133" s="442" t="s">
        <v>784</v>
      </c>
      <c r="AQ133" s="439" t="s">
        <v>781</v>
      </c>
      <c r="AR133" s="405" t="s">
        <v>804</v>
      </c>
      <c r="AS133" s="440" t="s">
        <v>64</v>
      </c>
      <c r="AT133" s="440" t="s">
        <v>95</v>
      </c>
      <c r="AU133" s="408"/>
    </row>
    <row r="134" spans="1:48">
      <c r="A134" s="524">
        <v>112</v>
      </c>
      <c r="B134" s="440">
        <v>6</v>
      </c>
      <c r="C134" s="440" t="s">
        <v>332</v>
      </c>
      <c r="D134" s="437" t="s">
        <v>220</v>
      </c>
      <c r="E134" s="440" t="s">
        <v>144</v>
      </c>
      <c r="F134" s="440" t="s">
        <v>344</v>
      </c>
      <c r="G134" s="441">
        <v>43202</v>
      </c>
      <c r="H134" s="441">
        <v>43202</v>
      </c>
      <c r="I134" s="441"/>
      <c r="J134" s="441"/>
      <c r="K134" s="440">
        <f t="shared" ca="1" si="42"/>
        <v>2</v>
      </c>
      <c r="L134" s="440">
        <f t="shared" ca="1" si="41"/>
        <v>8</v>
      </c>
      <c r="M134" s="441"/>
      <c r="N134" s="441"/>
      <c r="O134" s="440" t="s">
        <v>35</v>
      </c>
      <c r="P134" s="440" t="s">
        <v>36</v>
      </c>
      <c r="Q134" s="440" t="s">
        <v>41</v>
      </c>
      <c r="R134" s="441">
        <v>35463</v>
      </c>
      <c r="S134" s="438">
        <f t="shared" ca="1" si="43"/>
        <v>23</v>
      </c>
      <c r="T134" s="438">
        <f t="shared" ca="1" si="44"/>
        <v>11</v>
      </c>
      <c r="U134" s="440" t="s">
        <v>244</v>
      </c>
      <c r="V134" s="440" t="s">
        <v>153</v>
      </c>
      <c r="W134" s="440" t="s">
        <v>44</v>
      </c>
      <c r="X134" s="440" t="s">
        <v>59</v>
      </c>
      <c r="Y134" s="440"/>
      <c r="Z134" s="441"/>
      <c r="AA134" s="440"/>
      <c r="AB134" s="441"/>
      <c r="AC134" s="347"/>
      <c r="AD134" s="374"/>
      <c r="AE134" s="365"/>
      <c r="AF134" s="347"/>
      <c r="AG134" s="365"/>
      <c r="AH134" s="365"/>
      <c r="AI134" s="365"/>
      <c r="AJ134" s="439" t="s">
        <v>245</v>
      </c>
      <c r="AK134" s="350" t="s">
        <v>246</v>
      </c>
      <c r="AL134" s="350" t="s">
        <v>246</v>
      </c>
      <c r="AM134" s="350"/>
      <c r="AN134" s="440"/>
      <c r="AO134" s="440" t="s">
        <v>48</v>
      </c>
      <c r="AP134" s="439" t="s">
        <v>247</v>
      </c>
      <c r="AQ134" s="439" t="s">
        <v>220</v>
      </c>
      <c r="AR134" s="347" t="s">
        <v>955</v>
      </c>
      <c r="AS134" s="440" t="s">
        <v>64</v>
      </c>
      <c r="AT134" s="440" t="s">
        <v>95</v>
      </c>
      <c r="AU134" s="395" t="s">
        <v>48</v>
      </c>
      <c r="AV134" s="436" t="s">
        <v>1869</v>
      </c>
    </row>
    <row r="135" spans="1:48">
      <c r="A135" s="524">
        <v>113</v>
      </c>
      <c r="B135" s="440">
        <v>7</v>
      </c>
      <c r="C135" s="408"/>
      <c r="D135" s="406" t="s">
        <v>644</v>
      </c>
      <c r="E135" s="440" t="s">
        <v>144</v>
      </c>
      <c r="F135" s="440" t="s">
        <v>344</v>
      </c>
      <c r="G135" s="441">
        <v>43633</v>
      </c>
      <c r="H135" s="441">
        <v>43633</v>
      </c>
      <c r="I135" s="405"/>
      <c r="J135" s="408"/>
      <c r="K135" s="440">
        <f t="shared" ca="1" si="42"/>
        <v>1</v>
      </c>
      <c r="L135" s="440">
        <f t="shared" ca="1" si="41"/>
        <v>6</v>
      </c>
      <c r="M135" s="408"/>
      <c r="N135" s="408"/>
      <c r="O135" s="440" t="s">
        <v>35</v>
      </c>
      <c r="P135" s="440" t="s">
        <v>36</v>
      </c>
      <c r="Q135" s="440" t="s">
        <v>41</v>
      </c>
      <c r="R135" s="441">
        <v>30142</v>
      </c>
      <c r="S135" s="438">
        <f t="shared" ca="1" si="43"/>
        <v>38</v>
      </c>
      <c r="T135" s="438">
        <f t="shared" ca="1" si="44"/>
        <v>5</v>
      </c>
      <c r="U135" s="405" t="s">
        <v>136</v>
      </c>
      <c r="V135" s="408"/>
      <c r="W135" s="408"/>
      <c r="X135" s="440" t="s">
        <v>192</v>
      </c>
      <c r="Y135" s="409"/>
      <c r="Z135" s="408"/>
      <c r="AA135" s="409"/>
      <c r="AB135" s="408"/>
      <c r="AC135" s="408"/>
      <c r="AD135" s="408"/>
      <c r="AE135" s="408"/>
      <c r="AF135" s="408"/>
      <c r="AG135" s="408"/>
      <c r="AH135" s="408"/>
      <c r="AI135" s="408"/>
      <c r="AJ135" s="488" t="s">
        <v>646</v>
      </c>
      <c r="AK135" s="408" t="s">
        <v>647</v>
      </c>
      <c r="AL135" s="408" t="s">
        <v>647</v>
      </c>
      <c r="AM135" s="408"/>
      <c r="AN135" s="408"/>
      <c r="AO135" s="440"/>
      <c r="AP135" s="408"/>
      <c r="AQ135" s="407" t="s">
        <v>644</v>
      </c>
      <c r="AR135" s="405" t="s">
        <v>669</v>
      </c>
      <c r="AS135" s="440" t="s">
        <v>64</v>
      </c>
      <c r="AT135" s="440" t="s">
        <v>95</v>
      </c>
      <c r="AU135" s="408"/>
      <c r="AV135" s="436" t="s">
        <v>1869</v>
      </c>
    </row>
    <row r="136" spans="1:48">
      <c r="A136" s="524">
        <v>114</v>
      </c>
      <c r="B136" s="440">
        <v>8</v>
      </c>
      <c r="C136" s="440"/>
      <c r="D136" s="437" t="s">
        <v>775</v>
      </c>
      <c r="E136" s="440" t="s">
        <v>144</v>
      </c>
      <c r="F136" s="440" t="s">
        <v>344</v>
      </c>
      <c r="G136" s="441">
        <v>43661</v>
      </c>
      <c r="H136" s="441">
        <v>43661</v>
      </c>
      <c r="I136" s="405"/>
      <c r="J136" s="408"/>
      <c r="K136" s="440">
        <f t="shared" ca="1" si="42"/>
        <v>1</v>
      </c>
      <c r="L136" s="440">
        <f t="shared" ca="1" si="41"/>
        <v>5</v>
      </c>
      <c r="M136" s="441"/>
      <c r="N136" s="441"/>
      <c r="O136" s="440" t="s">
        <v>35</v>
      </c>
      <c r="P136" s="440" t="s">
        <v>36</v>
      </c>
      <c r="Q136" s="440" t="s">
        <v>41</v>
      </c>
      <c r="R136" s="441">
        <v>32315</v>
      </c>
      <c r="S136" s="438">
        <f t="shared" ca="1" si="43"/>
        <v>32</v>
      </c>
      <c r="T136" s="438">
        <f t="shared" ca="1" si="44"/>
        <v>6</v>
      </c>
      <c r="U136" s="405" t="s">
        <v>136</v>
      </c>
      <c r="V136" s="440" t="s">
        <v>48</v>
      </c>
      <c r="W136" s="408"/>
      <c r="X136" s="440" t="s">
        <v>45</v>
      </c>
      <c r="Y136" s="388" t="s">
        <v>776</v>
      </c>
      <c r="Z136" s="388">
        <v>34304</v>
      </c>
      <c r="AA136" s="388" t="s">
        <v>777</v>
      </c>
      <c r="AB136" s="388">
        <v>41880</v>
      </c>
      <c r="AC136" s="438">
        <f ca="1">DATEDIF(AB136,$B$1,"Y")</f>
        <v>6</v>
      </c>
      <c r="AD136" s="408"/>
      <c r="AE136" s="408"/>
      <c r="AF136" s="408"/>
      <c r="AG136" s="408"/>
      <c r="AH136" s="408"/>
      <c r="AI136" s="408"/>
      <c r="AJ136" s="442" t="s">
        <v>778</v>
      </c>
      <c r="AK136" s="350" t="s">
        <v>779</v>
      </c>
      <c r="AL136" s="350" t="s">
        <v>779</v>
      </c>
      <c r="AM136" s="350"/>
      <c r="AN136" s="350"/>
      <c r="AO136" s="365" t="s">
        <v>48</v>
      </c>
      <c r="AP136" s="442" t="s">
        <v>780</v>
      </c>
      <c r="AQ136" s="439" t="s">
        <v>775</v>
      </c>
      <c r="AR136" s="405" t="s">
        <v>805</v>
      </c>
      <c r="AS136" s="440" t="s">
        <v>64</v>
      </c>
      <c r="AT136" s="440" t="s">
        <v>95</v>
      </c>
      <c r="AU136" s="395" t="s">
        <v>48</v>
      </c>
    </row>
    <row r="137" spans="1:48">
      <c r="A137" s="524">
        <v>115</v>
      </c>
      <c r="B137" s="440">
        <v>9</v>
      </c>
      <c r="C137" s="440"/>
      <c r="D137" s="437" t="s">
        <v>774</v>
      </c>
      <c r="E137" s="440" t="s">
        <v>144</v>
      </c>
      <c r="F137" s="440" t="s">
        <v>344</v>
      </c>
      <c r="G137" s="441">
        <v>43647</v>
      </c>
      <c r="H137" s="441">
        <v>43647</v>
      </c>
      <c r="I137" s="405"/>
      <c r="J137" s="408"/>
      <c r="K137" s="440">
        <f t="shared" ca="1" si="42"/>
        <v>1</v>
      </c>
      <c r="L137" s="440">
        <f t="shared" ca="1" si="41"/>
        <v>6</v>
      </c>
      <c r="M137" s="441"/>
      <c r="N137" s="441"/>
      <c r="O137" s="440" t="s">
        <v>35</v>
      </c>
      <c r="P137" s="440" t="s">
        <v>36</v>
      </c>
      <c r="Q137" s="440" t="s">
        <v>41</v>
      </c>
      <c r="R137" s="441">
        <v>34318</v>
      </c>
      <c r="S137" s="438">
        <f t="shared" ca="1" si="43"/>
        <v>27</v>
      </c>
      <c r="T137" s="438">
        <f t="shared" ca="1" si="44"/>
        <v>0</v>
      </c>
      <c r="U137" s="405" t="s">
        <v>184</v>
      </c>
      <c r="V137" s="440" t="s">
        <v>48</v>
      </c>
      <c r="W137" s="408"/>
      <c r="X137" s="440"/>
      <c r="Y137" s="409"/>
      <c r="Z137" s="408"/>
      <c r="AA137" s="409"/>
      <c r="AB137" s="408"/>
      <c r="AC137" s="408"/>
      <c r="AD137" s="408"/>
      <c r="AE137" s="408"/>
      <c r="AF137" s="408"/>
      <c r="AG137" s="408"/>
      <c r="AH137" s="408"/>
      <c r="AI137" s="408"/>
      <c r="AJ137" s="442" t="s">
        <v>785</v>
      </c>
      <c r="AK137" s="350" t="s">
        <v>649</v>
      </c>
      <c r="AL137" s="350" t="s">
        <v>649</v>
      </c>
      <c r="AM137" s="350"/>
      <c r="AN137" s="350"/>
      <c r="AO137" s="365" t="s">
        <v>48</v>
      </c>
      <c r="AP137" s="442" t="s">
        <v>786</v>
      </c>
      <c r="AQ137" s="439" t="s">
        <v>774</v>
      </c>
      <c r="AR137" s="405" t="s">
        <v>803</v>
      </c>
      <c r="AS137" s="440" t="s">
        <v>64</v>
      </c>
      <c r="AT137" s="440" t="s">
        <v>95</v>
      </c>
      <c r="AU137" s="408"/>
    </row>
    <row r="138" spans="1:48">
      <c r="A138" s="524">
        <v>116</v>
      </c>
      <c r="B138" s="440">
        <v>10</v>
      </c>
      <c r="C138" s="440" t="s">
        <v>2275</v>
      </c>
      <c r="D138" s="437" t="s">
        <v>840</v>
      </c>
      <c r="E138" s="440" t="s">
        <v>144</v>
      </c>
      <c r="F138" s="440" t="s">
        <v>344</v>
      </c>
      <c r="G138" s="441">
        <v>43703</v>
      </c>
      <c r="H138" s="441">
        <v>43703</v>
      </c>
      <c r="I138" s="405"/>
      <c r="J138" s="408"/>
      <c r="K138" s="440">
        <f t="shared" ca="1" si="42"/>
        <v>1</v>
      </c>
      <c r="L138" s="440">
        <f t="shared" ca="1" si="41"/>
        <v>4</v>
      </c>
      <c r="M138" s="441"/>
      <c r="N138" s="441"/>
      <c r="O138" s="440" t="s">
        <v>35</v>
      </c>
      <c r="P138" s="440" t="s">
        <v>36</v>
      </c>
      <c r="Q138" s="440" t="s">
        <v>41</v>
      </c>
      <c r="R138" s="441">
        <v>34858</v>
      </c>
      <c r="S138" s="438">
        <f t="shared" ca="1" si="43"/>
        <v>25</v>
      </c>
      <c r="T138" s="438">
        <f t="shared" ca="1" si="44"/>
        <v>6</v>
      </c>
      <c r="U138" s="405" t="s">
        <v>184</v>
      </c>
      <c r="V138" s="440" t="s">
        <v>48</v>
      </c>
      <c r="W138" s="408"/>
      <c r="X138" s="440" t="s">
        <v>59</v>
      </c>
      <c r="Y138" s="409"/>
      <c r="Z138" s="408"/>
      <c r="AA138" s="409"/>
      <c r="AB138" s="408"/>
      <c r="AC138" s="408"/>
      <c r="AD138" s="408"/>
      <c r="AE138" s="408"/>
      <c r="AF138" s="408"/>
      <c r="AG138" s="408"/>
      <c r="AH138" s="408"/>
      <c r="AI138" s="408"/>
      <c r="AJ138" s="442" t="s">
        <v>841</v>
      </c>
      <c r="AK138" s="350" t="s">
        <v>842</v>
      </c>
      <c r="AL138" s="350" t="s">
        <v>842</v>
      </c>
      <c r="AM138" s="350"/>
      <c r="AN138" s="350"/>
      <c r="AO138" s="365" t="s">
        <v>48</v>
      </c>
      <c r="AP138" s="442" t="s">
        <v>843</v>
      </c>
      <c r="AQ138" s="439" t="s">
        <v>840</v>
      </c>
      <c r="AR138" s="405" t="s">
        <v>844</v>
      </c>
      <c r="AS138" s="440" t="s">
        <v>64</v>
      </c>
      <c r="AT138" s="440" t="s">
        <v>95</v>
      </c>
      <c r="AU138" s="408"/>
    </row>
    <row r="139" spans="1:48">
      <c r="A139" s="524">
        <v>117</v>
      </c>
      <c r="B139" s="440">
        <v>11</v>
      </c>
      <c r="C139" s="440" t="s">
        <v>2276</v>
      </c>
      <c r="D139" s="437" t="s">
        <v>900</v>
      </c>
      <c r="E139" s="440" t="s">
        <v>144</v>
      </c>
      <c r="F139" s="440" t="s">
        <v>344</v>
      </c>
      <c r="G139" s="441">
        <v>43752</v>
      </c>
      <c r="H139" s="441">
        <v>43752</v>
      </c>
      <c r="I139" s="441"/>
      <c r="J139" s="441"/>
      <c r="K139" s="440">
        <f t="shared" ca="1" si="42"/>
        <v>1</v>
      </c>
      <c r="L139" s="440">
        <f t="shared" ca="1" si="41"/>
        <v>2</v>
      </c>
      <c r="M139" s="441"/>
      <c r="N139" s="441"/>
      <c r="O139" s="440" t="s">
        <v>35</v>
      </c>
      <c r="P139" s="440" t="s">
        <v>36</v>
      </c>
      <c r="Q139" s="440" t="s">
        <v>197</v>
      </c>
      <c r="R139" s="441">
        <v>35984</v>
      </c>
      <c r="S139" s="438">
        <f t="shared" ca="1" si="43"/>
        <v>22</v>
      </c>
      <c r="T139" s="438">
        <f t="shared" ca="1" si="44"/>
        <v>5</v>
      </c>
      <c r="U139" s="440"/>
      <c r="V139" s="440" t="s">
        <v>48</v>
      </c>
      <c r="W139" s="440"/>
      <c r="X139" s="440" t="s">
        <v>59</v>
      </c>
      <c r="Y139" s="388"/>
      <c r="Z139" s="388"/>
      <c r="AA139" s="388"/>
      <c r="AB139" s="388"/>
      <c r="AC139" s="353"/>
      <c r="AD139" s="410"/>
      <c r="AE139" s="388"/>
      <c r="AF139" s="353"/>
      <c r="AG139" s="388"/>
      <c r="AH139" s="388"/>
      <c r="AI139" s="388"/>
      <c r="AJ139" s="442" t="s">
        <v>901</v>
      </c>
      <c r="AK139" s="350" t="s">
        <v>902</v>
      </c>
      <c r="AL139" s="350" t="s">
        <v>902</v>
      </c>
      <c r="AM139" s="350"/>
      <c r="AN139" s="365"/>
      <c r="AO139" s="365" t="s">
        <v>48</v>
      </c>
      <c r="AP139" s="439"/>
      <c r="AQ139" s="439" t="s">
        <v>900</v>
      </c>
      <c r="AR139" s="439" t="s">
        <v>910</v>
      </c>
      <c r="AS139" s="440" t="s">
        <v>64</v>
      </c>
      <c r="AT139" s="440" t="s">
        <v>95</v>
      </c>
      <c r="AU139" s="395"/>
      <c r="AV139" s="436" t="s">
        <v>1869</v>
      </c>
    </row>
    <row r="140" spans="1:48">
      <c r="A140" s="524">
        <v>118</v>
      </c>
      <c r="B140" s="440">
        <v>12</v>
      </c>
      <c r="C140" s="411">
        <v>9919080039</v>
      </c>
      <c r="D140" s="437" t="s">
        <v>809</v>
      </c>
      <c r="E140" s="440" t="s">
        <v>144</v>
      </c>
      <c r="F140" s="440" t="s">
        <v>344</v>
      </c>
      <c r="G140" s="441">
        <v>43680</v>
      </c>
      <c r="H140" s="441">
        <v>43680</v>
      </c>
      <c r="I140" s="441"/>
      <c r="J140" s="441"/>
      <c r="K140" s="440">
        <f t="shared" ca="1" si="42"/>
        <v>1</v>
      </c>
      <c r="L140" s="440">
        <f t="shared" ca="1" si="41"/>
        <v>5</v>
      </c>
      <c r="M140" s="441"/>
      <c r="N140" s="441"/>
      <c r="O140" s="440" t="s">
        <v>35</v>
      </c>
      <c r="P140" s="440" t="s">
        <v>36</v>
      </c>
      <c r="Q140" s="440" t="s">
        <v>41</v>
      </c>
      <c r="R140" s="441">
        <v>31735</v>
      </c>
      <c r="S140" s="438">
        <f t="shared" ca="1" si="43"/>
        <v>34</v>
      </c>
      <c r="T140" s="438">
        <f t="shared" ca="1" si="44"/>
        <v>1</v>
      </c>
      <c r="U140" s="440" t="s">
        <v>68</v>
      </c>
      <c r="V140" s="440" t="s">
        <v>364</v>
      </c>
      <c r="W140" s="440" t="s">
        <v>224</v>
      </c>
      <c r="X140" s="440" t="s">
        <v>45</v>
      </c>
      <c r="Y140" s="440" t="s">
        <v>48</v>
      </c>
      <c r="Z140" s="440" t="s">
        <v>48</v>
      </c>
      <c r="AA140" s="440" t="s">
        <v>48</v>
      </c>
      <c r="AB140" s="440" t="s">
        <v>48</v>
      </c>
      <c r="AC140" s="440" t="s">
        <v>48</v>
      </c>
      <c r="AD140" s="440" t="s">
        <v>48</v>
      </c>
      <c r="AE140" s="440" t="s">
        <v>48</v>
      </c>
      <c r="AF140" s="440" t="s">
        <v>48</v>
      </c>
      <c r="AG140" s="440" t="s">
        <v>48</v>
      </c>
      <c r="AH140" s="440" t="s">
        <v>48</v>
      </c>
      <c r="AI140" s="440" t="s">
        <v>48</v>
      </c>
      <c r="AJ140" s="442" t="s">
        <v>810</v>
      </c>
      <c r="AK140" s="350" t="s">
        <v>811</v>
      </c>
      <c r="AL140" s="350" t="s">
        <v>1061</v>
      </c>
      <c r="AM140" s="350"/>
      <c r="AN140" s="350"/>
      <c r="AO140" s="350"/>
      <c r="AP140" s="442" t="s">
        <v>812</v>
      </c>
      <c r="AQ140" s="439" t="s">
        <v>809</v>
      </c>
      <c r="AR140" s="347" t="s">
        <v>930</v>
      </c>
      <c r="AS140" s="440" t="s">
        <v>64</v>
      </c>
      <c r="AT140" s="440" t="s">
        <v>95</v>
      </c>
      <c r="AU140" s="395"/>
      <c r="AV140" s="436" t="s">
        <v>1869</v>
      </c>
    </row>
    <row r="141" spans="1:48">
      <c r="A141" s="524">
        <v>119</v>
      </c>
      <c r="B141" s="440">
        <v>13</v>
      </c>
      <c r="C141" s="411" t="s">
        <v>2266</v>
      </c>
      <c r="D141" s="437" t="s">
        <v>1058</v>
      </c>
      <c r="E141" s="440" t="s">
        <v>144</v>
      </c>
      <c r="F141" s="440" t="s">
        <v>344</v>
      </c>
      <c r="G141" s="441">
        <v>43812</v>
      </c>
      <c r="H141" s="441">
        <v>43812</v>
      </c>
      <c r="I141" s="441"/>
      <c r="J141" s="441"/>
      <c r="K141" s="440">
        <f t="shared" ca="1" si="42"/>
        <v>1</v>
      </c>
      <c r="L141" s="440">
        <f t="shared" ca="1" si="41"/>
        <v>0</v>
      </c>
      <c r="M141" s="441"/>
      <c r="N141" s="441"/>
      <c r="O141" s="440" t="s">
        <v>35</v>
      </c>
      <c r="P141" s="440" t="s">
        <v>36</v>
      </c>
      <c r="Q141" s="440" t="s">
        <v>37</v>
      </c>
      <c r="R141" s="441">
        <v>34631</v>
      </c>
      <c r="S141" s="438">
        <f t="shared" ca="1" si="43"/>
        <v>26</v>
      </c>
      <c r="T141" s="438">
        <f t="shared" ca="1" si="44"/>
        <v>2</v>
      </c>
      <c r="U141" s="440" t="s">
        <v>68</v>
      </c>
      <c r="V141" s="440" t="s">
        <v>1059</v>
      </c>
      <c r="W141" s="440" t="s">
        <v>224</v>
      </c>
      <c r="X141" s="440" t="s">
        <v>59</v>
      </c>
      <c r="Y141" s="440"/>
      <c r="Z141" s="440"/>
      <c r="AA141" s="440"/>
      <c r="AB141" s="440"/>
      <c r="AC141" s="440"/>
      <c r="AD141" s="440"/>
      <c r="AE141" s="440"/>
      <c r="AF141" s="440"/>
      <c r="AG141" s="440"/>
      <c r="AH141" s="440"/>
      <c r="AI141" s="440"/>
      <c r="AJ141" s="442" t="s">
        <v>1060</v>
      </c>
      <c r="AK141" s="350" t="s">
        <v>1062</v>
      </c>
      <c r="AL141" s="350" t="s">
        <v>1062</v>
      </c>
      <c r="AM141" s="350"/>
      <c r="AN141" s="350"/>
      <c r="AO141" s="350"/>
      <c r="AP141" s="442" t="s">
        <v>1063</v>
      </c>
      <c r="AQ141" s="439" t="s">
        <v>1058</v>
      </c>
      <c r="AR141" s="412" t="s">
        <v>1096</v>
      </c>
      <c r="AS141" s="440" t="s">
        <v>64</v>
      </c>
      <c r="AT141" s="440" t="s">
        <v>95</v>
      </c>
      <c r="AU141" s="395"/>
      <c r="AV141" s="436" t="s">
        <v>1869</v>
      </c>
    </row>
    <row r="142" spans="1:48">
      <c r="A142" s="524">
        <v>120</v>
      </c>
      <c r="B142" s="440">
        <v>14</v>
      </c>
      <c r="C142" s="411" t="s">
        <v>2277</v>
      </c>
      <c r="D142" s="437" t="s">
        <v>1066</v>
      </c>
      <c r="E142" s="440" t="s">
        <v>144</v>
      </c>
      <c r="F142" s="440" t="s">
        <v>344</v>
      </c>
      <c r="G142" s="441">
        <v>43813</v>
      </c>
      <c r="H142" s="441">
        <v>43813</v>
      </c>
      <c r="I142" s="441"/>
      <c r="J142" s="441"/>
      <c r="K142" s="440">
        <f t="shared" ca="1" si="42"/>
        <v>1</v>
      </c>
      <c r="L142" s="440">
        <f t="shared" ca="1" si="41"/>
        <v>0</v>
      </c>
      <c r="M142" s="441"/>
      <c r="N142" s="441"/>
      <c r="O142" s="440" t="s">
        <v>35</v>
      </c>
      <c r="P142" s="440" t="s">
        <v>36</v>
      </c>
      <c r="Q142" s="440" t="s">
        <v>197</v>
      </c>
      <c r="R142" s="441">
        <v>33518</v>
      </c>
      <c r="S142" s="438">
        <f t="shared" ca="1" si="43"/>
        <v>29</v>
      </c>
      <c r="T142" s="438">
        <f t="shared" ca="1" si="44"/>
        <v>2</v>
      </c>
      <c r="U142" s="440" t="s">
        <v>152</v>
      </c>
      <c r="V142" s="440" t="s">
        <v>153</v>
      </c>
      <c r="W142" s="440"/>
      <c r="X142" s="440" t="s">
        <v>59</v>
      </c>
      <c r="Y142" s="440"/>
      <c r="Z142" s="440"/>
      <c r="AA142" s="440"/>
      <c r="AB142" s="440"/>
      <c r="AC142" s="440"/>
      <c r="AD142" s="440"/>
      <c r="AE142" s="440"/>
      <c r="AF142" s="440"/>
      <c r="AG142" s="440"/>
      <c r="AH142" s="440"/>
      <c r="AI142" s="440"/>
      <c r="AJ142" s="442" t="s">
        <v>1067</v>
      </c>
      <c r="AK142" s="350" t="s">
        <v>1068</v>
      </c>
      <c r="AL142" s="350" t="s">
        <v>1068</v>
      </c>
      <c r="AM142" s="350"/>
      <c r="AN142" s="350"/>
      <c r="AO142" s="350"/>
      <c r="AP142" s="442" t="s">
        <v>1069</v>
      </c>
      <c r="AQ142" s="439" t="s">
        <v>1066</v>
      </c>
      <c r="AR142" s="412" t="s">
        <v>1097</v>
      </c>
      <c r="AS142" s="440" t="s">
        <v>64</v>
      </c>
      <c r="AT142" s="440" t="s">
        <v>95</v>
      </c>
      <c r="AU142" s="395"/>
      <c r="AV142" s="436" t="s">
        <v>1869</v>
      </c>
    </row>
    <row r="143" spans="1:48">
      <c r="A143" s="524">
        <v>121</v>
      </c>
      <c r="B143" s="440">
        <v>15</v>
      </c>
      <c r="C143" s="411" t="s">
        <v>2278</v>
      </c>
      <c r="D143" s="437" t="s">
        <v>1099</v>
      </c>
      <c r="E143" s="440" t="s">
        <v>144</v>
      </c>
      <c r="F143" s="440" t="s">
        <v>344</v>
      </c>
      <c r="G143" s="441">
        <v>43819</v>
      </c>
      <c r="H143" s="441">
        <v>43819</v>
      </c>
      <c r="I143" s="441"/>
      <c r="J143" s="441"/>
      <c r="K143" s="440">
        <f t="shared" ca="1" si="42"/>
        <v>1</v>
      </c>
      <c r="L143" s="440">
        <f t="shared" ca="1" si="41"/>
        <v>0</v>
      </c>
      <c r="M143" s="441"/>
      <c r="N143" s="441"/>
      <c r="O143" s="440" t="s">
        <v>35</v>
      </c>
      <c r="P143" s="440" t="s">
        <v>36</v>
      </c>
      <c r="Q143" s="440" t="s">
        <v>41</v>
      </c>
      <c r="R143" s="441">
        <v>35594</v>
      </c>
      <c r="S143" s="438">
        <f t="shared" ca="1" si="43"/>
        <v>23</v>
      </c>
      <c r="T143" s="438">
        <f t="shared" ca="1" si="44"/>
        <v>6</v>
      </c>
      <c r="U143" s="440" t="s">
        <v>68</v>
      </c>
      <c r="V143" s="440" t="s">
        <v>1101</v>
      </c>
      <c r="W143" s="440"/>
      <c r="X143" s="440" t="s">
        <v>59</v>
      </c>
      <c r="Y143" s="440"/>
      <c r="Z143" s="440"/>
      <c r="AA143" s="440"/>
      <c r="AB143" s="440"/>
      <c r="AC143" s="440"/>
      <c r="AD143" s="440"/>
      <c r="AE143" s="440"/>
      <c r="AF143" s="440"/>
      <c r="AG143" s="440"/>
      <c r="AH143" s="440"/>
      <c r="AI143" s="440"/>
      <c r="AJ143" s="442" t="s">
        <v>1102</v>
      </c>
      <c r="AK143" s="350" t="s">
        <v>1103</v>
      </c>
      <c r="AL143" s="350" t="s">
        <v>1103</v>
      </c>
      <c r="AM143" s="350"/>
      <c r="AN143" s="350"/>
      <c r="AO143" s="350"/>
      <c r="AP143" s="442" t="s">
        <v>1104</v>
      </c>
      <c r="AQ143" s="439" t="s">
        <v>1099</v>
      </c>
      <c r="AR143" s="415" t="s">
        <v>1227</v>
      </c>
      <c r="AS143" s="440" t="s">
        <v>64</v>
      </c>
      <c r="AT143" s="440" t="s">
        <v>95</v>
      </c>
      <c r="AU143" s="395"/>
      <c r="AV143" s="436" t="s">
        <v>1869</v>
      </c>
    </row>
    <row r="144" spans="1:48">
      <c r="A144" s="524">
        <v>122</v>
      </c>
      <c r="B144" s="440">
        <v>16</v>
      </c>
      <c r="C144" s="411" t="s">
        <v>2279</v>
      </c>
      <c r="D144" s="437" t="s">
        <v>1159</v>
      </c>
      <c r="E144" s="440" t="s">
        <v>144</v>
      </c>
      <c r="F144" s="440" t="s">
        <v>344</v>
      </c>
      <c r="G144" s="441">
        <v>43822</v>
      </c>
      <c r="H144" s="441"/>
      <c r="I144" s="441"/>
      <c r="J144" s="441"/>
      <c r="K144" s="440">
        <f t="shared" ca="1" si="42"/>
        <v>1</v>
      </c>
      <c r="L144" s="440">
        <f t="shared" ca="1" si="41"/>
        <v>0</v>
      </c>
      <c r="M144" s="441"/>
      <c r="N144" s="441"/>
      <c r="O144" s="440" t="s">
        <v>35</v>
      </c>
      <c r="P144" s="440" t="s">
        <v>36</v>
      </c>
      <c r="Q144" s="440" t="s">
        <v>822</v>
      </c>
      <c r="R144" s="441">
        <v>33455</v>
      </c>
      <c r="S144" s="353">
        <f t="shared" ca="1" si="43"/>
        <v>29</v>
      </c>
      <c r="T144" s="353">
        <f t="shared" ca="1" si="44"/>
        <v>5</v>
      </c>
      <c r="U144" s="440" t="s">
        <v>136</v>
      </c>
      <c r="V144" s="440"/>
      <c r="W144" s="440"/>
      <c r="X144" s="440" t="s">
        <v>59</v>
      </c>
      <c r="Y144" s="440"/>
      <c r="Z144" s="440"/>
      <c r="AA144" s="440"/>
      <c r="AB144" s="440"/>
      <c r="AC144" s="440"/>
      <c r="AD144" s="440"/>
      <c r="AE144" s="440"/>
      <c r="AF144" s="440"/>
      <c r="AG144" s="440"/>
      <c r="AH144" s="440"/>
      <c r="AI144" s="440"/>
      <c r="AJ144" s="442" t="s">
        <v>1244</v>
      </c>
      <c r="AK144" s="350" t="s">
        <v>1245</v>
      </c>
      <c r="AL144" s="350" t="s">
        <v>1245</v>
      </c>
      <c r="AM144" s="350"/>
      <c r="AN144" s="350"/>
      <c r="AO144" s="350"/>
      <c r="AP144" s="442" t="s">
        <v>1246</v>
      </c>
      <c r="AQ144" s="439" t="s">
        <v>1159</v>
      </c>
      <c r="AR144" s="412" t="s">
        <v>1184</v>
      </c>
      <c r="AS144" s="440" t="s">
        <v>64</v>
      </c>
      <c r="AT144" s="440" t="s">
        <v>95</v>
      </c>
      <c r="AU144" s="395"/>
    </row>
    <row r="145" spans="1:48">
      <c r="A145" s="524">
        <v>123</v>
      </c>
      <c r="B145" s="440">
        <v>17</v>
      </c>
      <c r="C145" s="411" t="s">
        <v>2280</v>
      </c>
      <c r="D145" s="437" t="s">
        <v>1156</v>
      </c>
      <c r="E145" s="440" t="s">
        <v>144</v>
      </c>
      <c r="F145" s="440" t="s">
        <v>344</v>
      </c>
      <c r="G145" s="441">
        <v>43823</v>
      </c>
      <c r="H145" s="441"/>
      <c r="I145" s="441"/>
      <c r="J145" s="441"/>
      <c r="K145" s="440">
        <f t="shared" ca="1" si="42"/>
        <v>1</v>
      </c>
      <c r="L145" s="440">
        <f t="shared" ca="1" si="41"/>
        <v>0</v>
      </c>
      <c r="M145" s="441"/>
      <c r="N145" s="441"/>
      <c r="O145" s="440" t="s">
        <v>35</v>
      </c>
      <c r="P145" s="440" t="s">
        <v>36</v>
      </c>
      <c r="Q145" s="440" t="s">
        <v>399</v>
      </c>
      <c r="R145" s="441">
        <v>36651</v>
      </c>
      <c r="S145" s="353">
        <f t="shared" ca="1" si="43"/>
        <v>20</v>
      </c>
      <c r="T145" s="353">
        <f t="shared" ca="1" si="44"/>
        <v>8</v>
      </c>
      <c r="U145" s="440"/>
      <c r="V145" s="440"/>
      <c r="W145" s="440"/>
      <c r="X145" s="440" t="s">
        <v>59</v>
      </c>
      <c r="Y145" s="440"/>
      <c r="Z145" s="440"/>
      <c r="AA145" s="440"/>
      <c r="AB145" s="440"/>
      <c r="AC145" s="440"/>
      <c r="AD145" s="440"/>
      <c r="AE145" s="440"/>
      <c r="AF145" s="440"/>
      <c r="AG145" s="440"/>
      <c r="AH145" s="440"/>
      <c r="AI145" s="440"/>
      <c r="AJ145" s="442" t="s">
        <v>1247</v>
      </c>
      <c r="AK145" s="350" t="s">
        <v>1248</v>
      </c>
      <c r="AL145" s="350" t="s">
        <v>1248</v>
      </c>
      <c r="AM145" s="350"/>
      <c r="AN145" s="350"/>
      <c r="AO145" s="350"/>
      <c r="AP145" s="442" t="s">
        <v>1249</v>
      </c>
      <c r="AQ145" s="439" t="s">
        <v>1156</v>
      </c>
      <c r="AR145" s="415" t="s">
        <v>1230</v>
      </c>
      <c r="AS145" s="440" t="s">
        <v>64</v>
      </c>
      <c r="AT145" s="440" t="s">
        <v>95</v>
      </c>
      <c r="AU145" s="395"/>
      <c r="AV145" s="436" t="s">
        <v>1869</v>
      </c>
    </row>
    <row r="146" spans="1:48">
      <c r="A146" s="524">
        <v>124</v>
      </c>
      <c r="B146" s="440">
        <v>18</v>
      </c>
      <c r="C146" s="411" t="s">
        <v>2281</v>
      </c>
      <c r="D146" s="437" t="s">
        <v>1158</v>
      </c>
      <c r="E146" s="440" t="s">
        <v>144</v>
      </c>
      <c r="F146" s="440" t="s">
        <v>344</v>
      </c>
      <c r="G146" s="441">
        <v>43823</v>
      </c>
      <c r="H146" s="441"/>
      <c r="I146" s="441"/>
      <c r="J146" s="441"/>
      <c r="K146" s="440">
        <f t="shared" ca="1" si="42"/>
        <v>1</v>
      </c>
      <c r="L146" s="440">
        <f t="shared" ca="1" si="41"/>
        <v>0</v>
      </c>
      <c r="M146" s="441"/>
      <c r="N146" s="441"/>
      <c r="O146" s="440" t="s">
        <v>35</v>
      </c>
      <c r="P146" s="440" t="s">
        <v>36</v>
      </c>
      <c r="Q146" s="440" t="s">
        <v>41</v>
      </c>
      <c r="R146" s="441">
        <v>36181</v>
      </c>
      <c r="S146" s="438">
        <f t="shared" ca="1" si="43"/>
        <v>21</v>
      </c>
      <c r="T146" s="438">
        <f t="shared" ca="1" si="44"/>
        <v>11</v>
      </c>
      <c r="U146" s="440" t="s">
        <v>68</v>
      </c>
      <c r="V146" s="440" t="s">
        <v>1250</v>
      </c>
      <c r="W146" s="440"/>
      <c r="X146" s="440" t="s">
        <v>59</v>
      </c>
      <c r="Y146" s="440"/>
      <c r="Z146" s="440"/>
      <c r="AA146" s="440"/>
      <c r="AB146" s="440"/>
      <c r="AC146" s="440"/>
      <c r="AD146" s="440"/>
      <c r="AE146" s="440"/>
      <c r="AF146" s="440"/>
      <c r="AG146" s="440"/>
      <c r="AH146" s="440"/>
      <c r="AI146" s="440"/>
      <c r="AJ146" s="442" t="s">
        <v>1251</v>
      </c>
      <c r="AK146" s="350" t="s">
        <v>1252</v>
      </c>
      <c r="AL146" s="350" t="s">
        <v>1252</v>
      </c>
      <c r="AM146" s="350"/>
      <c r="AN146" s="350"/>
      <c r="AO146" s="350"/>
      <c r="AP146" s="442" t="s">
        <v>1253</v>
      </c>
      <c r="AQ146" s="439" t="s">
        <v>1158</v>
      </c>
      <c r="AR146" s="415" t="s">
        <v>1228</v>
      </c>
      <c r="AS146" s="440" t="s">
        <v>64</v>
      </c>
      <c r="AT146" s="440" t="s">
        <v>95</v>
      </c>
      <c r="AU146" s="395"/>
      <c r="AV146" s="436" t="s">
        <v>1869</v>
      </c>
    </row>
    <row r="147" spans="1:48">
      <c r="A147" s="524">
        <v>125</v>
      </c>
      <c r="B147" s="440">
        <v>19</v>
      </c>
      <c r="C147" s="411" t="s">
        <v>2282</v>
      </c>
      <c r="D147" s="437" t="s">
        <v>1157</v>
      </c>
      <c r="E147" s="440" t="s">
        <v>144</v>
      </c>
      <c r="F147" s="440" t="s">
        <v>344</v>
      </c>
      <c r="G147" s="441">
        <v>43823</v>
      </c>
      <c r="H147" s="441"/>
      <c r="I147" s="441"/>
      <c r="J147" s="441"/>
      <c r="K147" s="440">
        <f t="shared" ca="1" si="42"/>
        <v>1</v>
      </c>
      <c r="L147" s="440">
        <f t="shared" ca="1" si="41"/>
        <v>0</v>
      </c>
      <c r="M147" s="441"/>
      <c r="N147" s="441"/>
      <c r="O147" s="440" t="s">
        <v>35</v>
      </c>
      <c r="P147" s="440" t="s">
        <v>36</v>
      </c>
      <c r="Q147" s="440" t="s">
        <v>1254</v>
      </c>
      <c r="R147" s="441">
        <v>36293</v>
      </c>
      <c r="S147" s="353">
        <f t="shared" ca="1" si="43"/>
        <v>21</v>
      </c>
      <c r="T147" s="353">
        <f t="shared" ca="1" si="44"/>
        <v>7</v>
      </c>
      <c r="U147" s="440" t="s">
        <v>68</v>
      </c>
      <c r="V147" s="440" t="s">
        <v>1255</v>
      </c>
      <c r="W147" s="440"/>
      <c r="X147" s="440" t="s">
        <v>59</v>
      </c>
      <c r="Y147" s="440"/>
      <c r="Z147" s="440"/>
      <c r="AA147" s="440"/>
      <c r="AB147" s="440"/>
      <c r="AC147" s="440"/>
      <c r="AD147" s="440"/>
      <c r="AE147" s="440"/>
      <c r="AF147" s="440"/>
      <c r="AG147" s="440"/>
      <c r="AH147" s="440"/>
      <c r="AI147" s="440"/>
      <c r="AJ147" s="442" t="s">
        <v>1256</v>
      </c>
      <c r="AK147" s="350" t="s">
        <v>1257</v>
      </c>
      <c r="AL147" s="350" t="s">
        <v>1257</v>
      </c>
      <c r="AM147" s="350"/>
      <c r="AN147" s="350"/>
      <c r="AO147" s="350"/>
      <c r="AP147" s="442" t="s">
        <v>1263</v>
      </c>
      <c r="AQ147" s="439" t="s">
        <v>1157</v>
      </c>
      <c r="AR147" s="412" t="s">
        <v>1185</v>
      </c>
      <c r="AS147" s="440" t="s">
        <v>64</v>
      </c>
      <c r="AT147" s="440" t="s">
        <v>95</v>
      </c>
      <c r="AU147" s="395"/>
      <c r="AV147" s="436" t="s">
        <v>1869</v>
      </c>
    </row>
    <row r="148" spans="1:48">
      <c r="A148" s="524">
        <v>126</v>
      </c>
      <c r="B148" s="440">
        <v>20</v>
      </c>
      <c r="C148" s="411" t="s">
        <v>2283</v>
      </c>
      <c r="D148" s="437" t="s">
        <v>1178</v>
      </c>
      <c r="E148" s="440" t="s">
        <v>144</v>
      </c>
      <c r="F148" s="440" t="s">
        <v>344</v>
      </c>
      <c r="G148" s="441">
        <v>43836</v>
      </c>
      <c r="H148" s="441"/>
      <c r="I148" s="441"/>
      <c r="J148" s="441"/>
      <c r="K148" s="440">
        <f t="shared" ca="1" si="42"/>
        <v>1</v>
      </c>
      <c r="L148" s="440">
        <f t="shared" ca="1" si="41"/>
        <v>0</v>
      </c>
      <c r="M148" s="441"/>
      <c r="N148" s="441"/>
      <c r="O148" s="440" t="s">
        <v>35</v>
      </c>
      <c r="P148" s="440" t="s">
        <v>36</v>
      </c>
      <c r="Q148" s="440" t="s">
        <v>41</v>
      </c>
      <c r="R148" s="441">
        <v>36743</v>
      </c>
      <c r="S148" s="438">
        <f t="shared" ca="1" si="43"/>
        <v>20</v>
      </c>
      <c r="T148" s="438">
        <f t="shared" ca="1" si="44"/>
        <v>5</v>
      </c>
      <c r="U148" s="440" t="s">
        <v>68</v>
      </c>
      <c r="V148" s="440" t="s">
        <v>1255</v>
      </c>
      <c r="W148" s="440"/>
      <c r="X148" s="440" t="s">
        <v>59</v>
      </c>
      <c r="Y148" s="440"/>
      <c r="Z148" s="440"/>
      <c r="AA148" s="440"/>
      <c r="AB148" s="440"/>
      <c r="AC148" s="440"/>
      <c r="AD148" s="440"/>
      <c r="AE148" s="440"/>
      <c r="AF148" s="440"/>
      <c r="AG148" s="440"/>
      <c r="AH148" s="440"/>
      <c r="AI148" s="440"/>
      <c r="AJ148" s="442" t="s">
        <v>1264</v>
      </c>
      <c r="AK148" s="350" t="s">
        <v>1265</v>
      </c>
      <c r="AL148" s="350" t="s">
        <v>1265</v>
      </c>
      <c r="AM148" s="350"/>
      <c r="AN148" s="350"/>
      <c r="AO148" s="350"/>
      <c r="AP148" s="442" t="s">
        <v>1266</v>
      </c>
      <c r="AQ148" s="439" t="s">
        <v>1178</v>
      </c>
      <c r="AR148" s="412" t="s">
        <v>1232</v>
      </c>
      <c r="AS148" s="440" t="s">
        <v>64</v>
      </c>
      <c r="AT148" s="440" t="s">
        <v>95</v>
      </c>
      <c r="AU148" s="395"/>
      <c r="AV148" s="436" t="s">
        <v>1869</v>
      </c>
    </row>
    <row r="149" spans="1:48">
      <c r="A149" s="524">
        <v>127</v>
      </c>
      <c r="B149" s="440">
        <v>21</v>
      </c>
      <c r="C149" s="411" t="s">
        <v>2284</v>
      </c>
      <c r="D149" s="437" t="s">
        <v>1179</v>
      </c>
      <c r="E149" s="440" t="s">
        <v>144</v>
      </c>
      <c r="F149" s="440" t="s">
        <v>344</v>
      </c>
      <c r="G149" s="441">
        <v>43836</v>
      </c>
      <c r="H149" s="441"/>
      <c r="I149" s="441"/>
      <c r="J149" s="441"/>
      <c r="K149" s="440">
        <f t="shared" ca="1" si="42"/>
        <v>1</v>
      </c>
      <c r="L149" s="440">
        <f t="shared" ca="1" si="41"/>
        <v>0</v>
      </c>
      <c r="M149" s="441"/>
      <c r="N149" s="441"/>
      <c r="O149" s="440" t="s">
        <v>35</v>
      </c>
      <c r="P149" s="440" t="s">
        <v>36</v>
      </c>
      <c r="Q149" s="440" t="s">
        <v>41</v>
      </c>
      <c r="R149" s="441">
        <v>36379</v>
      </c>
      <c r="S149" s="353">
        <f t="shared" ca="1" si="43"/>
        <v>21</v>
      </c>
      <c r="T149" s="353">
        <f t="shared" ca="1" si="44"/>
        <v>4</v>
      </c>
      <c r="U149" s="440" t="s">
        <v>68</v>
      </c>
      <c r="V149" s="440" t="s">
        <v>1255</v>
      </c>
      <c r="W149" s="440"/>
      <c r="X149" s="440" t="s">
        <v>59</v>
      </c>
      <c r="Y149" s="440"/>
      <c r="Z149" s="440"/>
      <c r="AA149" s="440"/>
      <c r="AB149" s="440"/>
      <c r="AC149" s="440"/>
      <c r="AD149" s="440"/>
      <c r="AE149" s="440"/>
      <c r="AF149" s="440"/>
      <c r="AG149" s="440"/>
      <c r="AH149" s="440"/>
      <c r="AI149" s="440"/>
      <c r="AJ149" s="442" t="s">
        <v>1267</v>
      </c>
      <c r="AK149" s="350" t="s">
        <v>1265</v>
      </c>
      <c r="AL149" s="350" t="s">
        <v>1265</v>
      </c>
      <c r="AM149" s="350"/>
      <c r="AN149" s="350"/>
      <c r="AO149" s="350"/>
      <c r="AP149" s="442" t="s">
        <v>1268</v>
      </c>
      <c r="AQ149" s="439" t="s">
        <v>1179</v>
      </c>
      <c r="AR149" s="412" t="s">
        <v>1231</v>
      </c>
      <c r="AS149" s="440" t="s">
        <v>64</v>
      </c>
      <c r="AT149" s="440" t="s">
        <v>95</v>
      </c>
      <c r="AU149" s="395"/>
      <c r="AV149" s="436" t="s">
        <v>1869</v>
      </c>
    </row>
    <row r="150" spans="1:48">
      <c r="A150" s="524">
        <v>128</v>
      </c>
      <c r="B150" s="440">
        <v>22</v>
      </c>
      <c r="C150" s="411" t="s">
        <v>2285</v>
      </c>
      <c r="D150" s="437" t="s">
        <v>1186</v>
      </c>
      <c r="E150" s="440" t="s">
        <v>144</v>
      </c>
      <c r="F150" s="440" t="s">
        <v>344</v>
      </c>
      <c r="G150" s="441">
        <v>43837</v>
      </c>
      <c r="H150" s="441"/>
      <c r="I150" s="441"/>
      <c r="J150" s="441"/>
      <c r="K150" s="440">
        <f t="shared" ca="1" si="42"/>
        <v>0</v>
      </c>
      <c r="L150" s="440">
        <f t="shared" ca="1" si="41"/>
        <v>11</v>
      </c>
      <c r="M150" s="441"/>
      <c r="N150" s="441"/>
      <c r="O150" s="440" t="s">
        <v>35</v>
      </c>
      <c r="P150" s="440" t="s">
        <v>36</v>
      </c>
      <c r="Q150" s="440" t="s">
        <v>41</v>
      </c>
      <c r="R150" s="441">
        <v>30226</v>
      </c>
      <c r="S150" s="438">
        <f t="shared" ca="1" si="43"/>
        <v>38</v>
      </c>
      <c r="T150" s="438">
        <f t="shared" ca="1" si="44"/>
        <v>3</v>
      </c>
      <c r="U150" s="440" t="s">
        <v>68</v>
      </c>
      <c r="V150" s="440" t="s">
        <v>1191</v>
      </c>
      <c r="W150" s="440"/>
      <c r="X150" s="440" t="s">
        <v>59</v>
      </c>
      <c r="Y150" s="440"/>
      <c r="Z150" s="440"/>
      <c r="AA150" s="440"/>
      <c r="AB150" s="440"/>
      <c r="AC150" s="440"/>
      <c r="AD150" s="440"/>
      <c r="AE150" s="440"/>
      <c r="AF150" s="440"/>
      <c r="AG150" s="440"/>
      <c r="AH150" s="440"/>
      <c r="AI150" s="440"/>
      <c r="AJ150" s="442" t="s">
        <v>1187</v>
      </c>
      <c r="AK150" s="350" t="s">
        <v>1188</v>
      </c>
      <c r="AL150" s="350" t="s">
        <v>1188</v>
      </c>
      <c r="AM150" s="350"/>
      <c r="AN150" s="350"/>
      <c r="AO150" s="350"/>
      <c r="AP150" s="442" t="s">
        <v>1189</v>
      </c>
      <c r="AQ150" s="439" t="s">
        <v>1186</v>
      </c>
      <c r="AR150" s="412" t="s">
        <v>1238</v>
      </c>
      <c r="AS150" s="440" t="s">
        <v>64</v>
      </c>
      <c r="AT150" s="440" t="s">
        <v>95</v>
      </c>
      <c r="AU150" s="395"/>
      <c r="AV150" s="436" t="s">
        <v>1869</v>
      </c>
    </row>
    <row r="151" spans="1:48">
      <c r="A151" s="524">
        <v>129</v>
      </c>
      <c r="B151" s="440">
        <v>23</v>
      </c>
      <c r="C151" s="411" t="s">
        <v>2286</v>
      </c>
      <c r="D151" s="437" t="s">
        <v>1195</v>
      </c>
      <c r="E151" s="440" t="s">
        <v>144</v>
      </c>
      <c r="F151" s="440" t="s">
        <v>344</v>
      </c>
      <c r="G151" s="441">
        <v>43838</v>
      </c>
      <c r="H151" s="441"/>
      <c r="I151" s="441"/>
      <c r="J151" s="441"/>
      <c r="K151" s="440">
        <f t="shared" ca="1" si="42"/>
        <v>0</v>
      </c>
      <c r="L151" s="440">
        <f t="shared" ca="1" si="41"/>
        <v>11</v>
      </c>
      <c r="M151" s="441"/>
      <c r="N151" s="441"/>
      <c r="O151" s="440" t="s">
        <v>35</v>
      </c>
      <c r="P151" s="440" t="s">
        <v>36</v>
      </c>
      <c r="Q151" s="440" t="s">
        <v>41</v>
      </c>
      <c r="R151" s="441">
        <v>36558</v>
      </c>
      <c r="S151" s="438">
        <f t="shared" ca="1" si="43"/>
        <v>20</v>
      </c>
      <c r="T151" s="438">
        <f t="shared" ca="1" si="44"/>
        <v>11</v>
      </c>
      <c r="U151" s="440" t="s">
        <v>136</v>
      </c>
      <c r="V151" s="440" t="s">
        <v>48</v>
      </c>
      <c r="W151" s="440"/>
      <c r="X151" s="440" t="s">
        <v>59</v>
      </c>
      <c r="Y151" s="440"/>
      <c r="Z151" s="440"/>
      <c r="AA151" s="440"/>
      <c r="AB151" s="440"/>
      <c r="AC151" s="440"/>
      <c r="AD151" s="440"/>
      <c r="AE151" s="440"/>
      <c r="AF151" s="440"/>
      <c r="AG151" s="440"/>
      <c r="AH151" s="440"/>
      <c r="AI151" s="440"/>
      <c r="AJ151" s="442" t="s">
        <v>1205</v>
      </c>
      <c r="AK151" s="350" t="s">
        <v>1200</v>
      </c>
      <c r="AL151" s="350" t="s">
        <v>1196</v>
      </c>
      <c r="AM151" s="350"/>
      <c r="AN151" s="350"/>
      <c r="AO151" s="350"/>
      <c r="AP151" s="442" t="s">
        <v>1197</v>
      </c>
      <c r="AQ151" s="439" t="s">
        <v>1195</v>
      </c>
      <c r="AR151" s="412" t="s">
        <v>1234</v>
      </c>
      <c r="AS151" s="440" t="s">
        <v>64</v>
      </c>
      <c r="AT151" s="440" t="s">
        <v>95</v>
      </c>
      <c r="AU151" s="395"/>
      <c r="AV151" s="436" t="s">
        <v>1869</v>
      </c>
    </row>
    <row r="152" spans="1:48">
      <c r="A152" s="524">
        <v>130</v>
      </c>
      <c r="B152" s="440">
        <v>24</v>
      </c>
      <c r="C152" s="411" t="s">
        <v>2287</v>
      </c>
      <c r="D152" s="437" t="s">
        <v>1198</v>
      </c>
      <c r="E152" s="440" t="s">
        <v>144</v>
      </c>
      <c r="F152" s="440" t="s">
        <v>344</v>
      </c>
      <c r="G152" s="441">
        <v>43838</v>
      </c>
      <c r="H152" s="441"/>
      <c r="I152" s="441"/>
      <c r="J152" s="441"/>
      <c r="K152" s="440">
        <f t="shared" ca="1" si="42"/>
        <v>0</v>
      </c>
      <c r="L152" s="440">
        <f t="shared" ca="1" si="41"/>
        <v>11</v>
      </c>
      <c r="M152" s="441"/>
      <c r="N152" s="441"/>
      <c r="O152" s="440" t="s">
        <v>35</v>
      </c>
      <c r="P152" s="440" t="s">
        <v>36</v>
      </c>
      <c r="Q152" s="440" t="s">
        <v>41</v>
      </c>
      <c r="R152" s="441">
        <v>35643</v>
      </c>
      <c r="S152" s="438">
        <f t="shared" ca="1" si="43"/>
        <v>23</v>
      </c>
      <c r="T152" s="438">
        <f t="shared" ca="1" si="44"/>
        <v>5</v>
      </c>
      <c r="U152" s="440" t="s">
        <v>68</v>
      </c>
      <c r="V152" s="440" t="s">
        <v>69</v>
      </c>
      <c r="W152" s="440"/>
      <c r="X152" s="440" t="s">
        <v>59</v>
      </c>
      <c r="Y152" s="440"/>
      <c r="Z152" s="440"/>
      <c r="AA152" s="440"/>
      <c r="AB152" s="440"/>
      <c r="AC152" s="440"/>
      <c r="AD152" s="440"/>
      <c r="AE152" s="440"/>
      <c r="AF152" s="440"/>
      <c r="AG152" s="440"/>
      <c r="AH152" s="440"/>
      <c r="AI152" s="440"/>
      <c r="AJ152" s="442" t="s">
        <v>1204</v>
      </c>
      <c r="AK152" s="350" t="s">
        <v>1199</v>
      </c>
      <c r="AL152" s="350" t="s">
        <v>1199</v>
      </c>
      <c r="AM152" s="350"/>
      <c r="AN152" s="350"/>
      <c r="AO152" s="350"/>
      <c r="AP152" s="442" t="s">
        <v>1201</v>
      </c>
      <c r="AQ152" s="439" t="s">
        <v>1198</v>
      </c>
      <c r="AR152" s="412" t="s">
        <v>1235</v>
      </c>
      <c r="AS152" s="440" t="s">
        <v>64</v>
      </c>
      <c r="AT152" s="440" t="s">
        <v>95</v>
      </c>
      <c r="AU152" s="395"/>
    </row>
    <row r="153" spans="1:48">
      <c r="A153" s="524">
        <v>131</v>
      </c>
      <c r="B153" s="440">
        <v>25</v>
      </c>
      <c r="C153" s="411" t="s">
        <v>2288</v>
      </c>
      <c r="D153" s="437" t="s">
        <v>1209</v>
      </c>
      <c r="E153" s="440" t="s">
        <v>144</v>
      </c>
      <c r="F153" s="440" t="s">
        <v>344</v>
      </c>
      <c r="G153" s="441">
        <v>43838</v>
      </c>
      <c r="H153" s="441"/>
      <c r="I153" s="441"/>
      <c r="J153" s="441"/>
      <c r="K153" s="440">
        <f t="shared" ca="1" si="42"/>
        <v>0</v>
      </c>
      <c r="L153" s="440">
        <f t="shared" ca="1" si="41"/>
        <v>11</v>
      </c>
      <c r="M153" s="441"/>
      <c r="N153" s="441"/>
      <c r="O153" s="440" t="s">
        <v>35</v>
      </c>
      <c r="P153" s="440" t="s">
        <v>36</v>
      </c>
      <c r="Q153" s="440" t="s">
        <v>41</v>
      </c>
      <c r="R153" s="441">
        <v>35998</v>
      </c>
      <c r="S153" s="353">
        <f t="shared" ca="1" si="43"/>
        <v>22</v>
      </c>
      <c r="T153" s="353">
        <f t="shared" ca="1" si="44"/>
        <v>5</v>
      </c>
      <c r="U153" s="440" t="s">
        <v>68</v>
      </c>
      <c r="V153" s="440" t="s">
        <v>677</v>
      </c>
      <c r="W153" s="440"/>
      <c r="X153" s="440" t="s">
        <v>59</v>
      </c>
      <c r="Y153" s="440"/>
      <c r="Z153" s="440"/>
      <c r="AA153" s="440"/>
      <c r="AB153" s="440"/>
      <c r="AC153" s="440"/>
      <c r="AD153" s="440"/>
      <c r="AE153" s="440"/>
      <c r="AF153" s="440"/>
      <c r="AG153" s="440"/>
      <c r="AH153" s="440"/>
      <c r="AI153" s="440"/>
      <c r="AJ153" s="432" t="s">
        <v>2300</v>
      </c>
      <c r="AK153" s="350" t="s">
        <v>1210</v>
      </c>
      <c r="AL153" s="350" t="s">
        <v>1210</v>
      </c>
      <c r="AM153" s="350"/>
      <c r="AN153" s="350"/>
      <c r="AO153" s="350"/>
      <c r="AP153" s="442" t="s">
        <v>1211</v>
      </c>
      <c r="AQ153" s="439" t="s">
        <v>1209</v>
      </c>
      <c r="AR153" s="412" t="s">
        <v>1233</v>
      </c>
      <c r="AS153" s="440" t="s">
        <v>64</v>
      </c>
      <c r="AT153" s="440" t="s">
        <v>95</v>
      </c>
      <c r="AU153" s="395"/>
      <c r="AV153" s="436" t="s">
        <v>1869</v>
      </c>
    </row>
    <row r="154" spans="1:48">
      <c r="A154" s="524">
        <v>132</v>
      </c>
      <c r="B154" s="440">
        <v>26</v>
      </c>
      <c r="C154" s="411" t="s">
        <v>2289</v>
      </c>
      <c r="D154" s="437" t="s">
        <v>1282</v>
      </c>
      <c r="E154" s="440" t="s">
        <v>144</v>
      </c>
      <c r="F154" s="440" t="s">
        <v>344</v>
      </c>
      <c r="G154" s="441">
        <v>43846</v>
      </c>
      <c r="H154" s="441"/>
      <c r="I154" s="441"/>
      <c r="J154" s="441"/>
      <c r="K154" s="440">
        <f t="shared" ca="1" si="42"/>
        <v>0</v>
      </c>
      <c r="L154" s="440">
        <f t="shared" ca="1" si="41"/>
        <v>11</v>
      </c>
      <c r="M154" s="441"/>
      <c r="N154" s="441"/>
      <c r="O154" s="440" t="s">
        <v>35</v>
      </c>
      <c r="P154" s="440" t="s">
        <v>36</v>
      </c>
      <c r="Q154" s="440" t="s">
        <v>618</v>
      </c>
      <c r="R154" s="441">
        <v>35631</v>
      </c>
      <c r="S154" s="353">
        <f t="shared" ca="1" si="43"/>
        <v>23</v>
      </c>
      <c r="T154" s="353">
        <f t="shared" ca="1" si="44"/>
        <v>5</v>
      </c>
      <c r="U154" s="440" t="s">
        <v>152</v>
      </c>
      <c r="V154" s="440" t="s">
        <v>732</v>
      </c>
      <c r="W154" s="440"/>
      <c r="X154" s="440" t="s">
        <v>59</v>
      </c>
      <c r="Y154" s="440"/>
      <c r="Z154" s="440"/>
      <c r="AA154" s="440"/>
      <c r="AB154" s="440"/>
      <c r="AC154" s="440"/>
      <c r="AD154" s="440"/>
      <c r="AE154" s="440"/>
      <c r="AF154" s="440"/>
      <c r="AG154" s="440"/>
      <c r="AH154" s="440"/>
      <c r="AI154" s="440"/>
      <c r="AJ154" s="442" t="s">
        <v>1283</v>
      </c>
      <c r="AK154" s="350" t="s">
        <v>1284</v>
      </c>
      <c r="AL154" s="437" t="s">
        <v>1282</v>
      </c>
      <c r="AM154" s="350"/>
      <c r="AN154" s="350"/>
      <c r="AO154" s="350"/>
      <c r="AP154" s="442" t="s">
        <v>1285</v>
      </c>
      <c r="AQ154" s="439" t="s">
        <v>1282</v>
      </c>
      <c r="AR154" s="412" t="s">
        <v>1332</v>
      </c>
      <c r="AS154" s="440" t="s">
        <v>64</v>
      </c>
      <c r="AT154" s="440" t="s">
        <v>95</v>
      </c>
      <c r="AU154" s="395"/>
      <c r="AV154" s="436" t="s">
        <v>1869</v>
      </c>
    </row>
    <row r="155" spans="1:48">
      <c r="A155" s="524">
        <v>133</v>
      </c>
      <c r="B155" s="440">
        <v>27</v>
      </c>
      <c r="C155" s="411" t="s">
        <v>2290</v>
      </c>
      <c r="D155" s="437" t="s">
        <v>1286</v>
      </c>
      <c r="E155" s="440" t="s">
        <v>144</v>
      </c>
      <c r="F155" s="440" t="s">
        <v>344</v>
      </c>
      <c r="G155" s="441">
        <v>43846</v>
      </c>
      <c r="H155" s="441"/>
      <c r="I155" s="441"/>
      <c r="J155" s="441"/>
      <c r="K155" s="440">
        <f t="shared" ca="1" si="42"/>
        <v>0</v>
      </c>
      <c r="L155" s="440">
        <f t="shared" ca="1" si="41"/>
        <v>11</v>
      </c>
      <c r="M155" s="441"/>
      <c r="N155" s="441"/>
      <c r="O155" s="440" t="s">
        <v>35</v>
      </c>
      <c r="P155" s="440" t="s">
        <v>36</v>
      </c>
      <c r="Q155" s="440" t="s">
        <v>1287</v>
      </c>
      <c r="R155" s="441">
        <v>35643</v>
      </c>
      <c r="S155" s="353">
        <f t="shared" ca="1" si="43"/>
        <v>23</v>
      </c>
      <c r="T155" s="353">
        <f t="shared" ca="1" si="44"/>
        <v>5</v>
      </c>
      <c r="U155" s="440" t="s">
        <v>619</v>
      </c>
      <c r="V155" s="440" t="s">
        <v>1288</v>
      </c>
      <c r="W155" s="440"/>
      <c r="X155" s="440" t="s">
        <v>59</v>
      </c>
      <c r="Y155" s="440"/>
      <c r="Z155" s="440"/>
      <c r="AA155" s="440"/>
      <c r="AB155" s="440"/>
      <c r="AC155" s="440"/>
      <c r="AD155" s="440"/>
      <c r="AE155" s="440"/>
      <c r="AF155" s="440"/>
      <c r="AG155" s="440"/>
      <c r="AH155" s="440"/>
      <c r="AI155" s="440"/>
      <c r="AJ155" s="442" t="s">
        <v>1289</v>
      </c>
      <c r="AK155" s="350" t="s">
        <v>1290</v>
      </c>
      <c r="AL155" s="437" t="s">
        <v>1286</v>
      </c>
      <c r="AM155" s="350"/>
      <c r="AN155" s="350"/>
      <c r="AO155" s="350"/>
      <c r="AP155" s="442" t="s">
        <v>1291</v>
      </c>
      <c r="AQ155" s="439" t="s">
        <v>1286</v>
      </c>
      <c r="AR155" s="412" t="s">
        <v>1330</v>
      </c>
      <c r="AS155" s="440" t="s">
        <v>64</v>
      </c>
      <c r="AT155" s="440" t="s">
        <v>95</v>
      </c>
      <c r="AU155" s="395"/>
      <c r="AV155" s="436" t="s">
        <v>1869</v>
      </c>
    </row>
    <row r="156" spans="1:48" s="414" customFormat="1">
      <c r="A156" s="524">
        <v>134</v>
      </c>
      <c r="B156" s="657">
        <v>28</v>
      </c>
      <c r="C156" s="444" t="s">
        <v>1662</v>
      </c>
      <c r="D156" s="664" t="s">
        <v>1661</v>
      </c>
      <c r="E156" s="657" t="s">
        <v>144</v>
      </c>
      <c r="F156" s="657" t="s">
        <v>344</v>
      </c>
      <c r="G156" s="658">
        <v>44082</v>
      </c>
      <c r="H156" s="444"/>
      <c r="I156" s="444"/>
      <c r="J156" s="444"/>
      <c r="K156" s="444">
        <f t="shared" ca="1" si="42"/>
        <v>0</v>
      </c>
      <c r="L156" s="444">
        <f t="shared" ca="1" si="41"/>
        <v>3</v>
      </c>
      <c r="M156" s="444"/>
      <c r="N156" s="444"/>
      <c r="O156" s="657" t="s">
        <v>35</v>
      </c>
      <c r="P156" s="657" t="s">
        <v>36</v>
      </c>
      <c r="Q156" s="444" t="s">
        <v>197</v>
      </c>
      <c r="R156" s="659">
        <v>32297</v>
      </c>
      <c r="S156" s="444">
        <v>32</v>
      </c>
      <c r="T156" s="444">
        <v>6</v>
      </c>
      <c r="U156" s="444"/>
      <c r="V156" s="444"/>
      <c r="W156" s="444"/>
      <c r="X156" s="657" t="s">
        <v>59</v>
      </c>
      <c r="Y156" s="444" t="s">
        <v>2301</v>
      </c>
      <c r="Z156" s="662">
        <v>36684</v>
      </c>
      <c r="AA156" s="444" t="s">
        <v>2302</v>
      </c>
      <c r="AB156" s="388">
        <v>43570</v>
      </c>
      <c r="AC156" s="438">
        <f ca="1">DATEDIF(AB156,$B$1,"Y")</f>
        <v>1</v>
      </c>
      <c r="AD156" s="432" t="s">
        <v>48</v>
      </c>
      <c r="AE156" s="432" t="s">
        <v>48</v>
      </c>
      <c r="AF156" s="432" t="s">
        <v>48</v>
      </c>
      <c r="AG156" s="432" t="s">
        <v>48</v>
      </c>
      <c r="AH156" s="432" t="s">
        <v>48</v>
      </c>
      <c r="AI156" s="432" t="s">
        <v>48</v>
      </c>
      <c r="AJ156" s="432" t="s">
        <v>2298</v>
      </c>
      <c r="AK156" s="663" t="s">
        <v>1663</v>
      </c>
      <c r="AL156" s="663" t="s">
        <v>1663</v>
      </c>
      <c r="AM156" s="444"/>
      <c r="AN156" s="444"/>
      <c r="AO156" s="444"/>
      <c r="AP156" s="444"/>
      <c r="AQ156" s="444" t="s">
        <v>1661</v>
      </c>
      <c r="AR156" s="660" t="s">
        <v>1664</v>
      </c>
      <c r="AS156" s="657" t="s">
        <v>64</v>
      </c>
      <c r="AT156" s="657" t="s">
        <v>95</v>
      </c>
      <c r="AU156" s="661"/>
    </row>
    <row r="157" spans="1:48">
      <c r="A157" s="524">
        <v>135</v>
      </c>
      <c r="B157" s="440">
        <v>29</v>
      </c>
      <c r="C157" s="411" t="s">
        <v>1478</v>
      </c>
      <c r="D157" s="437" t="s">
        <v>1470</v>
      </c>
      <c r="E157" s="440" t="s">
        <v>144</v>
      </c>
      <c r="F157" s="440" t="s">
        <v>344</v>
      </c>
      <c r="G157" s="441">
        <v>44000</v>
      </c>
      <c r="H157" s="441"/>
      <c r="I157" s="441"/>
      <c r="J157" s="441"/>
      <c r="K157" s="440">
        <f t="shared" ca="1" si="42"/>
        <v>0</v>
      </c>
      <c r="L157" s="440">
        <f t="shared" ca="1" si="41"/>
        <v>6</v>
      </c>
      <c r="M157" s="441"/>
      <c r="N157" s="441"/>
      <c r="O157" s="440" t="s">
        <v>35</v>
      </c>
      <c r="P157" s="440" t="s">
        <v>36</v>
      </c>
      <c r="Q157" s="440" t="s">
        <v>618</v>
      </c>
      <c r="R157" s="388">
        <v>37199</v>
      </c>
      <c r="S157" s="438">
        <f t="shared" ref="S157:S167" ca="1" si="45">DATEDIF(R157,$B$1,"Y")</f>
        <v>19</v>
      </c>
      <c r="T157" s="438">
        <f t="shared" ref="T157:T167" ca="1" si="46">DATEDIF(R157,$B$1,"YM")</f>
        <v>2</v>
      </c>
      <c r="U157" s="440" t="s">
        <v>136</v>
      </c>
      <c r="V157" s="440"/>
      <c r="W157" s="440"/>
      <c r="X157" s="440" t="s">
        <v>59</v>
      </c>
      <c r="Y157" s="440"/>
      <c r="Z157" s="440"/>
      <c r="AA157" s="440"/>
      <c r="AB157" s="440"/>
      <c r="AC157" s="440"/>
      <c r="AD157" s="440"/>
      <c r="AE157" s="440"/>
      <c r="AF157" s="440"/>
      <c r="AG157" s="440"/>
      <c r="AH157" s="440"/>
      <c r="AI157" s="440"/>
      <c r="AJ157" s="388" t="s">
        <v>1471</v>
      </c>
      <c r="AK157" s="350" t="s">
        <v>1472</v>
      </c>
      <c r="AL157" s="350" t="s">
        <v>1472</v>
      </c>
      <c r="AM157" s="350"/>
      <c r="AN157" s="350"/>
      <c r="AO157" s="350"/>
      <c r="AP157" s="442" t="s">
        <v>1473</v>
      </c>
      <c r="AQ157" s="439" t="s">
        <v>1470</v>
      </c>
      <c r="AR157" s="412" t="s">
        <v>1540</v>
      </c>
      <c r="AS157" s="440" t="s">
        <v>64</v>
      </c>
      <c r="AT157" s="440" t="s">
        <v>95</v>
      </c>
      <c r="AU157" s="395"/>
    </row>
    <row r="158" spans="1:48">
      <c r="A158" s="524">
        <v>136</v>
      </c>
      <c r="B158" s="440">
        <v>30</v>
      </c>
      <c r="C158" s="411" t="s">
        <v>1479</v>
      </c>
      <c r="D158" s="437" t="s">
        <v>1474</v>
      </c>
      <c r="E158" s="440" t="s">
        <v>144</v>
      </c>
      <c r="F158" s="440" t="s">
        <v>344</v>
      </c>
      <c r="G158" s="441">
        <v>44004</v>
      </c>
      <c r="H158" s="441"/>
      <c r="I158" s="441"/>
      <c r="J158" s="441"/>
      <c r="K158" s="440">
        <f t="shared" ca="1" si="42"/>
        <v>0</v>
      </c>
      <c r="L158" s="440">
        <f t="shared" ca="1" si="41"/>
        <v>6</v>
      </c>
      <c r="M158" s="441"/>
      <c r="N158" s="441"/>
      <c r="O158" s="440" t="s">
        <v>35</v>
      </c>
      <c r="P158" s="440" t="s">
        <v>36</v>
      </c>
      <c r="Q158" s="440" t="s">
        <v>618</v>
      </c>
      <c r="R158" s="441">
        <v>35217</v>
      </c>
      <c r="S158" s="438">
        <f t="shared" ca="1" si="45"/>
        <v>24</v>
      </c>
      <c r="T158" s="438">
        <f t="shared" ca="1" si="46"/>
        <v>7</v>
      </c>
      <c r="U158" s="440" t="s">
        <v>152</v>
      </c>
      <c r="V158" s="440"/>
      <c r="W158" s="440"/>
      <c r="X158" s="440" t="s">
        <v>59</v>
      </c>
      <c r="Y158" s="440"/>
      <c r="Z158" s="440"/>
      <c r="AA158" s="440"/>
      <c r="AB158" s="440"/>
      <c r="AC158" s="440"/>
      <c r="AD158" s="440"/>
      <c r="AE158" s="440"/>
      <c r="AF158" s="440"/>
      <c r="AG158" s="440"/>
      <c r="AH158" s="440"/>
      <c r="AI158" s="440"/>
      <c r="AJ158" s="442" t="s">
        <v>1475</v>
      </c>
      <c r="AK158" s="350" t="s">
        <v>1476</v>
      </c>
      <c r="AL158" s="350" t="s">
        <v>1476</v>
      </c>
      <c r="AM158" s="350"/>
      <c r="AN158" s="350"/>
      <c r="AO158" s="350"/>
      <c r="AP158" s="442" t="s">
        <v>1477</v>
      </c>
      <c r="AQ158" s="439" t="s">
        <v>1474</v>
      </c>
      <c r="AR158" s="412" t="s">
        <v>1541</v>
      </c>
      <c r="AS158" s="440" t="s">
        <v>64</v>
      </c>
      <c r="AT158" s="440" t="s">
        <v>95</v>
      </c>
      <c r="AU158" s="395"/>
      <c r="AV158" s="436" t="s">
        <v>1869</v>
      </c>
    </row>
    <row r="159" spans="1:48">
      <c r="A159" s="524">
        <v>137</v>
      </c>
      <c r="B159" s="440">
        <v>31</v>
      </c>
      <c r="C159" s="411" t="s">
        <v>1539</v>
      </c>
      <c r="D159" s="437" t="s">
        <v>551</v>
      </c>
      <c r="E159" s="440" t="s">
        <v>144</v>
      </c>
      <c r="F159" s="440" t="s">
        <v>344</v>
      </c>
      <c r="G159" s="441">
        <v>44025</v>
      </c>
      <c r="H159" s="441"/>
      <c r="I159" s="441"/>
      <c r="J159" s="441"/>
      <c r="K159" s="440">
        <f t="shared" ca="1" si="42"/>
        <v>0</v>
      </c>
      <c r="L159" s="440">
        <f t="shared" ca="1" si="41"/>
        <v>5</v>
      </c>
      <c r="M159" s="441"/>
      <c r="N159" s="441"/>
      <c r="O159" s="440" t="s">
        <v>35</v>
      </c>
      <c r="P159" s="440" t="s">
        <v>36</v>
      </c>
      <c r="Q159" s="440" t="s">
        <v>1536</v>
      </c>
      <c r="R159" s="441">
        <v>34894</v>
      </c>
      <c r="S159" s="438">
        <f t="shared" ca="1" si="45"/>
        <v>25</v>
      </c>
      <c r="T159" s="438">
        <f t="shared" ca="1" si="46"/>
        <v>5</v>
      </c>
      <c r="U159" s="440"/>
      <c r="V159" s="440"/>
      <c r="W159" s="440"/>
      <c r="X159" s="440" t="s">
        <v>59</v>
      </c>
      <c r="Y159" s="440"/>
      <c r="Z159" s="440"/>
      <c r="AA159" s="440"/>
      <c r="AB159" s="440"/>
      <c r="AC159" s="440"/>
      <c r="AD159" s="440"/>
      <c r="AE159" s="440"/>
      <c r="AF159" s="440"/>
      <c r="AG159" s="440"/>
      <c r="AH159" s="440"/>
      <c r="AI159" s="440"/>
      <c r="AJ159" s="442" t="s">
        <v>1537</v>
      </c>
      <c r="AK159" s="350" t="s">
        <v>1538</v>
      </c>
      <c r="AL159" s="350" t="s">
        <v>1538</v>
      </c>
      <c r="AM159" s="350"/>
      <c r="AN159" s="350"/>
      <c r="AO159" s="350"/>
      <c r="AP159" s="442"/>
      <c r="AQ159" s="439" t="s">
        <v>551</v>
      </c>
      <c r="AR159" s="412" t="s">
        <v>1547</v>
      </c>
      <c r="AS159" s="440" t="s">
        <v>64</v>
      </c>
      <c r="AT159" s="440" t="s">
        <v>95</v>
      </c>
      <c r="AU159" s="395"/>
    </row>
    <row r="160" spans="1:48">
      <c r="A160" s="524">
        <v>138</v>
      </c>
      <c r="B160" s="440">
        <v>32</v>
      </c>
      <c r="C160" s="411" t="s">
        <v>1527</v>
      </c>
      <c r="D160" s="437" t="s">
        <v>1499</v>
      </c>
      <c r="E160" s="440" t="s">
        <v>144</v>
      </c>
      <c r="F160" s="440" t="s">
        <v>344</v>
      </c>
      <c r="G160" s="441">
        <v>44027</v>
      </c>
      <c r="H160" s="441"/>
      <c r="I160" s="441"/>
      <c r="J160" s="441"/>
      <c r="K160" s="440">
        <f t="shared" ca="1" si="42"/>
        <v>0</v>
      </c>
      <c r="L160" s="440">
        <f t="shared" ca="1" si="41"/>
        <v>5</v>
      </c>
      <c r="M160" s="441"/>
      <c r="N160" s="441"/>
      <c r="O160" s="440" t="s">
        <v>35</v>
      </c>
      <c r="P160" s="440" t="s">
        <v>36</v>
      </c>
      <c r="Q160" s="440" t="s">
        <v>41</v>
      </c>
      <c r="R160" s="441">
        <v>37202</v>
      </c>
      <c r="S160" s="438">
        <f t="shared" ca="1" si="45"/>
        <v>19</v>
      </c>
      <c r="T160" s="438">
        <f t="shared" ca="1" si="46"/>
        <v>1</v>
      </c>
      <c r="U160" s="440" t="s">
        <v>68</v>
      </c>
      <c r="V160" s="440"/>
      <c r="W160" s="440"/>
      <c r="X160" s="440" t="s">
        <v>59</v>
      </c>
      <c r="Y160" s="440"/>
      <c r="Z160" s="440"/>
      <c r="AA160" s="440"/>
      <c r="AB160" s="440"/>
      <c r="AC160" s="440"/>
      <c r="AD160" s="440"/>
      <c r="AE160" s="440"/>
      <c r="AF160" s="440"/>
      <c r="AG160" s="440"/>
      <c r="AH160" s="440"/>
      <c r="AI160" s="440"/>
      <c r="AJ160" s="442" t="s">
        <v>1500</v>
      </c>
      <c r="AK160" s="350" t="s">
        <v>1501</v>
      </c>
      <c r="AL160" s="350" t="s">
        <v>1501</v>
      </c>
      <c r="AM160" s="350"/>
      <c r="AN160" s="350"/>
      <c r="AO160" s="350"/>
      <c r="AP160" s="442" t="s">
        <v>1502</v>
      </c>
      <c r="AQ160" s="439" t="s">
        <v>1499</v>
      </c>
      <c r="AR160" s="412" t="s">
        <v>1546</v>
      </c>
      <c r="AS160" s="440" t="s">
        <v>64</v>
      </c>
      <c r="AT160" s="440" t="s">
        <v>95</v>
      </c>
      <c r="AU160" s="395"/>
    </row>
    <row r="161" spans="1:48">
      <c r="A161" s="524">
        <v>139</v>
      </c>
      <c r="B161" s="440">
        <v>33</v>
      </c>
      <c r="C161" s="411" t="s">
        <v>1528</v>
      </c>
      <c r="D161" s="437" t="s">
        <v>1503</v>
      </c>
      <c r="E161" s="440" t="s">
        <v>144</v>
      </c>
      <c r="F161" s="440" t="s">
        <v>344</v>
      </c>
      <c r="G161" s="441">
        <v>44027</v>
      </c>
      <c r="H161" s="441"/>
      <c r="I161" s="441"/>
      <c r="J161" s="441"/>
      <c r="K161" s="440">
        <f t="shared" ca="1" si="42"/>
        <v>0</v>
      </c>
      <c r="L161" s="440">
        <f t="shared" ca="1" si="41"/>
        <v>5</v>
      </c>
      <c r="M161" s="441"/>
      <c r="N161" s="441"/>
      <c r="O161" s="440" t="s">
        <v>35</v>
      </c>
      <c r="P161" s="440" t="s">
        <v>36</v>
      </c>
      <c r="Q161" s="440" t="s">
        <v>41</v>
      </c>
      <c r="R161" s="441">
        <v>37461</v>
      </c>
      <c r="S161" s="438">
        <f t="shared" ca="1" si="45"/>
        <v>18</v>
      </c>
      <c r="T161" s="438">
        <f t="shared" ca="1" si="46"/>
        <v>5</v>
      </c>
      <c r="U161" s="440" t="s">
        <v>136</v>
      </c>
      <c r="V161" s="440"/>
      <c r="W161" s="440"/>
      <c r="X161" s="440" t="s">
        <v>59</v>
      </c>
      <c r="Y161" s="440"/>
      <c r="Z161" s="440"/>
      <c r="AA161" s="440"/>
      <c r="AB161" s="440"/>
      <c r="AC161" s="440"/>
      <c r="AD161" s="440"/>
      <c r="AE161" s="440"/>
      <c r="AF161" s="440"/>
      <c r="AG161" s="440"/>
      <c r="AH161" s="440"/>
      <c r="AI161" s="440"/>
      <c r="AJ161" s="442" t="s">
        <v>1504</v>
      </c>
      <c r="AK161" s="350" t="s">
        <v>1505</v>
      </c>
      <c r="AL161" s="350" t="s">
        <v>1505</v>
      </c>
      <c r="AM161" s="350"/>
      <c r="AN161" s="350"/>
      <c r="AO161" s="350"/>
      <c r="AP161" s="442"/>
      <c r="AQ161" s="439" t="s">
        <v>1503</v>
      </c>
      <c r="AR161" s="412"/>
      <c r="AS161" s="440" t="s">
        <v>64</v>
      </c>
      <c r="AT161" s="440" t="s">
        <v>95</v>
      </c>
      <c r="AU161" s="395"/>
    </row>
    <row r="162" spans="1:48">
      <c r="A162" s="524">
        <v>140</v>
      </c>
      <c r="B162" s="440">
        <v>34</v>
      </c>
      <c r="C162" s="411" t="s">
        <v>1529</v>
      </c>
      <c r="D162" s="437" t="s">
        <v>1159</v>
      </c>
      <c r="E162" s="440" t="s">
        <v>144</v>
      </c>
      <c r="F162" s="440" t="s">
        <v>344</v>
      </c>
      <c r="G162" s="441">
        <v>44028</v>
      </c>
      <c r="H162" s="441"/>
      <c r="I162" s="441"/>
      <c r="J162" s="441"/>
      <c r="K162" s="440">
        <f t="shared" ca="1" si="42"/>
        <v>0</v>
      </c>
      <c r="L162" s="440">
        <f t="shared" ca="1" si="41"/>
        <v>5</v>
      </c>
      <c r="M162" s="441"/>
      <c r="N162" s="441"/>
      <c r="O162" s="440" t="s">
        <v>35</v>
      </c>
      <c r="P162" s="440" t="s">
        <v>36</v>
      </c>
      <c r="Q162" s="440" t="s">
        <v>41</v>
      </c>
      <c r="R162" s="441">
        <v>29742</v>
      </c>
      <c r="S162" s="438">
        <f t="shared" ca="1" si="45"/>
        <v>39</v>
      </c>
      <c r="T162" s="438">
        <f t="shared" ca="1" si="46"/>
        <v>7</v>
      </c>
      <c r="U162" s="440" t="s">
        <v>136</v>
      </c>
      <c r="V162" s="440"/>
      <c r="W162" s="440"/>
      <c r="X162" s="440" t="s">
        <v>59</v>
      </c>
      <c r="Y162" s="440"/>
      <c r="Z162" s="440"/>
      <c r="AA162" s="440"/>
      <c r="AB162" s="440"/>
      <c r="AC162" s="440"/>
      <c r="AD162" s="440"/>
      <c r="AE162" s="440"/>
      <c r="AF162" s="440"/>
      <c r="AG162" s="440"/>
      <c r="AH162" s="440"/>
      <c r="AI162" s="440"/>
      <c r="AJ162" s="442" t="s">
        <v>1506</v>
      </c>
      <c r="AK162" s="350" t="s">
        <v>1507</v>
      </c>
      <c r="AL162" s="350" t="s">
        <v>1507</v>
      </c>
      <c r="AM162" s="350"/>
      <c r="AN162" s="350"/>
      <c r="AO162" s="350"/>
      <c r="AP162" s="442" t="s">
        <v>1508</v>
      </c>
      <c r="AQ162" s="439" t="s">
        <v>1159</v>
      </c>
      <c r="AR162" s="412" t="s">
        <v>1548</v>
      </c>
      <c r="AS162" s="440" t="s">
        <v>64</v>
      </c>
      <c r="AT162" s="440" t="s">
        <v>95</v>
      </c>
      <c r="AU162" s="395"/>
    </row>
    <row r="163" spans="1:48">
      <c r="A163" s="524">
        <v>141</v>
      </c>
      <c r="B163" s="440">
        <v>35</v>
      </c>
      <c r="C163" s="411" t="s">
        <v>1530</v>
      </c>
      <c r="D163" s="437" t="s">
        <v>1509</v>
      </c>
      <c r="E163" s="440" t="s">
        <v>144</v>
      </c>
      <c r="F163" s="440" t="s">
        <v>344</v>
      </c>
      <c r="G163" s="441">
        <v>44028</v>
      </c>
      <c r="H163" s="441"/>
      <c r="I163" s="441"/>
      <c r="J163" s="441"/>
      <c r="K163" s="440">
        <f t="shared" ca="1" si="42"/>
        <v>0</v>
      </c>
      <c r="L163" s="440">
        <f t="shared" ca="1" si="41"/>
        <v>5</v>
      </c>
      <c r="M163" s="441"/>
      <c r="N163" s="441"/>
      <c r="O163" s="440" t="s">
        <v>35</v>
      </c>
      <c r="P163" s="440" t="s">
        <v>36</v>
      </c>
      <c r="Q163" s="440" t="s">
        <v>41</v>
      </c>
      <c r="R163" s="441">
        <v>35987</v>
      </c>
      <c r="S163" s="438">
        <f t="shared" ca="1" si="45"/>
        <v>22</v>
      </c>
      <c r="T163" s="438">
        <f t="shared" ca="1" si="46"/>
        <v>5</v>
      </c>
      <c r="U163" s="440" t="s">
        <v>68</v>
      </c>
      <c r="V163" s="440" t="s">
        <v>1510</v>
      </c>
      <c r="W163" s="440"/>
      <c r="X163" s="440" t="s">
        <v>59</v>
      </c>
      <c r="Y163" s="440"/>
      <c r="Z163" s="440"/>
      <c r="AA163" s="440"/>
      <c r="AB163" s="440"/>
      <c r="AC163" s="440"/>
      <c r="AD163" s="440"/>
      <c r="AE163" s="440"/>
      <c r="AF163" s="440"/>
      <c r="AG163" s="440"/>
      <c r="AH163" s="440"/>
      <c r="AI163" s="440"/>
      <c r="AJ163" s="442" t="s">
        <v>1511</v>
      </c>
      <c r="AK163" s="350" t="s">
        <v>1512</v>
      </c>
      <c r="AL163" s="350" t="s">
        <v>1512</v>
      </c>
      <c r="AM163" s="350"/>
      <c r="AN163" s="350"/>
      <c r="AO163" s="350"/>
      <c r="AP163" s="442" t="s">
        <v>1513</v>
      </c>
      <c r="AQ163" s="439" t="s">
        <v>1509</v>
      </c>
      <c r="AR163" s="412" t="s">
        <v>1549</v>
      </c>
      <c r="AS163" s="440" t="s">
        <v>64</v>
      </c>
      <c r="AT163" s="440" t="s">
        <v>95</v>
      </c>
      <c r="AU163" s="395"/>
    </row>
    <row r="164" spans="1:48">
      <c r="A164" s="524">
        <v>142</v>
      </c>
      <c r="B164" s="440">
        <v>36</v>
      </c>
      <c r="C164" s="411" t="s">
        <v>1531</v>
      </c>
      <c r="D164" s="437" t="s">
        <v>1514</v>
      </c>
      <c r="E164" s="440" t="s">
        <v>144</v>
      </c>
      <c r="F164" s="440" t="s">
        <v>344</v>
      </c>
      <c r="G164" s="441">
        <v>44034</v>
      </c>
      <c r="H164" s="441"/>
      <c r="I164" s="441"/>
      <c r="J164" s="441"/>
      <c r="K164" s="440">
        <f t="shared" ca="1" si="42"/>
        <v>0</v>
      </c>
      <c r="L164" s="440">
        <f t="shared" ca="1" si="41"/>
        <v>5</v>
      </c>
      <c r="M164" s="441"/>
      <c r="N164" s="441"/>
      <c r="O164" s="440" t="s">
        <v>35</v>
      </c>
      <c r="P164" s="440" t="s">
        <v>36</v>
      </c>
      <c r="Q164" s="440" t="s">
        <v>41</v>
      </c>
      <c r="R164" s="441">
        <v>36550</v>
      </c>
      <c r="S164" s="438">
        <f t="shared" ca="1" si="45"/>
        <v>20</v>
      </c>
      <c r="T164" s="438">
        <f t="shared" ca="1" si="46"/>
        <v>11</v>
      </c>
      <c r="U164" s="440" t="s">
        <v>68</v>
      </c>
      <c r="V164" s="440" t="s">
        <v>1255</v>
      </c>
      <c r="W164" s="440"/>
      <c r="X164" s="440" t="s">
        <v>59</v>
      </c>
      <c r="Y164" s="440"/>
      <c r="Z164" s="440"/>
      <c r="AA164" s="440"/>
      <c r="AB164" s="440"/>
      <c r="AC164" s="440"/>
      <c r="AD164" s="440"/>
      <c r="AE164" s="440"/>
      <c r="AF164" s="440"/>
      <c r="AG164" s="440"/>
      <c r="AH164" s="440"/>
      <c r="AI164" s="440"/>
      <c r="AJ164" s="442" t="s">
        <v>1518</v>
      </c>
      <c r="AK164" s="350" t="s">
        <v>1519</v>
      </c>
      <c r="AL164" s="350" t="s">
        <v>1519</v>
      </c>
      <c r="AM164" s="350"/>
      <c r="AN164" s="350"/>
      <c r="AO164" s="350"/>
      <c r="AP164" s="442" t="s">
        <v>1524</v>
      </c>
      <c r="AQ164" s="439" t="s">
        <v>1514</v>
      </c>
      <c r="AR164" s="412" t="s">
        <v>1550</v>
      </c>
      <c r="AS164" s="440" t="s">
        <v>64</v>
      </c>
      <c r="AT164" s="440" t="s">
        <v>95</v>
      </c>
      <c r="AU164" s="395"/>
    </row>
    <row r="165" spans="1:48">
      <c r="A165" s="524">
        <v>143</v>
      </c>
      <c r="B165" s="440">
        <v>37</v>
      </c>
      <c r="C165" s="411" t="s">
        <v>1532</v>
      </c>
      <c r="D165" s="437" t="s">
        <v>1515</v>
      </c>
      <c r="E165" s="440" t="s">
        <v>144</v>
      </c>
      <c r="F165" s="440" t="s">
        <v>344</v>
      </c>
      <c r="G165" s="441">
        <v>44034</v>
      </c>
      <c r="H165" s="441"/>
      <c r="I165" s="441"/>
      <c r="J165" s="441"/>
      <c r="K165" s="440">
        <f t="shared" ca="1" si="42"/>
        <v>0</v>
      </c>
      <c r="L165" s="440">
        <f t="shared" ca="1" si="41"/>
        <v>5</v>
      </c>
      <c r="M165" s="441"/>
      <c r="N165" s="441"/>
      <c r="O165" s="440" t="s">
        <v>35</v>
      </c>
      <c r="P165" s="440" t="s">
        <v>36</v>
      </c>
      <c r="Q165" s="440" t="s">
        <v>41</v>
      </c>
      <c r="R165" s="441">
        <v>30481</v>
      </c>
      <c r="S165" s="438">
        <f t="shared" ca="1" si="45"/>
        <v>37</v>
      </c>
      <c r="T165" s="438">
        <f t="shared" ca="1" si="46"/>
        <v>6</v>
      </c>
      <c r="U165" s="440" t="s">
        <v>68</v>
      </c>
      <c r="V165" s="440" t="s">
        <v>1314</v>
      </c>
      <c r="W165" s="440"/>
      <c r="X165" s="440" t="s">
        <v>59</v>
      </c>
      <c r="Y165" s="440"/>
      <c r="Z165" s="440"/>
      <c r="AA165" s="440"/>
      <c r="AB165" s="440"/>
      <c r="AC165" s="440"/>
      <c r="AD165" s="440"/>
      <c r="AE165" s="440"/>
      <c r="AF165" s="440"/>
      <c r="AG165" s="440"/>
      <c r="AH165" s="440"/>
      <c r="AI165" s="440"/>
      <c r="AJ165" s="442" t="s">
        <v>1520</v>
      </c>
      <c r="AK165" s="350" t="s">
        <v>1521</v>
      </c>
      <c r="AL165" s="350" t="s">
        <v>1521</v>
      </c>
      <c r="AM165" s="350"/>
      <c r="AN165" s="350"/>
      <c r="AO165" s="350"/>
      <c r="AP165" s="442" t="s">
        <v>1525</v>
      </c>
      <c r="AQ165" s="439" t="s">
        <v>1515</v>
      </c>
      <c r="AR165" s="412" t="s">
        <v>1551</v>
      </c>
      <c r="AS165" s="440" t="s">
        <v>64</v>
      </c>
      <c r="AT165" s="440" t="s">
        <v>95</v>
      </c>
      <c r="AU165" s="395"/>
    </row>
    <row r="166" spans="1:48">
      <c r="A166" s="524">
        <v>144</v>
      </c>
      <c r="B166" s="440">
        <v>38</v>
      </c>
      <c r="C166" s="411" t="s">
        <v>1533</v>
      </c>
      <c r="D166" s="437" t="s">
        <v>1516</v>
      </c>
      <c r="E166" s="440" t="s">
        <v>144</v>
      </c>
      <c r="F166" s="440" t="s">
        <v>344</v>
      </c>
      <c r="G166" s="441">
        <v>44034</v>
      </c>
      <c r="H166" s="441"/>
      <c r="I166" s="441"/>
      <c r="J166" s="441"/>
      <c r="K166" s="440">
        <f t="shared" ca="1" si="42"/>
        <v>0</v>
      </c>
      <c r="L166" s="440">
        <f t="shared" ca="1" si="41"/>
        <v>5</v>
      </c>
      <c r="M166" s="441"/>
      <c r="N166" s="441"/>
      <c r="O166" s="440" t="s">
        <v>35</v>
      </c>
      <c r="P166" s="440" t="s">
        <v>36</v>
      </c>
      <c r="Q166" s="440" t="s">
        <v>618</v>
      </c>
      <c r="R166" s="441">
        <v>36925</v>
      </c>
      <c r="S166" s="438">
        <f t="shared" ca="1" si="45"/>
        <v>19</v>
      </c>
      <c r="T166" s="438">
        <f t="shared" ca="1" si="46"/>
        <v>11</v>
      </c>
      <c r="U166" s="440" t="s">
        <v>68</v>
      </c>
      <c r="V166" s="440" t="s">
        <v>1517</v>
      </c>
      <c r="W166" s="440"/>
      <c r="X166" s="440" t="s">
        <v>59</v>
      </c>
      <c r="Y166" s="440"/>
      <c r="Z166" s="440"/>
      <c r="AA166" s="440"/>
      <c r="AB166" s="440"/>
      <c r="AC166" s="440"/>
      <c r="AD166" s="440"/>
      <c r="AE166" s="440"/>
      <c r="AF166" s="440"/>
      <c r="AG166" s="440"/>
      <c r="AH166" s="440"/>
      <c r="AI166" s="440"/>
      <c r="AJ166" s="442" t="s">
        <v>1522</v>
      </c>
      <c r="AK166" s="350" t="s">
        <v>1523</v>
      </c>
      <c r="AL166" s="350" t="s">
        <v>1523</v>
      </c>
      <c r="AM166" s="350"/>
      <c r="AN166" s="350"/>
      <c r="AO166" s="350"/>
      <c r="AP166" s="442" t="s">
        <v>1526</v>
      </c>
      <c r="AQ166" s="439" t="s">
        <v>1516</v>
      </c>
      <c r="AR166" s="412" t="s">
        <v>1552</v>
      </c>
      <c r="AS166" s="440" t="s">
        <v>64</v>
      </c>
      <c r="AT166" s="440" t="s">
        <v>95</v>
      </c>
      <c r="AU166" s="395"/>
      <c r="AV166" s="436" t="s">
        <v>1869</v>
      </c>
    </row>
    <row r="167" spans="1:48">
      <c r="A167" s="524">
        <v>145</v>
      </c>
      <c r="B167" s="440">
        <v>39</v>
      </c>
      <c r="C167" s="411" t="s">
        <v>1716</v>
      </c>
      <c r="D167" s="437" t="s">
        <v>1715</v>
      </c>
      <c r="E167" s="440" t="s">
        <v>144</v>
      </c>
      <c r="F167" s="440" t="s">
        <v>344</v>
      </c>
      <c r="G167" s="441">
        <v>44114</v>
      </c>
      <c r="H167" s="441"/>
      <c r="I167" s="441"/>
      <c r="J167" s="441"/>
      <c r="K167" s="440">
        <f t="shared" ca="1" si="42"/>
        <v>0</v>
      </c>
      <c r="L167" s="440">
        <f t="shared" ca="1" si="41"/>
        <v>2</v>
      </c>
      <c r="M167" s="441"/>
      <c r="N167" s="441"/>
      <c r="O167" s="440" t="s">
        <v>35</v>
      </c>
      <c r="P167" s="440" t="s">
        <v>36</v>
      </c>
      <c r="Q167" s="440" t="s">
        <v>618</v>
      </c>
      <c r="R167" s="441">
        <v>35976</v>
      </c>
      <c r="S167" s="438">
        <f t="shared" ca="1" si="45"/>
        <v>22</v>
      </c>
      <c r="T167" s="438">
        <f t="shared" ca="1" si="46"/>
        <v>6</v>
      </c>
      <c r="U167" s="440" t="s">
        <v>68</v>
      </c>
      <c r="V167" s="440" t="s">
        <v>1255</v>
      </c>
      <c r="W167" s="440"/>
      <c r="X167" s="440" t="s">
        <v>59</v>
      </c>
      <c r="Y167" s="440"/>
      <c r="Z167" s="440"/>
      <c r="AA167" s="440"/>
      <c r="AB167" s="440"/>
      <c r="AC167" s="440"/>
      <c r="AD167" s="440"/>
      <c r="AE167" s="440"/>
      <c r="AF167" s="440"/>
      <c r="AG167" s="440"/>
      <c r="AH167" s="440"/>
      <c r="AI167" s="440"/>
      <c r="AJ167" s="442" t="s">
        <v>1717</v>
      </c>
      <c r="AK167" s="350" t="s">
        <v>1523</v>
      </c>
      <c r="AL167" s="350" t="s">
        <v>1523</v>
      </c>
      <c r="AM167" s="350"/>
      <c r="AN167" s="350"/>
      <c r="AO167" s="350"/>
      <c r="AP167" s="442" t="s">
        <v>1718</v>
      </c>
      <c r="AQ167" s="439" t="s">
        <v>1715</v>
      </c>
      <c r="AR167" s="412" t="s">
        <v>1730</v>
      </c>
      <c r="AS167" s="440" t="s">
        <v>64</v>
      </c>
      <c r="AT167" s="440" t="s">
        <v>95</v>
      </c>
      <c r="AU167" s="395"/>
    </row>
    <row r="168" spans="1:48">
      <c r="A168" s="553"/>
      <c r="B168" s="427"/>
      <c r="C168" s="480"/>
      <c r="D168" s="555"/>
      <c r="E168" s="427"/>
      <c r="F168" s="427"/>
      <c r="G168" s="507"/>
      <c r="H168" s="507"/>
      <c r="I168" s="507"/>
      <c r="J168" s="507"/>
      <c r="K168" s="427"/>
      <c r="L168" s="427"/>
      <c r="M168" s="507"/>
      <c r="N168" s="507"/>
      <c r="O168" s="427"/>
      <c r="P168" s="427"/>
      <c r="Q168" s="427"/>
      <c r="R168" s="507"/>
      <c r="S168" s="556"/>
      <c r="T168" s="556"/>
      <c r="U168" s="427"/>
      <c r="V168" s="427"/>
      <c r="W168" s="427"/>
      <c r="X168" s="427"/>
      <c r="Y168" s="427"/>
      <c r="Z168" s="427"/>
      <c r="AA168" s="427"/>
      <c r="AB168" s="427"/>
      <c r="AC168" s="427"/>
      <c r="AD168" s="427"/>
      <c r="AE168" s="427"/>
      <c r="AF168" s="427"/>
      <c r="AG168" s="427"/>
      <c r="AH168" s="427"/>
      <c r="AI168" s="427"/>
      <c r="AJ168" s="557"/>
      <c r="AK168" s="558"/>
      <c r="AL168" s="558"/>
      <c r="AM168" s="558"/>
      <c r="AN168" s="558"/>
      <c r="AO168" s="558"/>
      <c r="AP168" s="557"/>
      <c r="AQ168" s="559"/>
      <c r="AR168" s="560"/>
      <c r="AS168" s="427"/>
      <c r="AT168" s="427"/>
      <c r="AU168" s="561"/>
    </row>
    <row r="169" spans="1:48">
      <c r="A169" s="568"/>
      <c r="B169" s="829" t="s">
        <v>1569</v>
      </c>
      <c r="C169" s="830"/>
      <c r="D169" s="536"/>
      <c r="E169" s="417"/>
      <c r="F169" s="417"/>
      <c r="G169" s="418"/>
      <c r="H169" s="418"/>
      <c r="I169" s="418"/>
      <c r="J169" s="418"/>
      <c r="K169" s="419"/>
      <c r="L169" s="419"/>
      <c r="M169" s="418"/>
      <c r="N169" s="418"/>
      <c r="O169" s="420"/>
      <c r="P169" s="420"/>
      <c r="Q169" s="420"/>
      <c r="R169" s="421"/>
      <c r="S169" s="422"/>
      <c r="T169" s="422"/>
      <c r="U169" s="417"/>
      <c r="V169" s="417"/>
      <c r="W169" s="417"/>
      <c r="X169" s="417"/>
      <c r="Y169" s="420"/>
      <c r="Z169" s="420"/>
      <c r="AA169" s="420"/>
      <c r="AB169" s="420"/>
      <c r="AC169" s="420"/>
      <c r="AD169" s="420"/>
      <c r="AE169" s="420"/>
      <c r="AF169" s="420"/>
      <c r="AG169" s="420"/>
      <c r="AH169" s="420"/>
      <c r="AI169" s="420"/>
      <c r="AJ169" s="423"/>
      <c r="AK169" s="459"/>
      <c r="AL169" s="459"/>
      <c r="AM169" s="459"/>
      <c r="AN169" s="459"/>
      <c r="AO169" s="459"/>
      <c r="AP169" s="423"/>
      <c r="AQ169" s="424"/>
      <c r="AR169" s="419"/>
      <c r="AS169" s="460"/>
      <c r="AT169" s="460"/>
      <c r="AU169" s="505"/>
    </row>
    <row r="170" spans="1:48">
      <c r="A170" s="524">
        <v>146</v>
      </c>
      <c r="B170" s="443">
        <v>1</v>
      </c>
      <c r="C170" s="494" t="s">
        <v>2322</v>
      </c>
      <c r="D170" s="447" t="s">
        <v>1241</v>
      </c>
      <c r="E170" s="432" t="s">
        <v>1569</v>
      </c>
      <c r="F170" s="440" t="s">
        <v>2305</v>
      </c>
      <c r="G170" s="416"/>
      <c r="H170" s="443"/>
      <c r="I170" s="444"/>
      <c r="J170" s="416"/>
      <c r="K170" s="416"/>
      <c r="L170" s="416"/>
      <c r="M170" s="416"/>
      <c r="N170" s="416"/>
      <c r="O170" s="444" t="s">
        <v>35</v>
      </c>
      <c r="P170" s="444" t="s">
        <v>36</v>
      </c>
      <c r="Q170" s="444" t="s">
        <v>661</v>
      </c>
      <c r="R170" s="441">
        <v>34774</v>
      </c>
      <c r="S170" s="438">
        <f t="shared" ref="S170" ca="1" si="47">DATEDIF(R170,$B$1,"Y")</f>
        <v>25</v>
      </c>
      <c r="T170" s="438">
        <f t="shared" ref="T170" ca="1" si="48">DATEDIF(R170,$B$1,"YM")</f>
        <v>9</v>
      </c>
      <c r="U170" s="416"/>
      <c r="V170" s="416"/>
      <c r="W170" s="416"/>
      <c r="X170" s="372" t="s">
        <v>59</v>
      </c>
      <c r="Y170" s="416"/>
      <c r="Z170" s="416"/>
      <c r="AA170" s="416"/>
      <c r="AB170" s="416"/>
      <c r="AC170" s="416"/>
      <c r="AD170" s="416"/>
      <c r="AE170" s="416"/>
      <c r="AF170" s="416"/>
      <c r="AG170" s="416"/>
      <c r="AH170" s="416"/>
      <c r="AI170" s="416"/>
      <c r="AJ170" s="432" t="s">
        <v>2295</v>
      </c>
      <c r="AK170" s="416" t="s">
        <v>2296</v>
      </c>
      <c r="AL170" s="416" t="s">
        <v>2296</v>
      </c>
      <c r="AM170" s="416"/>
      <c r="AN170" s="416"/>
      <c r="AO170" s="443" t="s">
        <v>2303</v>
      </c>
      <c r="AP170" s="432" t="s">
        <v>2297</v>
      </c>
      <c r="AQ170" s="444"/>
      <c r="AR170" s="432" t="s">
        <v>1307</v>
      </c>
      <c r="AS170" s="416"/>
      <c r="AT170" s="416"/>
      <c r="AU170" s="416"/>
    </row>
    <row r="171" spans="1:48">
      <c r="A171" s="524">
        <v>148</v>
      </c>
      <c r="B171" s="443">
        <v>2</v>
      </c>
      <c r="C171" s="398" t="s">
        <v>1588</v>
      </c>
      <c r="D171" s="437" t="s">
        <v>1568</v>
      </c>
      <c r="E171" s="440" t="s">
        <v>1569</v>
      </c>
      <c r="F171" s="440" t="s">
        <v>344</v>
      </c>
      <c r="G171" s="441">
        <v>44054</v>
      </c>
      <c r="H171" s="441">
        <v>44054</v>
      </c>
      <c r="I171" s="441"/>
      <c r="J171" s="441"/>
      <c r="K171" s="440">
        <f ca="1">DATEDIF(G171,$B$1,"Y")</f>
        <v>0</v>
      </c>
      <c r="L171" s="440">
        <f ca="1">DATEDIF(G171,$B$1,"YM")</f>
        <v>4</v>
      </c>
      <c r="M171" s="441"/>
      <c r="N171" s="441"/>
      <c r="O171" s="440" t="s">
        <v>35</v>
      </c>
      <c r="P171" s="440" t="s">
        <v>36</v>
      </c>
      <c r="Q171" s="440" t="s">
        <v>41</v>
      </c>
      <c r="R171" s="441">
        <v>34877</v>
      </c>
      <c r="S171" s="438">
        <f t="shared" ref="S171:S174" ca="1" si="49">DATEDIF(R171,$B$1,"Y")</f>
        <v>25</v>
      </c>
      <c r="T171" s="438">
        <f t="shared" ref="T171:T174" ca="1" si="50">DATEDIF(R171,$B$1,"YM")</f>
        <v>6</v>
      </c>
      <c r="U171" s="440" t="s">
        <v>68</v>
      </c>
      <c r="V171" s="440" t="s">
        <v>1570</v>
      </c>
      <c r="W171" s="440"/>
      <c r="X171" s="372" t="s">
        <v>59</v>
      </c>
      <c r="Y171" s="440"/>
      <c r="Z171" s="440"/>
      <c r="AA171" s="440"/>
      <c r="AB171" s="440"/>
      <c r="AC171" s="440"/>
      <c r="AD171" s="440"/>
      <c r="AE171" s="440"/>
      <c r="AF171" s="440"/>
      <c r="AG171" s="388"/>
      <c r="AH171" s="388"/>
      <c r="AI171" s="388"/>
      <c r="AJ171" s="442" t="s">
        <v>1571</v>
      </c>
      <c r="AK171" s="350" t="s">
        <v>1572</v>
      </c>
      <c r="AL171" s="350" t="s">
        <v>1572</v>
      </c>
      <c r="AM171" s="350"/>
      <c r="AN171" s="440"/>
      <c r="AO171" s="440"/>
      <c r="AP171" s="442" t="s">
        <v>1573</v>
      </c>
      <c r="AQ171" s="439" t="s">
        <v>1568</v>
      </c>
      <c r="AR171" s="442" t="s">
        <v>1603</v>
      </c>
      <c r="AS171" s="440" t="s">
        <v>64</v>
      </c>
      <c r="AT171" s="440" t="s">
        <v>95</v>
      </c>
      <c r="AU171" s="364" t="s">
        <v>1574</v>
      </c>
    </row>
    <row r="172" spans="1:48">
      <c r="A172" s="524">
        <v>150</v>
      </c>
      <c r="B172" s="443">
        <v>3</v>
      </c>
      <c r="C172" s="494">
        <v>9920110166</v>
      </c>
      <c r="D172" s="605" t="s">
        <v>1880</v>
      </c>
      <c r="E172" s="444" t="s">
        <v>1569</v>
      </c>
      <c r="F172" s="440" t="s">
        <v>344</v>
      </c>
      <c r="G172" s="441">
        <v>44161</v>
      </c>
      <c r="H172" s="441">
        <v>44161</v>
      </c>
      <c r="I172" s="444"/>
      <c r="J172" s="416"/>
      <c r="K172" s="440">
        <f t="shared" ref="K172:K174" ca="1" si="51">DATEDIF(G172,$B$1,"Y")</f>
        <v>0</v>
      </c>
      <c r="L172" s="440">
        <f t="shared" ref="L172:L174" ca="1" si="52">DATEDIF(G172,$B$1,"YM")</f>
        <v>1</v>
      </c>
      <c r="M172" s="416"/>
      <c r="N172" s="416"/>
      <c r="O172" s="444" t="s">
        <v>35</v>
      </c>
      <c r="P172" s="444" t="s">
        <v>36</v>
      </c>
      <c r="Q172" s="444" t="s">
        <v>1287</v>
      </c>
      <c r="R172" s="346">
        <v>33924</v>
      </c>
      <c r="S172" s="438">
        <f t="shared" ca="1" si="49"/>
        <v>28</v>
      </c>
      <c r="T172" s="438">
        <f t="shared" ca="1" si="50"/>
        <v>1</v>
      </c>
      <c r="U172" s="444" t="s">
        <v>130</v>
      </c>
      <c r="V172" s="444" t="s">
        <v>1881</v>
      </c>
      <c r="W172" s="444" t="s">
        <v>105</v>
      </c>
      <c r="X172" s="444" t="s">
        <v>350</v>
      </c>
      <c r="Y172" s="444" t="s">
        <v>1882</v>
      </c>
      <c r="Z172" s="346">
        <v>34609</v>
      </c>
      <c r="AA172" s="416"/>
      <c r="AB172" s="416"/>
      <c r="AC172" s="416"/>
      <c r="AD172" s="416"/>
      <c r="AE172" s="416"/>
      <c r="AF172" s="416"/>
      <c r="AG172" s="416"/>
      <c r="AH172" s="416"/>
      <c r="AI172" s="416"/>
      <c r="AJ172" s="442" t="s">
        <v>1883</v>
      </c>
      <c r="AK172" s="416" t="s">
        <v>1884</v>
      </c>
      <c r="AL172" s="416" t="s">
        <v>1884</v>
      </c>
      <c r="AM172" s="416"/>
      <c r="AN172" s="416"/>
      <c r="AO172" s="416"/>
      <c r="AP172" s="432" t="s">
        <v>1891</v>
      </c>
      <c r="AQ172" s="444" t="s">
        <v>1885</v>
      </c>
      <c r="AR172" s="494" t="s">
        <v>2191</v>
      </c>
      <c r="AS172" s="440" t="s">
        <v>64</v>
      </c>
      <c r="AT172" s="440" t="s">
        <v>95</v>
      </c>
      <c r="AU172" s="416"/>
    </row>
    <row r="173" spans="1:48">
      <c r="A173" s="524">
        <v>152</v>
      </c>
      <c r="B173" s="443">
        <v>4</v>
      </c>
      <c r="C173" s="494" t="s">
        <v>2359</v>
      </c>
      <c r="D173" s="605" t="s">
        <v>1886</v>
      </c>
      <c r="E173" s="444" t="s">
        <v>1569</v>
      </c>
      <c r="F173" s="440" t="s">
        <v>344</v>
      </c>
      <c r="G173" s="441">
        <v>44161</v>
      </c>
      <c r="H173" s="441">
        <v>44161</v>
      </c>
      <c r="I173" s="444"/>
      <c r="J173" s="416"/>
      <c r="K173" s="440">
        <f t="shared" ca="1" si="51"/>
        <v>0</v>
      </c>
      <c r="L173" s="440">
        <f t="shared" ca="1" si="52"/>
        <v>1</v>
      </c>
      <c r="M173" s="416"/>
      <c r="N173" s="416"/>
      <c r="O173" s="444" t="s">
        <v>35</v>
      </c>
      <c r="P173" s="444" t="s">
        <v>36</v>
      </c>
      <c r="Q173" s="444" t="s">
        <v>1887</v>
      </c>
      <c r="R173" s="346">
        <v>33834</v>
      </c>
      <c r="S173" s="438">
        <f t="shared" ca="1" si="49"/>
        <v>28</v>
      </c>
      <c r="T173" s="438">
        <f t="shared" ca="1" si="50"/>
        <v>4</v>
      </c>
      <c r="U173" s="444" t="s">
        <v>130</v>
      </c>
      <c r="V173" s="444" t="s">
        <v>1881</v>
      </c>
      <c r="W173" s="444" t="s">
        <v>44</v>
      </c>
      <c r="X173" s="444" t="s">
        <v>350</v>
      </c>
      <c r="Y173" s="416"/>
      <c r="Z173" s="416"/>
      <c r="AA173" s="416"/>
      <c r="AB173" s="416"/>
      <c r="AC173" s="416"/>
      <c r="AD173" s="416"/>
      <c r="AE173" s="416"/>
      <c r="AF173" s="416"/>
      <c r="AG173" s="416"/>
      <c r="AH173" s="416"/>
      <c r="AI173" s="416"/>
      <c r="AJ173" s="442" t="s">
        <v>1888</v>
      </c>
      <c r="AK173" s="416" t="s">
        <v>1889</v>
      </c>
      <c r="AL173" s="416" t="s">
        <v>1890</v>
      </c>
      <c r="AM173" s="416"/>
      <c r="AN173" s="416"/>
      <c r="AO173" s="416"/>
      <c r="AP173" s="432" t="s">
        <v>1892</v>
      </c>
      <c r="AQ173" s="444" t="s">
        <v>1886</v>
      </c>
      <c r="AR173" s="494" t="s">
        <v>2193</v>
      </c>
      <c r="AS173" s="440" t="s">
        <v>64</v>
      </c>
      <c r="AT173" s="440" t="s">
        <v>95</v>
      </c>
      <c r="AU173" s="610" t="s">
        <v>1893</v>
      </c>
    </row>
    <row r="174" spans="1:48">
      <c r="A174" s="524">
        <v>154</v>
      </c>
      <c r="B174" s="443">
        <v>5</v>
      </c>
      <c r="C174" s="494" t="s">
        <v>2386</v>
      </c>
      <c r="D174" s="605" t="s">
        <v>2371</v>
      </c>
      <c r="E174" s="444" t="s">
        <v>1569</v>
      </c>
      <c r="F174" s="440" t="s">
        <v>344</v>
      </c>
      <c r="G174" s="441">
        <v>44202</v>
      </c>
      <c r="H174" s="441">
        <v>44202</v>
      </c>
      <c r="I174" s="444"/>
      <c r="J174" s="416"/>
      <c r="K174" s="440">
        <f t="shared" ca="1" si="51"/>
        <v>0</v>
      </c>
      <c r="L174" s="440">
        <f t="shared" ca="1" si="52"/>
        <v>0</v>
      </c>
      <c r="M174" s="416"/>
      <c r="N174" s="416"/>
      <c r="O174" s="444" t="s">
        <v>35</v>
      </c>
      <c r="P174" s="444" t="s">
        <v>36</v>
      </c>
      <c r="Q174" s="444" t="s">
        <v>41</v>
      </c>
      <c r="R174" s="346">
        <v>31652</v>
      </c>
      <c r="S174" s="438">
        <f t="shared" ca="1" si="49"/>
        <v>34</v>
      </c>
      <c r="T174" s="438">
        <f t="shared" ca="1" si="50"/>
        <v>4</v>
      </c>
      <c r="U174" s="444" t="s">
        <v>597</v>
      </c>
      <c r="V174" s="444" t="s">
        <v>823</v>
      </c>
      <c r="W174" s="444" t="s">
        <v>44</v>
      </c>
      <c r="X174" s="444" t="s">
        <v>350</v>
      </c>
      <c r="Y174" s="444" t="s">
        <v>2372</v>
      </c>
      <c r="Z174" s="346">
        <v>31847</v>
      </c>
      <c r="AA174" s="444" t="s">
        <v>2373</v>
      </c>
      <c r="AB174" s="346">
        <v>41357</v>
      </c>
      <c r="AC174" s="438">
        <f ca="1">DATEDIF(AB174,$B$1,"Y")</f>
        <v>7</v>
      </c>
      <c r="AD174" s="444" t="s">
        <v>2374</v>
      </c>
      <c r="AE174" s="346">
        <v>42781</v>
      </c>
      <c r="AF174" s="438">
        <f ca="1">DATEDIF(AE174,$B$1,"Y")</f>
        <v>3</v>
      </c>
      <c r="AG174" s="443" t="s">
        <v>2375</v>
      </c>
      <c r="AH174" s="346">
        <v>43864</v>
      </c>
      <c r="AI174" s="438">
        <f ca="1">DATEDIF(AH174,$B$1,"Y")</f>
        <v>0</v>
      </c>
      <c r="AJ174" s="442" t="s">
        <v>2376</v>
      </c>
      <c r="AK174" s="416" t="s">
        <v>2377</v>
      </c>
      <c r="AL174" s="416" t="s">
        <v>2377</v>
      </c>
      <c r="AM174" s="416"/>
      <c r="AN174" s="416"/>
      <c r="AO174" s="416"/>
      <c r="AP174" s="432" t="s">
        <v>2379</v>
      </c>
      <c r="AQ174" s="444"/>
      <c r="AR174" s="494"/>
      <c r="AS174" s="440" t="s">
        <v>64</v>
      </c>
      <c r="AT174" s="440"/>
      <c r="AU174" s="610" t="s">
        <v>2378</v>
      </c>
    </row>
    <row r="175" spans="1:48">
      <c r="A175" s="553"/>
      <c r="B175" s="427"/>
      <c r="C175" s="480"/>
      <c r="D175" s="555"/>
      <c r="E175" s="427"/>
      <c r="F175" s="427"/>
      <c r="G175" s="507"/>
      <c r="H175" s="507"/>
      <c r="I175" s="507"/>
      <c r="J175" s="507"/>
      <c r="K175" s="427"/>
      <c r="L175" s="427"/>
      <c r="M175" s="507"/>
      <c r="N175" s="507"/>
      <c r="O175" s="427"/>
      <c r="P175" s="427"/>
      <c r="Q175" s="427"/>
      <c r="R175" s="507"/>
      <c r="S175" s="556"/>
      <c r="T175" s="556"/>
      <c r="U175" s="427"/>
      <c r="V175" s="427"/>
      <c r="W175" s="427"/>
      <c r="X175" s="427"/>
      <c r="Y175" s="427"/>
      <c r="Z175" s="427"/>
      <c r="AA175" s="427"/>
      <c r="AB175" s="427"/>
      <c r="AC175" s="427"/>
      <c r="AD175" s="427"/>
      <c r="AE175" s="427"/>
      <c r="AF175" s="427"/>
      <c r="AG175" s="427"/>
      <c r="AH175" s="427"/>
      <c r="AI175" s="427"/>
      <c r="AJ175" s="557"/>
      <c r="AK175" s="558"/>
      <c r="AL175" s="558"/>
      <c r="AM175" s="558"/>
      <c r="AN175" s="558"/>
      <c r="AO175" s="558"/>
      <c r="AP175" s="557"/>
      <c r="AQ175" s="559"/>
      <c r="AR175" s="560"/>
      <c r="AS175" s="427"/>
      <c r="AT175" s="427"/>
      <c r="AU175" s="561"/>
    </row>
    <row r="176" spans="1:48">
      <c r="A176" s="568"/>
      <c r="B176" s="829" t="s">
        <v>1242</v>
      </c>
      <c r="C176" s="830"/>
      <c r="D176" s="536"/>
      <c r="E176" s="417"/>
      <c r="F176" s="417"/>
      <c r="G176" s="418"/>
      <c r="H176" s="418"/>
      <c r="I176" s="418"/>
      <c r="J176" s="418"/>
      <c r="K176" s="419"/>
      <c r="L176" s="419"/>
      <c r="M176" s="418"/>
      <c r="N176" s="418"/>
      <c r="O176" s="420"/>
      <c r="P176" s="420"/>
      <c r="Q176" s="420"/>
      <c r="R176" s="421"/>
      <c r="S176" s="422"/>
      <c r="T176" s="422"/>
      <c r="U176" s="417"/>
      <c r="V176" s="417"/>
      <c r="W176" s="417"/>
      <c r="X176" s="417"/>
      <c r="Y176" s="420"/>
      <c r="Z176" s="420"/>
      <c r="AA176" s="420"/>
      <c r="AB176" s="420"/>
      <c r="AC176" s="420"/>
      <c r="AD176" s="420"/>
      <c r="AE176" s="420"/>
      <c r="AF176" s="420"/>
      <c r="AG176" s="420"/>
      <c r="AH176" s="420"/>
      <c r="AI176" s="420"/>
      <c r="AJ176" s="423"/>
      <c r="AK176" s="459"/>
      <c r="AL176" s="459"/>
      <c r="AM176" s="459"/>
      <c r="AN176" s="459"/>
      <c r="AO176" s="459"/>
      <c r="AP176" s="423"/>
      <c r="AQ176" s="424"/>
      <c r="AR176" s="419"/>
      <c r="AS176" s="460"/>
      <c r="AT176" s="460"/>
      <c r="AU176" s="505"/>
    </row>
    <row r="177" spans="1:47">
      <c r="A177" s="524">
        <v>155</v>
      </c>
      <c r="B177" s="443">
        <v>1</v>
      </c>
      <c r="C177" s="494" t="s">
        <v>48</v>
      </c>
      <c r="D177" s="448" t="s">
        <v>1239</v>
      </c>
      <c r="E177" s="432"/>
      <c r="F177" s="440" t="s">
        <v>2305</v>
      </c>
      <c r="G177" s="416"/>
      <c r="H177" s="443"/>
      <c r="I177" s="444"/>
      <c r="J177" s="416"/>
      <c r="K177" s="416"/>
      <c r="L177" s="416"/>
      <c r="M177" s="416"/>
      <c r="N177" s="416"/>
      <c r="O177" s="416"/>
      <c r="P177" s="416"/>
      <c r="Q177" s="416"/>
      <c r="R177" s="416"/>
      <c r="S177" s="416"/>
      <c r="T177" s="416"/>
      <c r="U177" s="416"/>
      <c r="V177" s="416"/>
      <c r="W177" s="416"/>
      <c r="X177" s="416"/>
      <c r="Y177" s="416"/>
      <c r="Z177" s="416"/>
      <c r="AA177" s="416"/>
      <c r="AB177" s="416"/>
      <c r="AC177" s="416"/>
      <c r="AD177" s="416"/>
      <c r="AE177" s="416"/>
      <c r="AF177" s="416"/>
      <c r="AG177" s="416"/>
      <c r="AH177" s="416"/>
      <c r="AI177" s="416"/>
      <c r="AJ177" s="416"/>
      <c r="AK177" s="416"/>
      <c r="AL177" s="416"/>
      <c r="AM177" s="416"/>
      <c r="AN177" s="416"/>
      <c r="AO177" s="416"/>
      <c r="AP177" s="416"/>
      <c r="AQ177" s="444"/>
      <c r="AR177" s="432" t="s">
        <v>1304</v>
      </c>
      <c r="AS177" s="416"/>
      <c r="AT177" s="416"/>
      <c r="AU177" s="416"/>
    </row>
    <row r="178" spans="1:47">
      <c r="A178" s="524">
        <v>156</v>
      </c>
      <c r="B178" s="443">
        <v>2</v>
      </c>
      <c r="C178" s="494" t="s">
        <v>48</v>
      </c>
      <c r="D178" s="416" t="s">
        <v>1402</v>
      </c>
      <c r="E178" s="444"/>
      <c r="F178" s="440" t="s">
        <v>2305</v>
      </c>
      <c r="G178" s="441">
        <v>43917</v>
      </c>
      <c r="H178" s="443"/>
      <c r="I178" s="444"/>
      <c r="J178" s="416"/>
      <c r="K178" s="416"/>
      <c r="L178" s="416"/>
      <c r="M178" s="416"/>
      <c r="N178" s="416"/>
      <c r="O178" s="416"/>
      <c r="P178" s="416"/>
      <c r="Q178" s="416"/>
      <c r="R178" s="416"/>
      <c r="S178" s="416"/>
      <c r="T178" s="416"/>
      <c r="U178" s="416"/>
      <c r="V178" s="416"/>
      <c r="W178" s="416"/>
      <c r="X178" s="416"/>
      <c r="Y178" s="416"/>
      <c r="Z178" s="416"/>
      <c r="AA178" s="416"/>
      <c r="AB178" s="416"/>
      <c r="AC178" s="416"/>
      <c r="AD178" s="416"/>
      <c r="AE178" s="416"/>
      <c r="AF178" s="416"/>
      <c r="AG178" s="416"/>
      <c r="AH178" s="416"/>
      <c r="AI178" s="416"/>
      <c r="AJ178" s="416"/>
      <c r="AK178" s="416"/>
      <c r="AL178" s="416"/>
      <c r="AM178" s="416"/>
      <c r="AN178" s="416"/>
      <c r="AO178" s="416"/>
      <c r="AP178" s="416"/>
      <c r="AQ178" s="444"/>
      <c r="AR178" s="444" t="s">
        <v>1403</v>
      </c>
      <c r="AS178" s="416"/>
      <c r="AT178" s="416"/>
      <c r="AU178" s="416"/>
    </row>
    <row r="179" spans="1:47">
      <c r="A179" s="524">
        <v>157</v>
      </c>
      <c r="B179" s="443">
        <v>3</v>
      </c>
      <c r="C179" s="494" t="s">
        <v>48</v>
      </c>
      <c r="D179" s="447" t="s">
        <v>662</v>
      </c>
      <c r="E179" s="432"/>
      <c r="F179" s="440" t="s">
        <v>2305</v>
      </c>
      <c r="G179" s="416"/>
      <c r="H179" s="443"/>
      <c r="I179" s="444"/>
      <c r="J179" s="416"/>
      <c r="K179" s="416"/>
      <c r="L179" s="416"/>
      <c r="M179" s="416"/>
      <c r="N179" s="416"/>
      <c r="O179" s="416"/>
      <c r="P179" s="416"/>
      <c r="Q179" s="416"/>
      <c r="R179" s="416"/>
      <c r="S179" s="416"/>
      <c r="T179" s="416"/>
      <c r="U179" s="416"/>
      <c r="V179" s="416"/>
      <c r="W179" s="416"/>
      <c r="X179" s="416"/>
      <c r="Y179" s="416"/>
      <c r="Z179" s="416"/>
      <c r="AA179" s="416"/>
      <c r="AB179" s="416"/>
      <c r="AC179" s="416"/>
      <c r="AD179" s="416"/>
      <c r="AE179" s="416"/>
      <c r="AF179" s="416"/>
      <c r="AG179" s="416"/>
      <c r="AH179" s="416"/>
      <c r="AI179" s="416"/>
      <c r="AJ179" s="416"/>
      <c r="AK179" s="416"/>
      <c r="AL179" s="416"/>
      <c r="AM179" s="416"/>
      <c r="AN179" s="416"/>
      <c r="AO179" s="416"/>
      <c r="AP179" s="416"/>
      <c r="AQ179" s="444"/>
      <c r="AR179" s="432" t="s">
        <v>1305</v>
      </c>
      <c r="AS179" s="416"/>
      <c r="AT179" s="416"/>
      <c r="AU179" s="416"/>
    </row>
    <row r="180" spans="1:47">
      <c r="A180" s="524">
        <v>158</v>
      </c>
      <c r="B180" s="443">
        <v>4</v>
      </c>
      <c r="C180" s="494" t="s">
        <v>48</v>
      </c>
      <c r="D180" s="447" t="s">
        <v>1240</v>
      </c>
      <c r="E180" s="432"/>
      <c r="F180" s="440" t="s">
        <v>2305</v>
      </c>
      <c r="G180" s="416"/>
      <c r="H180" s="443"/>
      <c r="I180" s="444"/>
      <c r="J180" s="416"/>
      <c r="K180" s="416"/>
      <c r="L180" s="416"/>
      <c r="M180" s="416"/>
      <c r="N180" s="416"/>
      <c r="O180" s="416"/>
      <c r="P180" s="416"/>
      <c r="Q180" s="416"/>
      <c r="R180" s="416"/>
      <c r="S180" s="416"/>
      <c r="T180" s="416"/>
      <c r="U180" s="416"/>
      <c r="V180" s="416"/>
      <c r="W180" s="416"/>
      <c r="X180" s="416"/>
      <c r="Y180" s="416"/>
      <c r="Z180" s="416"/>
      <c r="AA180" s="416"/>
      <c r="AB180" s="416"/>
      <c r="AC180" s="416"/>
      <c r="AD180" s="416"/>
      <c r="AE180" s="416"/>
      <c r="AF180" s="416"/>
      <c r="AG180" s="416"/>
      <c r="AH180" s="416"/>
      <c r="AI180" s="416"/>
      <c r="AJ180" s="416"/>
      <c r="AK180" s="416"/>
      <c r="AL180" s="416"/>
      <c r="AM180" s="416"/>
      <c r="AN180" s="416"/>
      <c r="AO180" s="416"/>
      <c r="AP180" s="416"/>
      <c r="AQ180" s="444"/>
      <c r="AR180" s="432" t="s">
        <v>1306</v>
      </c>
      <c r="AS180" s="416"/>
      <c r="AT180" s="416"/>
      <c r="AU180" s="416"/>
    </row>
    <row r="181" spans="1:47">
      <c r="A181" s="524">
        <v>159</v>
      </c>
      <c r="B181" s="443">
        <v>5</v>
      </c>
      <c r="C181" s="494" t="s">
        <v>48</v>
      </c>
      <c r="D181" s="447" t="s">
        <v>1495</v>
      </c>
      <c r="E181" s="432" t="s">
        <v>1496</v>
      </c>
      <c r="F181" s="440" t="s">
        <v>2305</v>
      </c>
      <c r="G181" s="441">
        <v>44025</v>
      </c>
      <c r="H181" s="443"/>
      <c r="I181" s="444"/>
      <c r="J181" s="416"/>
      <c r="K181" s="416"/>
      <c r="L181" s="416"/>
      <c r="M181" s="416"/>
      <c r="N181" s="416"/>
      <c r="O181" s="416"/>
      <c r="P181" s="416"/>
      <c r="Q181" s="416"/>
      <c r="R181" s="416"/>
      <c r="S181" s="416"/>
      <c r="T181" s="416"/>
      <c r="U181" s="416"/>
      <c r="V181" s="416"/>
      <c r="W181" s="416"/>
      <c r="X181" s="416"/>
      <c r="Y181" s="416"/>
      <c r="Z181" s="416"/>
      <c r="AA181" s="416"/>
      <c r="AB181" s="416"/>
      <c r="AC181" s="416"/>
      <c r="AD181" s="416"/>
      <c r="AE181" s="416"/>
      <c r="AF181" s="416"/>
      <c r="AG181" s="416"/>
      <c r="AH181" s="416"/>
      <c r="AI181" s="416"/>
      <c r="AJ181" s="416"/>
      <c r="AK181" s="416"/>
      <c r="AL181" s="416"/>
      <c r="AM181" s="416"/>
      <c r="AN181" s="416"/>
      <c r="AO181" s="416"/>
      <c r="AP181" s="416"/>
      <c r="AQ181" s="444"/>
      <c r="AR181" s="606" t="s">
        <v>1776</v>
      </c>
      <c r="AS181" s="440" t="s">
        <v>64</v>
      </c>
      <c r="AT181" s="345" t="s">
        <v>95</v>
      </c>
      <c r="AU181" s="416"/>
    </row>
    <row r="182" spans="1:47">
      <c r="A182" s="524">
        <v>160</v>
      </c>
      <c r="B182" s="443">
        <v>6</v>
      </c>
      <c r="C182" s="440" t="s">
        <v>428</v>
      </c>
      <c r="D182" s="437" t="s">
        <v>396</v>
      </c>
      <c r="E182" s="384" t="s">
        <v>450</v>
      </c>
      <c r="F182" s="440" t="s">
        <v>2305</v>
      </c>
      <c r="G182" s="346">
        <v>43407</v>
      </c>
      <c r="H182" s="352">
        <v>43407</v>
      </c>
      <c r="I182" s="346"/>
      <c r="J182" s="346"/>
      <c r="K182" s="347">
        <f ca="1">DATEDIF(G182,$B$1,"Y")</f>
        <v>2</v>
      </c>
      <c r="L182" s="347">
        <f ca="1">DATEDIF(G182,$B$1,"YM")</f>
        <v>2</v>
      </c>
      <c r="M182" s="441"/>
      <c r="N182" s="441"/>
      <c r="O182" s="345" t="s">
        <v>76</v>
      </c>
      <c r="P182" s="345" t="s">
        <v>36</v>
      </c>
      <c r="Q182" s="345" t="s">
        <v>399</v>
      </c>
      <c r="R182" s="346">
        <v>34813</v>
      </c>
      <c r="S182" s="438">
        <f ca="1">DATEDIF(R182,$B$1,"Y")</f>
        <v>25</v>
      </c>
      <c r="T182" s="438">
        <f ca="1">DATEDIF(R182,$B$1,"YM")</f>
        <v>8</v>
      </c>
      <c r="U182" s="440" t="s">
        <v>57</v>
      </c>
      <c r="V182" s="440" t="s">
        <v>397</v>
      </c>
      <c r="W182" s="345" t="s">
        <v>44</v>
      </c>
      <c r="X182" s="345" t="s">
        <v>350</v>
      </c>
      <c r="Y182" s="346" t="s">
        <v>535</v>
      </c>
      <c r="Z182" s="349">
        <v>34823</v>
      </c>
      <c r="AA182" s="345" t="s">
        <v>48</v>
      </c>
      <c r="AB182" s="345" t="s">
        <v>48</v>
      </c>
      <c r="AC182" s="345" t="s">
        <v>48</v>
      </c>
      <c r="AD182" s="345" t="s">
        <v>48</v>
      </c>
      <c r="AE182" s="345" t="s">
        <v>48</v>
      </c>
      <c r="AF182" s="345" t="s">
        <v>48</v>
      </c>
      <c r="AG182" s="349"/>
      <c r="AH182" s="349"/>
      <c r="AI182" s="349"/>
      <c r="AJ182" s="442" t="s">
        <v>420</v>
      </c>
      <c r="AK182" s="350" t="s">
        <v>536</v>
      </c>
      <c r="AL182" s="350" t="s">
        <v>422</v>
      </c>
      <c r="AM182" s="350"/>
      <c r="AN182" s="440"/>
      <c r="AO182" s="440" t="s">
        <v>48</v>
      </c>
      <c r="AP182" s="442" t="s">
        <v>537</v>
      </c>
      <c r="AQ182" s="366" t="s">
        <v>424</v>
      </c>
      <c r="AR182" s="367" t="s">
        <v>936</v>
      </c>
      <c r="AS182" s="440" t="s">
        <v>64</v>
      </c>
      <c r="AT182" s="345" t="s">
        <v>95</v>
      </c>
      <c r="AU182" s="364" t="s">
        <v>426</v>
      </c>
    </row>
    <row r="183" spans="1:47">
      <c r="A183" s="524">
        <v>161</v>
      </c>
      <c r="B183" s="443">
        <v>7</v>
      </c>
      <c r="C183" s="378" t="str">
        <f>NIK!$B$93</f>
        <v>9919090045</v>
      </c>
      <c r="D183" s="437" t="s">
        <v>535</v>
      </c>
      <c r="E183" s="384"/>
      <c r="F183" s="440" t="s">
        <v>2305</v>
      </c>
      <c r="G183" s="346">
        <v>43344</v>
      </c>
      <c r="H183" s="346">
        <v>43709</v>
      </c>
      <c r="I183" s="441"/>
      <c r="J183" s="441"/>
      <c r="K183" s="347">
        <f ca="1">DATEDIF(G183,$B$1,"Y")</f>
        <v>2</v>
      </c>
      <c r="L183" s="347">
        <f ca="1">DATEDIF(G183,$B$1,"YM")</f>
        <v>4</v>
      </c>
      <c r="M183" s="441"/>
      <c r="N183" s="441"/>
      <c r="O183" s="356" t="s">
        <v>35</v>
      </c>
      <c r="P183" s="345" t="s">
        <v>36</v>
      </c>
      <c r="Q183" s="440" t="s">
        <v>865</v>
      </c>
      <c r="R183" s="346">
        <v>34823</v>
      </c>
      <c r="S183" s="438">
        <f ca="1">DATEDIF(R183,$B$1,"Y")</f>
        <v>25</v>
      </c>
      <c r="T183" s="438">
        <f ca="1">DATEDIF(R183,$B$1,"YM")</f>
        <v>8</v>
      </c>
      <c r="U183" s="440" t="s">
        <v>57</v>
      </c>
      <c r="V183" s="440" t="s">
        <v>858</v>
      </c>
      <c r="W183" s="440" t="s">
        <v>459</v>
      </c>
      <c r="X183" s="345" t="s">
        <v>350</v>
      </c>
      <c r="Y183" s="439" t="s">
        <v>396</v>
      </c>
      <c r="Z183" s="346">
        <v>34813</v>
      </c>
      <c r="AA183" s="345" t="s">
        <v>48</v>
      </c>
      <c r="AB183" s="345" t="s">
        <v>48</v>
      </c>
      <c r="AC183" s="345" t="s">
        <v>48</v>
      </c>
      <c r="AD183" s="345" t="s">
        <v>48</v>
      </c>
      <c r="AE183" s="345" t="s">
        <v>48</v>
      </c>
      <c r="AF183" s="345" t="s">
        <v>48</v>
      </c>
      <c r="AG183" s="388"/>
      <c r="AH183" s="388"/>
      <c r="AI183" s="388"/>
      <c r="AJ183" s="442" t="s">
        <v>868</v>
      </c>
      <c r="AK183" s="350" t="s">
        <v>536</v>
      </c>
      <c r="AL183" s="350" t="s">
        <v>871</v>
      </c>
      <c r="AM183" s="350"/>
      <c r="AN183" s="440"/>
      <c r="AO183" s="440" t="s">
        <v>48</v>
      </c>
      <c r="AP183" s="442" t="s">
        <v>423</v>
      </c>
      <c r="AQ183" s="439" t="s">
        <v>535</v>
      </c>
      <c r="AR183" s="442" t="s">
        <v>937</v>
      </c>
      <c r="AS183" s="440" t="s">
        <v>64</v>
      </c>
      <c r="AT183" s="345" t="s">
        <v>95</v>
      </c>
      <c r="AU183" s="364"/>
    </row>
    <row r="184" spans="1:47">
      <c r="A184" s="524">
        <v>162</v>
      </c>
      <c r="B184" s="443">
        <v>8</v>
      </c>
      <c r="C184" s="437"/>
      <c r="D184" s="437" t="s">
        <v>1604</v>
      </c>
      <c r="E184" s="437"/>
      <c r="F184" s="440" t="s">
        <v>2305</v>
      </c>
      <c r="G184" s="437"/>
      <c r="H184" s="439"/>
      <c r="I184" s="439"/>
      <c r="J184" s="437"/>
      <c r="K184" s="437"/>
      <c r="L184" s="437"/>
      <c r="M184" s="437"/>
      <c r="N184" s="437"/>
      <c r="O184" s="437"/>
      <c r="P184" s="437"/>
      <c r="Q184" s="437"/>
      <c r="R184" s="437"/>
      <c r="S184" s="437"/>
      <c r="T184" s="437"/>
      <c r="U184" s="437"/>
      <c r="V184" s="437"/>
      <c r="W184" s="437"/>
      <c r="X184" s="437"/>
      <c r="Y184" s="437"/>
      <c r="Z184" s="437"/>
      <c r="AA184" s="437"/>
      <c r="AB184" s="437"/>
      <c r="AC184" s="437"/>
      <c r="AD184" s="437"/>
      <c r="AE184" s="437"/>
      <c r="AF184" s="437"/>
      <c r="AG184" s="437"/>
      <c r="AH184" s="437"/>
      <c r="AI184" s="437"/>
      <c r="AJ184" s="437"/>
      <c r="AK184" s="437"/>
      <c r="AL184" s="437"/>
      <c r="AM184" s="437"/>
      <c r="AN184" s="437"/>
      <c r="AO184" s="437"/>
      <c r="AP184" s="437"/>
      <c r="AQ184" s="437"/>
      <c r="AR184" s="442" t="s">
        <v>1605</v>
      </c>
      <c r="AS184" s="440" t="s">
        <v>64</v>
      </c>
      <c r="AT184" s="442" t="s">
        <v>48</v>
      </c>
      <c r="AU184" s="437"/>
    </row>
    <row r="185" spans="1:47">
      <c r="A185" s="524">
        <v>163</v>
      </c>
      <c r="B185" s="443">
        <v>9</v>
      </c>
      <c r="C185" s="416"/>
      <c r="D185" s="416" t="s">
        <v>1665</v>
      </c>
      <c r="E185" s="444"/>
      <c r="F185" s="440" t="s">
        <v>2305</v>
      </c>
      <c r="G185" s="416"/>
      <c r="H185" s="443"/>
      <c r="I185" s="444"/>
      <c r="J185" s="416"/>
      <c r="K185" s="416"/>
      <c r="L185" s="416"/>
      <c r="M185" s="416"/>
      <c r="N185" s="416"/>
      <c r="O185" s="416"/>
      <c r="P185" s="416"/>
      <c r="Q185" s="416"/>
      <c r="R185" s="416"/>
      <c r="S185" s="416"/>
      <c r="T185" s="416"/>
      <c r="U185" s="416"/>
      <c r="V185" s="416"/>
      <c r="W185" s="416"/>
      <c r="X185" s="416"/>
      <c r="Y185" s="416"/>
      <c r="Z185" s="416"/>
      <c r="AA185" s="416"/>
      <c r="AB185" s="416"/>
      <c r="AC185" s="416"/>
      <c r="AD185" s="416"/>
      <c r="AE185" s="416"/>
      <c r="AF185" s="416"/>
      <c r="AG185" s="416"/>
      <c r="AH185" s="416"/>
      <c r="AI185" s="416"/>
      <c r="AJ185" s="416"/>
      <c r="AK185" s="416"/>
      <c r="AL185" s="416"/>
      <c r="AM185" s="416"/>
      <c r="AN185" s="416"/>
      <c r="AO185" s="416"/>
      <c r="AP185" s="416"/>
      <c r="AQ185" s="444" t="s">
        <v>1666</v>
      </c>
      <c r="AR185" s="494" t="s">
        <v>1729</v>
      </c>
      <c r="AS185" s="440" t="s">
        <v>64</v>
      </c>
      <c r="AT185" s="440" t="s">
        <v>95</v>
      </c>
      <c r="AU185" s="416"/>
    </row>
    <row r="186" spans="1:47">
      <c r="A186" s="524">
        <v>164</v>
      </c>
      <c r="B186" s="443">
        <v>10</v>
      </c>
      <c r="C186" s="416"/>
      <c r="D186" s="416" t="s">
        <v>1727</v>
      </c>
      <c r="E186" s="444"/>
      <c r="F186" s="440" t="s">
        <v>2305</v>
      </c>
      <c r="G186" s="441">
        <v>44105</v>
      </c>
      <c r="H186" s="443"/>
      <c r="I186" s="444"/>
      <c r="J186" s="416"/>
      <c r="K186" s="416"/>
      <c r="L186" s="416"/>
      <c r="M186" s="416"/>
      <c r="N186" s="416"/>
      <c r="O186" s="416"/>
      <c r="P186" s="416"/>
      <c r="Q186" s="416"/>
      <c r="R186" s="416"/>
      <c r="S186" s="416"/>
      <c r="T186" s="416"/>
      <c r="U186" s="416"/>
      <c r="V186" s="416"/>
      <c r="W186" s="416"/>
      <c r="X186" s="416"/>
      <c r="Y186" s="416"/>
      <c r="Z186" s="416"/>
      <c r="AA186" s="416"/>
      <c r="AB186" s="416"/>
      <c r="AC186" s="416"/>
      <c r="AD186" s="416"/>
      <c r="AE186" s="416"/>
      <c r="AF186" s="416"/>
      <c r="AG186" s="416"/>
      <c r="AH186" s="416"/>
      <c r="AI186" s="416"/>
      <c r="AJ186" s="416"/>
      <c r="AK186" s="416"/>
      <c r="AL186" s="416"/>
      <c r="AM186" s="416"/>
      <c r="AN186" s="416"/>
      <c r="AO186" s="416"/>
      <c r="AP186" s="416"/>
      <c r="AQ186" s="444"/>
      <c r="AR186" s="494" t="s">
        <v>1728</v>
      </c>
      <c r="AS186" s="440" t="s">
        <v>64</v>
      </c>
      <c r="AT186" s="440"/>
      <c r="AU186" s="416"/>
    </row>
    <row r="187" spans="1:47">
      <c r="A187" s="524">
        <v>165</v>
      </c>
      <c r="B187" s="443">
        <v>11</v>
      </c>
      <c r="C187" s="416"/>
      <c r="D187" s="605" t="s">
        <v>1770</v>
      </c>
      <c r="E187" s="444" t="s">
        <v>133</v>
      </c>
      <c r="F187" s="440" t="s">
        <v>2305</v>
      </c>
      <c r="G187" s="441">
        <v>44136</v>
      </c>
      <c r="H187" s="443"/>
      <c r="I187" s="444"/>
      <c r="J187" s="416"/>
      <c r="K187" s="416"/>
      <c r="L187" s="416"/>
      <c r="M187" s="416"/>
      <c r="N187" s="416"/>
      <c r="O187" s="416"/>
      <c r="P187" s="416"/>
      <c r="Q187" s="416"/>
      <c r="R187" s="416"/>
      <c r="S187" s="416"/>
      <c r="T187" s="416"/>
      <c r="U187" s="416"/>
      <c r="V187" s="416"/>
      <c r="W187" s="416"/>
      <c r="X187" s="416"/>
      <c r="Y187" s="416"/>
      <c r="Z187" s="416"/>
      <c r="AA187" s="416"/>
      <c r="AB187" s="416"/>
      <c r="AC187" s="416"/>
      <c r="AD187" s="416"/>
      <c r="AE187" s="416"/>
      <c r="AF187" s="416"/>
      <c r="AG187" s="416"/>
      <c r="AH187" s="416"/>
      <c r="AI187" s="416"/>
      <c r="AJ187" s="416"/>
      <c r="AK187" s="416"/>
      <c r="AL187" s="416"/>
      <c r="AM187" s="416"/>
      <c r="AN187" s="416"/>
      <c r="AO187" s="416"/>
      <c r="AP187" s="416"/>
      <c r="AQ187" s="444"/>
      <c r="AR187" s="494" t="s">
        <v>1771</v>
      </c>
      <c r="AS187" s="440" t="s">
        <v>64</v>
      </c>
      <c r="AT187" s="440"/>
      <c r="AU187" s="416"/>
    </row>
    <row r="188" spans="1:47">
      <c r="A188" s="524">
        <v>166</v>
      </c>
      <c r="B188" s="443">
        <v>12</v>
      </c>
      <c r="C188" s="416"/>
      <c r="D188" s="605" t="s">
        <v>1898</v>
      </c>
      <c r="E188" s="444" t="s">
        <v>1569</v>
      </c>
      <c r="F188" s="440" t="s">
        <v>2305</v>
      </c>
      <c r="G188" s="441">
        <v>44161</v>
      </c>
      <c r="H188" s="441">
        <v>44161</v>
      </c>
      <c r="I188" s="444"/>
      <c r="J188" s="416"/>
      <c r="K188" s="416"/>
      <c r="L188" s="416"/>
      <c r="M188" s="416"/>
      <c r="N188" s="416"/>
      <c r="O188" s="444" t="s">
        <v>35</v>
      </c>
      <c r="P188" s="444" t="s">
        <v>36</v>
      </c>
      <c r="Q188" s="444" t="s">
        <v>1899</v>
      </c>
      <c r="R188" s="346">
        <v>35005</v>
      </c>
      <c r="S188" s="438">
        <f ca="1">DATEDIF(R188,$B$1,"Y")</f>
        <v>25</v>
      </c>
      <c r="T188" s="438">
        <f ca="1">DATEDIF(R188,$B$1,"YM")</f>
        <v>2</v>
      </c>
      <c r="U188" s="444" t="s">
        <v>130</v>
      </c>
      <c r="V188" s="444"/>
      <c r="W188" s="444" t="s">
        <v>105</v>
      </c>
      <c r="X188" s="444" t="s">
        <v>350</v>
      </c>
      <c r="Y188" s="416"/>
      <c r="Z188" s="416"/>
      <c r="AA188" s="416"/>
      <c r="AB188" s="416"/>
      <c r="AC188" s="416"/>
      <c r="AD188" s="416"/>
      <c r="AE188" s="416"/>
      <c r="AF188" s="416"/>
      <c r="AG188" s="416"/>
      <c r="AH188" s="416"/>
      <c r="AI188" s="416"/>
      <c r="AJ188" s="442" t="s">
        <v>1900</v>
      </c>
      <c r="AK188" s="416" t="s">
        <v>1901</v>
      </c>
      <c r="AL188" s="416" t="s">
        <v>1901</v>
      </c>
      <c r="AM188" s="416"/>
      <c r="AN188" s="416"/>
      <c r="AO188" s="416"/>
      <c r="AP188" s="432"/>
      <c r="AQ188" s="444" t="s">
        <v>1898</v>
      </c>
      <c r="AR188" s="494" t="s">
        <v>2306</v>
      </c>
      <c r="AS188" s="440" t="s">
        <v>64</v>
      </c>
      <c r="AT188" s="440"/>
      <c r="AU188" s="610"/>
    </row>
    <row r="189" spans="1:47">
      <c r="A189" s="562"/>
    </row>
    <row r="190" spans="1:47">
      <c r="A190" s="568"/>
      <c r="B190" s="828" t="s">
        <v>1243</v>
      </c>
      <c r="C190" s="828"/>
      <c r="D190" s="623" t="s">
        <v>2047</v>
      </c>
      <c r="E190" s="654" t="s">
        <v>2048</v>
      </c>
      <c r="F190" s="654" t="s">
        <v>1435</v>
      </c>
      <c r="G190" s="656"/>
      <c r="H190" s="656" t="s">
        <v>2049</v>
      </c>
      <c r="I190" s="656" t="s">
        <v>2050</v>
      </c>
      <c r="J190" s="418"/>
      <c r="K190" s="419"/>
      <c r="L190" s="419"/>
      <c r="M190" s="418"/>
      <c r="N190" s="418"/>
      <c r="O190" s="420"/>
      <c r="P190" s="420"/>
      <c r="Q190" s="420"/>
      <c r="R190" s="421"/>
      <c r="S190" s="422"/>
      <c r="T190" s="422"/>
      <c r="U190" s="417"/>
      <c r="V190" s="417"/>
      <c r="W190" s="417"/>
      <c r="X190" s="417"/>
      <c r="Y190" s="420"/>
      <c r="Z190" s="420"/>
      <c r="AA190" s="420"/>
      <c r="AB190" s="420"/>
      <c r="AC190" s="420"/>
      <c r="AD190" s="420"/>
      <c r="AE190" s="420"/>
      <c r="AF190" s="420"/>
      <c r="AG190" s="420"/>
      <c r="AH190" s="420"/>
      <c r="AI190" s="420"/>
      <c r="AJ190" s="423"/>
      <c r="AK190" s="459"/>
      <c r="AL190" s="459"/>
      <c r="AM190" s="459"/>
      <c r="AN190" s="459"/>
      <c r="AO190" s="459"/>
      <c r="AP190" s="423"/>
      <c r="AQ190" s="424"/>
      <c r="AR190" s="419"/>
      <c r="AS190" s="460"/>
      <c r="AT190" s="460"/>
      <c r="AU190" s="505"/>
    </row>
    <row r="191" spans="1:47">
      <c r="A191" s="436"/>
      <c r="B191" s="443">
        <v>1</v>
      </c>
      <c r="C191" s="447"/>
      <c r="D191" s="448" t="s">
        <v>2064</v>
      </c>
      <c r="E191" s="448" t="s">
        <v>1835</v>
      </c>
      <c r="F191" s="444" t="s">
        <v>133</v>
      </c>
      <c r="G191" s="416"/>
      <c r="H191" s="687">
        <v>35174</v>
      </c>
      <c r="I191" s="432" t="s">
        <v>1911</v>
      </c>
    </row>
    <row r="192" spans="1:47">
      <c r="A192" s="436"/>
      <c r="B192" s="443">
        <v>2</v>
      </c>
      <c r="C192" s="447"/>
      <c r="D192" s="614" t="s">
        <v>1796</v>
      </c>
      <c r="E192" s="614" t="s">
        <v>1796</v>
      </c>
      <c r="F192" s="444" t="s">
        <v>133</v>
      </c>
      <c r="G192" s="416"/>
      <c r="H192" s="687"/>
      <c r="I192" s="444"/>
    </row>
    <row r="193" spans="1:47">
      <c r="B193" s="443">
        <v>3</v>
      </c>
      <c r="C193" s="447"/>
      <c r="D193" s="614" t="s">
        <v>2138</v>
      </c>
      <c r="E193" s="447" t="s">
        <v>2139</v>
      </c>
      <c r="F193" s="616" t="s">
        <v>133</v>
      </c>
      <c r="G193" s="621"/>
      <c r="H193" s="687"/>
      <c r="I193" s="636"/>
      <c r="J193" s="441"/>
      <c r="K193" s="453"/>
      <c r="L193" s="453"/>
      <c r="M193" s="453"/>
      <c r="N193" s="453"/>
      <c r="O193" s="453"/>
      <c r="P193" s="453"/>
      <c r="Q193" s="453"/>
      <c r="R193" s="453"/>
      <c r="S193" s="453"/>
      <c r="T193" s="453"/>
      <c r="U193" s="453"/>
      <c r="V193" s="453"/>
      <c r="W193" s="453"/>
      <c r="X193" s="453"/>
      <c r="Y193" s="453"/>
      <c r="Z193" s="453"/>
      <c r="AA193" s="453"/>
      <c r="AB193" s="453"/>
      <c r="AC193" s="453"/>
      <c r="AD193" s="453"/>
      <c r="AE193" s="453"/>
      <c r="AF193" s="453"/>
      <c r="AG193" s="453"/>
      <c r="AH193" s="453"/>
      <c r="AI193" s="453"/>
      <c r="AJ193" s="453"/>
      <c r="AK193" s="453"/>
      <c r="AL193" s="453"/>
      <c r="AM193" s="453"/>
      <c r="AN193" s="453"/>
      <c r="AO193" s="453"/>
      <c r="AP193" s="453"/>
      <c r="AQ193" s="534"/>
      <c r="AR193" s="453"/>
      <c r="AS193" s="453"/>
      <c r="AT193" s="453"/>
      <c r="AU193" s="453"/>
    </row>
    <row r="194" spans="1:47">
      <c r="A194" s="436"/>
      <c r="B194" s="443">
        <v>4</v>
      </c>
      <c r="C194" s="447"/>
      <c r="D194" s="614" t="s">
        <v>2144</v>
      </c>
      <c r="E194" s="614" t="s">
        <v>2031</v>
      </c>
      <c r="F194" s="616" t="s">
        <v>133</v>
      </c>
      <c r="G194" s="416"/>
      <c r="H194" s="687">
        <v>36201</v>
      </c>
      <c r="I194" s="432" t="s">
        <v>2033</v>
      </c>
    </row>
    <row r="195" spans="1:47">
      <c r="A195" s="436"/>
      <c r="B195" s="443">
        <v>5</v>
      </c>
      <c r="C195" s="447"/>
      <c r="D195" s="448" t="s">
        <v>2097</v>
      </c>
      <c r="E195" s="448" t="s">
        <v>1826</v>
      </c>
      <c r="F195" s="444" t="s">
        <v>133</v>
      </c>
      <c r="G195" s="416"/>
      <c r="H195" s="687">
        <v>36035</v>
      </c>
      <c r="I195" s="432" t="s">
        <v>1912</v>
      </c>
    </row>
    <row r="196" spans="1:47">
      <c r="A196" s="436"/>
      <c r="B196" s="443">
        <v>6</v>
      </c>
      <c r="C196" s="447"/>
      <c r="D196" s="448" t="s">
        <v>2114</v>
      </c>
      <c r="E196" s="448" t="s">
        <v>1809</v>
      </c>
      <c r="F196" s="444" t="s">
        <v>133</v>
      </c>
      <c r="G196" s="416"/>
      <c r="H196" s="687">
        <v>36193</v>
      </c>
      <c r="I196" s="432" t="s">
        <v>1913</v>
      </c>
    </row>
    <row r="197" spans="1:47">
      <c r="A197" s="436"/>
      <c r="B197" s="443">
        <v>7</v>
      </c>
      <c r="C197" s="447"/>
      <c r="D197" s="614" t="s">
        <v>1788</v>
      </c>
      <c r="E197" s="614" t="s">
        <v>1914</v>
      </c>
      <c r="F197" s="444" t="s">
        <v>133</v>
      </c>
      <c r="G197" s="416"/>
      <c r="H197" s="687">
        <v>34530</v>
      </c>
      <c r="I197" s="432" t="s">
        <v>1915</v>
      </c>
    </row>
    <row r="198" spans="1:47">
      <c r="A198" s="436"/>
      <c r="B198" s="443">
        <v>8</v>
      </c>
      <c r="C198" s="447"/>
      <c r="D198" s="448" t="s">
        <v>2105</v>
      </c>
      <c r="E198" s="448" t="s">
        <v>1808</v>
      </c>
      <c r="F198" s="444" t="s">
        <v>133</v>
      </c>
      <c r="G198" s="416"/>
      <c r="H198" s="687">
        <v>37429</v>
      </c>
      <c r="I198" s="432" t="s">
        <v>1916</v>
      </c>
    </row>
    <row r="199" spans="1:47">
      <c r="A199" s="436"/>
      <c r="B199" s="443">
        <v>9</v>
      </c>
      <c r="C199" s="447"/>
      <c r="D199" s="448" t="s">
        <v>2106</v>
      </c>
      <c r="E199" s="448" t="s">
        <v>1838</v>
      </c>
      <c r="F199" s="444" t="s">
        <v>133</v>
      </c>
      <c r="G199" s="416"/>
      <c r="H199" s="687">
        <v>34571</v>
      </c>
      <c r="I199" s="432" t="s">
        <v>1917</v>
      </c>
    </row>
    <row r="200" spans="1:47">
      <c r="A200" s="436"/>
      <c r="B200" s="443">
        <v>10</v>
      </c>
      <c r="C200" s="447"/>
      <c r="D200" s="448" t="s">
        <v>1783</v>
      </c>
      <c r="E200" s="448" t="s">
        <v>1783</v>
      </c>
      <c r="F200" s="444" t="s">
        <v>133</v>
      </c>
      <c r="G200" s="416"/>
      <c r="H200" s="687">
        <v>33472</v>
      </c>
      <c r="I200" s="432" t="s">
        <v>1918</v>
      </c>
    </row>
    <row r="201" spans="1:47">
      <c r="A201" s="436"/>
      <c r="B201" s="443">
        <v>11</v>
      </c>
      <c r="C201" s="447"/>
      <c r="D201" s="614" t="s">
        <v>2141</v>
      </c>
      <c r="E201" s="614" t="s">
        <v>2034</v>
      </c>
      <c r="F201" s="616" t="s">
        <v>133</v>
      </c>
      <c r="G201" s="416"/>
      <c r="H201" s="687">
        <v>37120</v>
      </c>
      <c r="I201" s="432" t="s">
        <v>2035</v>
      </c>
    </row>
    <row r="202" spans="1:47">
      <c r="A202" s="436"/>
      <c r="B202" s="443">
        <v>12</v>
      </c>
      <c r="C202" s="447"/>
      <c r="D202" s="448" t="s">
        <v>2087</v>
      </c>
      <c r="E202" s="448" t="s">
        <v>1815</v>
      </c>
      <c r="F202" s="444" t="s">
        <v>133</v>
      </c>
      <c r="G202" s="416"/>
      <c r="H202" s="687">
        <v>36906</v>
      </c>
      <c r="I202" s="432" t="s">
        <v>1919</v>
      </c>
    </row>
    <row r="203" spans="1:47">
      <c r="A203" s="436"/>
      <c r="B203" s="443">
        <v>13</v>
      </c>
      <c r="C203" s="447"/>
      <c r="D203" s="448" t="s">
        <v>2075</v>
      </c>
      <c r="E203" s="448" t="s">
        <v>1785</v>
      </c>
      <c r="F203" s="444" t="s">
        <v>133</v>
      </c>
      <c r="G203" s="416"/>
      <c r="H203" s="687">
        <v>37215</v>
      </c>
      <c r="I203" s="432" t="s">
        <v>1920</v>
      </c>
    </row>
    <row r="204" spans="1:47">
      <c r="A204" s="436"/>
      <c r="B204" s="443">
        <v>14</v>
      </c>
      <c r="C204" s="447"/>
      <c r="D204" s="448" t="s">
        <v>2107</v>
      </c>
      <c r="E204" s="448" t="s">
        <v>1781</v>
      </c>
      <c r="F204" s="444" t="s">
        <v>133</v>
      </c>
      <c r="G204" s="416"/>
      <c r="H204" s="687">
        <v>34903</v>
      </c>
      <c r="I204" s="432" t="s">
        <v>1921</v>
      </c>
    </row>
    <row r="205" spans="1:47">
      <c r="A205" s="436"/>
      <c r="B205" s="443">
        <v>15</v>
      </c>
      <c r="C205" s="447"/>
      <c r="D205" s="614" t="s">
        <v>2044</v>
      </c>
      <c r="E205" s="614" t="s">
        <v>1922</v>
      </c>
      <c r="F205" s="444" t="s">
        <v>133</v>
      </c>
      <c r="G205" s="416"/>
      <c r="H205" s="687">
        <v>36592</v>
      </c>
      <c r="I205" s="432" t="s">
        <v>1923</v>
      </c>
    </row>
    <row r="206" spans="1:47">
      <c r="A206" s="436"/>
      <c r="B206" s="443">
        <v>16</v>
      </c>
      <c r="C206" s="447"/>
      <c r="D206" s="448" t="s">
        <v>2100</v>
      </c>
      <c r="E206" s="448" t="s">
        <v>1843</v>
      </c>
      <c r="F206" s="444" t="s">
        <v>133</v>
      </c>
      <c r="G206" s="416"/>
      <c r="H206" s="687"/>
      <c r="I206" s="444"/>
    </row>
    <row r="207" spans="1:47">
      <c r="A207" s="436"/>
      <c r="B207" s="443">
        <v>17</v>
      </c>
      <c r="C207" s="447"/>
      <c r="D207" s="448" t="s">
        <v>2102</v>
      </c>
      <c r="E207" s="448" t="s">
        <v>1834</v>
      </c>
      <c r="F207" s="444" t="s">
        <v>133</v>
      </c>
      <c r="G207" s="416"/>
      <c r="H207" s="687">
        <v>36909</v>
      </c>
      <c r="I207" s="432" t="s">
        <v>1924</v>
      </c>
    </row>
    <row r="208" spans="1:47">
      <c r="A208" s="436"/>
      <c r="B208" s="443">
        <v>18</v>
      </c>
      <c r="C208" s="447"/>
      <c r="D208" s="448" t="s">
        <v>2093</v>
      </c>
      <c r="E208" s="448" t="s">
        <v>1839</v>
      </c>
      <c r="F208" s="444" t="s">
        <v>133</v>
      </c>
      <c r="G208" s="416"/>
      <c r="H208" s="687">
        <v>34810</v>
      </c>
      <c r="I208" s="432" t="s">
        <v>1925</v>
      </c>
    </row>
    <row r="209" spans="1:9">
      <c r="A209" s="436"/>
      <c r="B209" s="443">
        <v>19</v>
      </c>
      <c r="C209" s="447"/>
      <c r="D209" s="614" t="s">
        <v>1803</v>
      </c>
      <c r="E209" s="614" t="s">
        <v>2148</v>
      </c>
      <c r="F209" s="444" t="s">
        <v>133</v>
      </c>
      <c r="G209" s="416"/>
      <c r="H209" s="687"/>
      <c r="I209" s="444"/>
    </row>
    <row r="210" spans="1:9">
      <c r="A210" s="436"/>
      <c r="B210" s="443">
        <v>20</v>
      </c>
      <c r="C210" s="447"/>
      <c r="D210" s="614" t="s">
        <v>1801</v>
      </c>
      <c r="E210" s="614" t="s">
        <v>1928</v>
      </c>
      <c r="F210" s="444" t="s">
        <v>133</v>
      </c>
      <c r="G210" s="416"/>
      <c r="H210" s="687">
        <v>36267</v>
      </c>
      <c r="I210" s="432" t="s">
        <v>1929</v>
      </c>
    </row>
    <row r="211" spans="1:9">
      <c r="A211" s="436"/>
      <c r="B211" s="443">
        <v>21</v>
      </c>
      <c r="C211" s="447"/>
      <c r="D211" s="448" t="s">
        <v>2112</v>
      </c>
      <c r="E211" s="448" t="s">
        <v>1810</v>
      </c>
      <c r="F211" s="444" t="s">
        <v>133</v>
      </c>
      <c r="G211" s="416"/>
      <c r="H211" s="687">
        <v>37166</v>
      </c>
      <c r="I211" s="432" t="s">
        <v>1930</v>
      </c>
    </row>
    <row r="212" spans="1:9">
      <c r="A212" s="436"/>
      <c r="B212" s="443">
        <v>22</v>
      </c>
      <c r="C212" s="447"/>
      <c r="D212" s="448" t="s">
        <v>2096</v>
      </c>
      <c r="E212" s="448" t="s">
        <v>1842</v>
      </c>
      <c r="F212" s="444" t="s">
        <v>133</v>
      </c>
      <c r="G212" s="416"/>
      <c r="H212" s="687">
        <v>36002</v>
      </c>
      <c r="I212" s="432" t="s">
        <v>1931</v>
      </c>
    </row>
    <row r="213" spans="1:9">
      <c r="A213" s="436"/>
      <c r="B213" s="443">
        <v>23</v>
      </c>
      <c r="C213" s="447"/>
      <c r="D213" s="614" t="s">
        <v>2130</v>
      </c>
      <c r="E213" s="614" t="s">
        <v>1932</v>
      </c>
      <c r="F213" s="444" t="s">
        <v>133</v>
      </c>
      <c r="G213" s="416"/>
      <c r="H213" s="687">
        <v>35533</v>
      </c>
      <c r="I213" s="432" t="s">
        <v>1933</v>
      </c>
    </row>
    <row r="214" spans="1:9">
      <c r="A214" s="436"/>
      <c r="B214" s="443">
        <v>24</v>
      </c>
      <c r="C214" s="447"/>
      <c r="D214" s="614" t="s">
        <v>2051</v>
      </c>
      <c r="E214" s="614" t="s">
        <v>2052</v>
      </c>
      <c r="F214" s="444" t="s">
        <v>133</v>
      </c>
      <c r="G214" s="416"/>
      <c r="H214" s="687"/>
      <c r="I214" s="444"/>
    </row>
    <row r="215" spans="1:9">
      <c r="A215" s="436"/>
      <c r="B215" s="443">
        <v>25</v>
      </c>
      <c r="C215" s="447"/>
      <c r="D215" s="448" t="s">
        <v>2092</v>
      </c>
      <c r="E215" s="448" t="s">
        <v>1814</v>
      </c>
      <c r="F215" s="444" t="s">
        <v>133</v>
      </c>
      <c r="G215" s="416"/>
      <c r="H215" s="687">
        <v>35752</v>
      </c>
      <c r="I215" s="432" t="s">
        <v>1934</v>
      </c>
    </row>
    <row r="216" spans="1:9">
      <c r="A216" s="436"/>
      <c r="B216" s="443">
        <v>26</v>
      </c>
      <c r="C216" s="447"/>
      <c r="D216" s="448" t="s">
        <v>2066</v>
      </c>
      <c r="E216" s="448" t="s">
        <v>1782</v>
      </c>
      <c r="F216" s="444" t="s">
        <v>133</v>
      </c>
      <c r="G216" s="416"/>
      <c r="H216" s="687">
        <v>36062</v>
      </c>
      <c r="I216" s="432" t="s">
        <v>1935</v>
      </c>
    </row>
    <row r="217" spans="1:9">
      <c r="A217" s="436"/>
      <c r="B217" s="443">
        <v>27</v>
      </c>
      <c r="C217" s="447"/>
      <c r="D217" s="614" t="s">
        <v>1791</v>
      </c>
      <c r="E217" s="614" t="s">
        <v>2022</v>
      </c>
      <c r="F217" s="444" t="s">
        <v>133</v>
      </c>
      <c r="G217" s="416"/>
      <c r="H217" s="687">
        <v>36491</v>
      </c>
      <c r="I217" s="432" t="s">
        <v>1936</v>
      </c>
    </row>
    <row r="218" spans="1:9">
      <c r="A218" s="436"/>
      <c r="B218" s="443">
        <v>28</v>
      </c>
      <c r="C218" s="447"/>
      <c r="D218" s="448" t="s">
        <v>2076</v>
      </c>
      <c r="E218" s="448" t="s">
        <v>1784</v>
      </c>
      <c r="F218" s="444" t="s">
        <v>133</v>
      </c>
      <c r="G218" s="416"/>
      <c r="H218" s="687">
        <v>37335</v>
      </c>
      <c r="I218" s="432" t="s">
        <v>1937</v>
      </c>
    </row>
    <row r="219" spans="1:9">
      <c r="A219" s="436"/>
      <c r="B219" s="443">
        <v>29</v>
      </c>
      <c r="C219" s="447"/>
      <c r="D219" s="448" t="s">
        <v>1822</v>
      </c>
      <c r="E219" s="448" t="s">
        <v>2023</v>
      </c>
      <c r="F219" s="444" t="s">
        <v>133</v>
      </c>
      <c r="G219" s="416"/>
      <c r="H219" s="687">
        <v>36507</v>
      </c>
      <c r="I219" s="432" t="s">
        <v>1938</v>
      </c>
    </row>
    <row r="220" spans="1:9">
      <c r="A220" s="436"/>
      <c r="B220" s="443">
        <v>30</v>
      </c>
      <c r="C220" s="447"/>
      <c r="D220" s="448" t="s">
        <v>2061</v>
      </c>
      <c r="E220" s="448" t="s">
        <v>1939</v>
      </c>
      <c r="F220" s="444" t="s">
        <v>133</v>
      </c>
      <c r="G220" s="416"/>
      <c r="H220" s="687">
        <v>36615</v>
      </c>
      <c r="I220" s="432" t="s">
        <v>1940</v>
      </c>
    </row>
    <row r="221" spans="1:9">
      <c r="A221" s="436"/>
      <c r="B221" s="443">
        <v>31</v>
      </c>
      <c r="C221" s="447"/>
      <c r="D221" s="448" t="s">
        <v>2109</v>
      </c>
      <c r="E221" s="448" t="s">
        <v>1805</v>
      </c>
      <c r="F221" s="444" t="s">
        <v>133</v>
      </c>
      <c r="G221" s="416"/>
      <c r="H221" s="687">
        <v>34700</v>
      </c>
      <c r="I221" s="432" t="s">
        <v>1941</v>
      </c>
    </row>
    <row r="222" spans="1:9">
      <c r="A222" s="436"/>
      <c r="B222" s="443">
        <v>32</v>
      </c>
      <c r="C222" s="447"/>
      <c r="D222" s="448" t="s">
        <v>2062</v>
      </c>
      <c r="E222" s="448" t="s">
        <v>1807</v>
      </c>
      <c r="F222" s="444" t="s">
        <v>133</v>
      </c>
      <c r="G222" s="416"/>
      <c r="H222" s="687" t="s">
        <v>1942</v>
      </c>
      <c r="I222" s="432" t="s">
        <v>1943</v>
      </c>
    </row>
    <row r="223" spans="1:9">
      <c r="A223" s="436"/>
      <c r="B223" s="443">
        <v>33</v>
      </c>
      <c r="C223" s="447"/>
      <c r="D223" s="448" t="s">
        <v>2045</v>
      </c>
      <c r="E223" s="448" t="s">
        <v>1825</v>
      </c>
      <c r="F223" s="444"/>
      <c r="G223" s="416"/>
      <c r="H223" s="687">
        <v>36060</v>
      </c>
      <c r="I223" s="432" t="s">
        <v>2335</v>
      </c>
    </row>
    <row r="224" spans="1:9">
      <c r="A224" s="436"/>
      <c r="B224" s="443">
        <v>34</v>
      </c>
      <c r="C224" s="447"/>
      <c r="D224" s="614" t="s">
        <v>1793</v>
      </c>
      <c r="E224" s="614" t="s">
        <v>1944</v>
      </c>
      <c r="F224" s="444" t="s">
        <v>133</v>
      </c>
      <c r="G224" s="416"/>
      <c r="H224" s="687">
        <v>36681</v>
      </c>
      <c r="I224" s="432" t="s">
        <v>1945</v>
      </c>
    </row>
    <row r="225" spans="1:9">
      <c r="A225" s="436"/>
      <c r="B225" s="443">
        <v>35</v>
      </c>
      <c r="C225" s="447"/>
      <c r="D225" s="448" t="s">
        <v>2084</v>
      </c>
      <c r="E225" s="448" t="s">
        <v>1821</v>
      </c>
      <c r="F225" s="444" t="s">
        <v>133</v>
      </c>
      <c r="G225" s="416"/>
      <c r="H225" s="687">
        <v>37313</v>
      </c>
      <c r="I225" s="432" t="s">
        <v>1946</v>
      </c>
    </row>
    <row r="226" spans="1:9">
      <c r="A226" s="436"/>
      <c r="B226" s="443">
        <v>36</v>
      </c>
      <c r="C226" s="447"/>
      <c r="D226" s="448" t="s">
        <v>2083</v>
      </c>
      <c r="E226" s="448" t="s">
        <v>1830</v>
      </c>
      <c r="F226" s="444" t="s">
        <v>133</v>
      </c>
      <c r="G226" s="416"/>
      <c r="H226" s="687">
        <v>38049</v>
      </c>
      <c r="I226" s="432" t="s">
        <v>1947</v>
      </c>
    </row>
    <row r="227" spans="1:9">
      <c r="A227" s="436"/>
      <c r="B227" s="443">
        <v>37</v>
      </c>
      <c r="C227" s="447"/>
      <c r="D227" s="614" t="s">
        <v>1787</v>
      </c>
      <c r="E227" s="614" t="s">
        <v>2121</v>
      </c>
      <c r="F227" s="444" t="s">
        <v>133</v>
      </c>
      <c r="G227" s="416"/>
      <c r="H227" s="687">
        <v>35152</v>
      </c>
      <c r="I227" s="432" t="s">
        <v>1948</v>
      </c>
    </row>
    <row r="228" spans="1:9">
      <c r="A228" s="436"/>
      <c r="B228" s="443">
        <v>38</v>
      </c>
      <c r="C228" s="447"/>
      <c r="D228" s="614" t="s">
        <v>1800</v>
      </c>
      <c r="E228" s="614" t="s">
        <v>2057</v>
      </c>
      <c r="F228" s="444" t="s">
        <v>133</v>
      </c>
      <c r="G228" s="416"/>
      <c r="H228" s="687"/>
      <c r="I228" s="444"/>
    </row>
    <row r="229" spans="1:9">
      <c r="A229" s="436"/>
      <c r="B229" s="443">
        <v>39</v>
      </c>
      <c r="C229" s="447"/>
      <c r="D229" s="448" t="s">
        <v>2069</v>
      </c>
      <c r="E229" s="448" t="s">
        <v>1949</v>
      </c>
      <c r="F229" s="444" t="s">
        <v>133</v>
      </c>
      <c r="G229" s="416"/>
      <c r="H229" s="687">
        <v>35239</v>
      </c>
      <c r="I229" s="432" t="s">
        <v>1950</v>
      </c>
    </row>
    <row r="230" spans="1:9">
      <c r="A230" s="436"/>
      <c r="B230" s="443">
        <v>40</v>
      </c>
      <c r="C230" s="447"/>
      <c r="D230" s="448" t="s">
        <v>2116</v>
      </c>
      <c r="E230" s="448" t="s">
        <v>1811</v>
      </c>
      <c r="F230" s="444" t="s">
        <v>133</v>
      </c>
      <c r="G230" s="416"/>
      <c r="H230" s="687">
        <v>35614</v>
      </c>
      <c r="I230" s="432" t="s">
        <v>1951</v>
      </c>
    </row>
    <row r="231" spans="1:9">
      <c r="A231" s="436"/>
      <c r="B231" s="443">
        <v>41</v>
      </c>
      <c r="C231" s="447"/>
      <c r="D231" s="614" t="s">
        <v>2046</v>
      </c>
      <c r="E231" s="447" t="s">
        <v>1818</v>
      </c>
      <c r="F231" s="444" t="s">
        <v>133</v>
      </c>
      <c r="G231" s="416"/>
      <c r="H231" s="687">
        <v>36467</v>
      </c>
      <c r="I231" s="432" t="s">
        <v>2009</v>
      </c>
    </row>
    <row r="232" spans="1:9">
      <c r="A232" s="436"/>
      <c r="B232" s="443">
        <v>42</v>
      </c>
      <c r="C232" s="447"/>
      <c r="D232" s="614" t="s">
        <v>2128</v>
      </c>
      <c r="E232" s="614" t="s">
        <v>1952</v>
      </c>
      <c r="F232" s="444" t="s">
        <v>133</v>
      </c>
      <c r="G232" s="416"/>
      <c r="H232" s="687">
        <v>35194</v>
      </c>
      <c r="I232" s="432" t="s">
        <v>1953</v>
      </c>
    </row>
    <row r="233" spans="1:9">
      <c r="A233" s="436"/>
      <c r="B233" s="443">
        <v>43</v>
      </c>
      <c r="C233" s="447"/>
      <c r="D233" s="614" t="s">
        <v>2124</v>
      </c>
      <c r="E233" s="614" t="s">
        <v>1954</v>
      </c>
      <c r="F233" s="444" t="s">
        <v>133</v>
      </c>
      <c r="G233" s="416"/>
      <c r="H233" s="687">
        <v>36822</v>
      </c>
      <c r="I233" s="432" t="s">
        <v>1955</v>
      </c>
    </row>
    <row r="234" spans="1:9">
      <c r="A234" s="436"/>
      <c r="B234" s="443">
        <v>44</v>
      </c>
      <c r="C234" s="447"/>
      <c r="D234" s="614" t="s">
        <v>2125</v>
      </c>
      <c r="E234" s="614" t="s">
        <v>1956</v>
      </c>
      <c r="F234" s="444" t="s">
        <v>133</v>
      </c>
      <c r="G234" s="416"/>
      <c r="H234" s="687">
        <v>34446</v>
      </c>
      <c r="I234" s="432" t="s">
        <v>1957</v>
      </c>
    </row>
    <row r="235" spans="1:9">
      <c r="A235" s="436"/>
      <c r="B235" s="443">
        <v>45</v>
      </c>
      <c r="C235" s="447"/>
      <c r="D235" s="448" t="s">
        <v>1820</v>
      </c>
      <c r="E235" s="448" t="s">
        <v>1820</v>
      </c>
      <c r="F235" s="444" t="s">
        <v>133</v>
      </c>
      <c r="G235" s="416"/>
      <c r="H235" s="687">
        <v>36931</v>
      </c>
      <c r="I235" s="432" t="s">
        <v>1958</v>
      </c>
    </row>
    <row r="236" spans="1:9">
      <c r="A236" s="436"/>
      <c r="B236" s="443">
        <v>46</v>
      </c>
      <c r="C236" s="447"/>
      <c r="D236" s="448" t="s">
        <v>2115</v>
      </c>
      <c r="E236" s="448" t="s">
        <v>1812</v>
      </c>
      <c r="F236" s="444" t="s">
        <v>133</v>
      </c>
      <c r="G236" s="416"/>
      <c r="H236" s="687">
        <v>35659</v>
      </c>
      <c r="I236" s="432" t="s">
        <v>1959</v>
      </c>
    </row>
    <row r="237" spans="1:9">
      <c r="A237" s="436"/>
      <c r="B237" s="443">
        <v>47</v>
      </c>
      <c r="C237" s="447"/>
      <c r="D237" s="448" t="s">
        <v>2101</v>
      </c>
      <c r="E237" s="448" t="s">
        <v>1833</v>
      </c>
      <c r="F237" s="444" t="s">
        <v>133</v>
      </c>
      <c r="G237" s="416"/>
      <c r="H237" s="687">
        <v>37442</v>
      </c>
      <c r="I237" s="432" t="s">
        <v>1960</v>
      </c>
    </row>
    <row r="238" spans="1:9">
      <c r="A238" s="436"/>
      <c r="B238" s="443">
        <v>48</v>
      </c>
      <c r="C238" s="447"/>
      <c r="D238" s="614" t="s">
        <v>2142</v>
      </c>
      <c r="E238" s="447" t="s">
        <v>2026</v>
      </c>
      <c r="F238" s="616" t="s">
        <v>133</v>
      </c>
      <c r="G238" s="416"/>
      <c r="H238" s="687">
        <v>35213</v>
      </c>
      <c r="I238" s="432" t="s">
        <v>2027</v>
      </c>
    </row>
    <row r="239" spans="1:9">
      <c r="A239" s="436"/>
      <c r="B239" s="443">
        <v>49</v>
      </c>
      <c r="C239" s="447"/>
      <c r="D239" s="448" t="s">
        <v>1607</v>
      </c>
      <c r="E239" s="448" t="s">
        <v>1607</v>
      </c>
      <c r="F239" s="415" t="s">
        <v>133</v>
      </c>
      <c r="G239" s="615"/>
      <c r="H239" s="687"/>
      <c r="I239" s="415"/>
    </row>
    <row r="240" spans="1:9">
      <c r="A240" s="436"/>
      <c r="B240" s="443">
        <v>50</v>
      </c>
      <c r="C240" s="447"/>
      <c r="D240" s="614" t="s">
        <v>1847</v>
      </c>
      <c r="E240" s="614" t="s">
        <v>1961</v>
      </c>
      <c r="F240" s="444" t="s">
        <v>133</v>
      </c>
      <c r="G240" s="416"/>
      <c r="H240" s="687">
        <v>36633</v>
      </c>
      <c r="I240" s="432" t="s">
        <v>1962</v>
      </c>
    </row>
    <row r="241" spans="1:9">
      <c r="A241" s="436"/>
      <c r="B241" s="443">
        <v>51</v>
      </c>
      <c r="C241" s="447"/>
      <c r="D241" s="614" t="s">
        <v>1786</v>
      </c>
      <c r="E241" s="614" t="s">
        <v>1963</v>
      </c>
      <c r="F241" s="444" t="s">
        <v>133</v>
      </c>
      <c r="G241" s="416"/>
      <c r="H241" s="687">
        <v>34868</v>
      </c>
      <c r="I241" s="432" t="s">
        <v>1964</v>
      </c>
    </row>
    <row r="242" spans="1:9">
      <c r="A242" s="436"/>
      <c r="B242" s="443">
        <v>52</v>
      </c>
      <c r="C242" s="447"/>
      <c r="D242" s="448" t="s">
        <v>2081</v>
      </c>
      <c r="E242" s="448" t="s">
        <v>1823</v>
      </c>
      <c r="F242" s="444" t="s">
        <v>133</v>
      </c>
      <c r="G242" s="416"/>
      <c r="H242" s="687">
        <v>37349</v>
      </c>
      <c r="I242" s="432" t="s">
        <v>1965</v>
      </c>
    </row>
    <row r="243" spans="1:9">
      <c r="A243" s="436"/>
      <c r="B243" s="443">
        <v>53</v>
      </c>
      <c r="C243" s="447"/>
      <c r="D243" s="448" t="s">
        <v>2086</v>
      </c>
      <c r="E243" s="448" t="s">
        <v>1816</v>
      </c>
      <c r="F243" s="444" t="s">
        <v>133</v>
      </c>
      <c r="G243" s="416"/>
      <c r="H243" s="687"/>
      <c r="I243" s="444"/>
    </row>
    <row r="244" spans="1:9">
      <c r="A244" s="436"/>
      <c r="B244" s="443">
        <v>54</v>
      </c>
      <c r="C244" s="447"/>
      <c r="D244" s="448" t="s">
        <v>2091</v>
      </c>
      <c r="E244" s="448" t="s">
        <v>1780</v>
      </c>
      <c r="F244" s="444" t="s">
        <v>133</v>
      </c>
      <c r="G244" s="416"/>
      <c r="H244" s="687">
        <v>33972</v>
      </c>
      <c r="I244" s="432" t="s">
        <v>1966</v>
      </c>
    </row>
    <row r="245" spans="1:9">
      <c r="A245" s="436"/>
      <c r="B245" s="443">
        <v>55</v>
      </c>
      <c r="C245" s="447"/>
      <c r="D245" s="614" t="s">
        <v>2146</v>
      </c>
      <c r="E245" s="614" t="s">
        <v>2036</v>
      </c>
      <c r="F245" s="616" t="s">
        <v>133</v>
      </c>
      <c r="G245" s="416"/>
      <c r="H245" s="687">
        <v>36488</v>
      </c>
      <c r="I245" s="432" t="s">
        <v>2037</v>
      </c>
    </row>
    <row r="246" spans="1:9">
      <c r="A246" s="436"/>
      <c r="B246" s="443">
        <v>56</v>
      </c>
      <c r="C246" s="447"/>
      <c r="D246" s="448" t="s">
        <v>2085</v>
      </c>
      <c r="E246" s="448" t="s">
        <v>1837</v>
      </c>
      <c r="F246" s="444" t="s">
        <v>133</v>
      </c>
      <c r="G246" s="416"/>
      <c r="H246" s="687">
        <v>36076</v>
      </c>
      <c r="I246" s="432" t="s">
        <v>1967</v>
      </c>
    </row>
    <row r="247" spans="1:9">
      <c r="A247" s="436"/>
      <c r="B247" s="443">
        <v>57</v>
      </c>
      <c r="C247" s="447"/>
      <c r="D247" s="614" t="s">
        <v>1798</v>
      </c>
      <c r="E247" s="614" t="s">
        <v>2024</v>
      </c>
      <c r="F247" s="444" t="s">
        <v>133</v>
      </c>
      <c r="G247" s="416"/>
      <c r="H247" s="687"/>
      <c r="I247" s="444"/>
    </row>
    <row r="248" spans="1:9">
      <c r="A248" s="436"/>
      <c r="B248" s="443">
        <v>58</v>
      </c>
      <c r="C248" s="447"/>
      <c r="D248" s="448" t="s">
        <v>1828</v>
      </c>
      <c r="E248" s="448" t="s">
        <v>1828</v>
      </c>
      <c r="F248" s="444" t="s">
        <v>133</v>
      </c>
      <c r="G248" s="416"/>
      <c r="H248" s="687">
        <v>36551</v>
      </c>
      <c r="I248" s="432" t="s">
        <v>1968</v>
      </c>
    </row>
    <row r="249" spans="1:9">
      <c r="A249" s="436"/>
      <c r="B249" s="443">
        <v>59</v>
      </c>
      <c r="C249" s="447"/>
      <c r="D249" s="448" t="s">
        <v>2149</v>
      </c>
      <c r="E249" s="447" t="s">
        <v>2018</v>
      </c>
      <c r="F249" s="617" t="s">
        <v>133</v>
      </c>
      <c r="G249" s="416"/>
      <c r="H249" s="687">
        <v>37451</v>
      </c>
      <c r="I249" s="432" t="s">
        <v>2019</v>
      </c>
    </row>
    <row r="250" spans="1:9">
      <c r="A250" s="436"/>
      <c r="B250" s="443">
        <v>60</v>
      </c>
      <c r="C250" s="447"/>
      <c r="D250" s="448" t="s">
        <v>2090</v>
      </c>
      <c r="E250" s="448" t="s">
        <v>1813</v>
      </c>
      <c r="F250" s="444" t="s">
        <v>133</v>
      </c>
      <c r="G250" s="416"/>
      <c r="H250" s="687">
        <v>34228</v>
      </c>
      <c r="I250" s="432" t="s">
        <v>1969</v>
      </c>
    </row>
    <row r="251" spans="1:9">
      <c r="A251" s="436"/>
      <c r="B251" s="443">
        <v>61</v>
      </c>
      <c r="C251" s="447"/>
      <c r="D251" s="448" t="s">
        <v>2065</v>
      </c>
      <c r="E251" s="448" t="s">
        <v>1841</v>
      </c>
      <c r="F251" s="444" t="s">
        <v>133</v>
      </c>
      <c r="G251" s="416"/>
      <c r="H251" s="687">
        <v>35101</v>
      </c>
      <c r="I251" s="432" t="s">
        <v>1970</v>
      </c>
    </row>
    <row r="252" spans="1:9">
      <c r="A252" s="436"/>
      <c r="B252" s="443">
        <v>62</v>
      </c>
      <c r="C252" s="447"/>
      <c r="D252" s="448" t="s">
        <v>2110</v>
      </c>
      <c r="E252" s="448" t="s">
        <v>1804</v>
      </c>
      <c r="F252" s="444" t="s">
        <v>133</v>
      </c>
      <c r="G252" s="416"/>
      <c r="H252" s="687">
        <v>37367</v>
      </c>
      <c r="I252" s="432" t="s">
        <v>1971</v>
      </c>
    </row>
    <row r="253" spans="1:9">
      <c r="A253" s="436"/>
      <c r="B253" s="443">
        <v>63</v>
      </c>
      <c r="C253" s="447"/>
      <c r="D253" s="448" t="s">
        <v>2094</v>
      </c>
      <c r="E253" s="448" t="s">
        <v>1779</v>
      </c>
      <c r="F253" s="444" t="s">
        <v>133</v>
      </c>
      <c r="G253" s="416"/>
      <c r="H253" s="687">
        <v>35757</v>
      </c>
      <c r="I253" s="432" t="s">
        <v>1972</v>
      </c>
    </row>
    <row r="254" spans="1:9">
      <c r="A254" s="436"/>
      <c r="B254" s="443">
        <v>64</v>
      </c>
      <c r="C254" s="447"/>
      <c r="D254" s="448" t="s">
        <v>2104</v>
      </c>
      <c r="E254" s="448" t="s">
        <v>1840</v>
      </c>
      <c r="F254" s="444" t="s">
        <v>133</v>
      </c>
      <c r="G254" s="416"/>
      <c r="H254" s="687">
        <v>37058</v>
      </c>
      <c r="I254" s="432" t="s">
        <v>1973</v>
      </c>
    </row>
    <row r="255" spans="1:9">
      <c r="A255" s="436"/>
      <c r="B255" s="443">
        <v>65</v>
      </c>
      <c r="C255" s="447"/>
      <c r="D255" s="448" t="s">
        <v>2063</v>
      </c>
      <c r="E255" s="448" t="s">
        <v>1827</v>
      </c>
      <c r="F255" s="444" t="s">
        <v>133</v>
      </c>
      <c r="G255" s="416"/>
      <c r="H255" s="687"/>
      <c r="I255" s="444"/>
    </row>
    <row r="256" spans="1:9">
      <c r="A256" s="436"/>
      <c r="B256" s="443">
        <v>66</v>
      </c>
      <c r="C256" s="447"/>
      <c r="D256" s="448" t="s">
        <v>2108</v>
      </c>
      <c r="E256" s="448" t="s">
        <v>1819</v>
      </c>
      <c r="F256" s="444" t="s">
        <v>133</v>
      </c>
      <c r="G256" s="416"/>
      <c r="H256" s="687">
        <v>37172</v>
      </c>
      <c r="I256" s="432" t="s">
        <v>1974</v>
      </c>
    </row>
    <row r="257" spans="1:47">
      <c r="A257" s="436"/>
      <c r="B257" s="443">
        <v>67</v>
      </c>
      <c r="C257" s="447"/>
      <c r="D257" s="614" t="s">
        <v>1802</v>
      </c>
      <c r="E257" s="614" t="s">
        <v>2025</v>
      </c>
      <c r="F257" s="444" t="s">
        <v>133</v>
      </c>
      <c r="G257" s="416"/>
      <c r="H257" s="687">
        <v>35355</v>
      </c>
      <c r="I257" s="432" t="s">
        <v>1975</v>
      </c>
    </row>
    <row r="258" spans="1:47">
      <c r="A258" s="436"/>
      <c r="B258" s="443">
        <v>68</v>
      </c>
      <c r="C258" s="447"/>
      <c r="D258" s="448" t="s">
        <v>2080</v>
      </c>
      <c r="E258" s="448" t="s">
        <v>1829</v>
      </c>
      <c r="F258" s="444" t="s">
        <v>133</v>
      </c>
      <c r="G258" s="416"/>
      <c r="H258" s="687">
        <v>35924</v>
      </c>
      <c r="I258" s="432" t="s">
        <v>1976</v>
      </c>
    </row>
    <row r="259" spans="1:47">
      <c r="A259" s="436"/>
      <c r="B259" s="443">
        <v>69</v>
      </c>
      <c r="C259" s="447"/>
      <c r="D259" s="448" t="s">
        <v>2103</v>
      </c>
      <c r="E259" s="448" t="s">
        <v>1844</v>
      </c>
      <c r="F259" s="444" t="s">
        <v>133</v>
      </c>
      <c r="G259" s="416"/>
      <c r="H259" s="687">
        <v>37050</v>
      </c>
      <c r="I259" s="432" t="s">
        <v>1977</v>
      </c>
    </row>
    <row r="260" spans="1:47">
      <c r="A260" s="436"/>
      <c r="B260" s="443">
        <v>70</v>
      </c>
      <c r="C260" s="447"/>
      <c r="D260" s="614" t="s">
        <v>1790</v>
      </c>
      <c r="E260" s="614" t="s">
        <v>1978</v>
      </c>
      <c r="F260" s="444" t="s">
        <v>133</v>
      </c>
      <c r="G260" s="416"/>
      <c r="H260" s="687">
        <v>36979</v>
      </c>
      <c r="I260" s="432" t="s">
        <v>1979</v>
      </c>
    </row>
    <row r="261" spans="1:47">
      <c r="A261" s="436"/>
      <c r="B261" s="443">
        <v>71</v>
      </c>
      <c r="C261" s="447"/>
      <c r="D261" s="448" t="s">
        <v>2099</v>
      </c>
      <c r="E261" s="448" t="s">
        <v>1831</v>
      </c>
      <c r="F261" s="444" t="s">
        <v>133</v>
      </c>
      <c r="G261" s="416"/>
      <c r="H261" s="687"/>
      <c r="I261" s="444"/>
    </row>
    <row r="262" spans="1:47">
      <c r="A262" s="436"/>
      <c r="B262" s="443">
        <v>72</v>
      </c>
      <c r="C262" s="447"/>
      <c r="D262" s="614" t="s">
        <v>1789</v>
      </c>
      <c r="E262" s="614" t="s">
        <v>1789</v>
      </c>
      <c r="F262" s="444" t="s">
        <v>133</v>
      </c>
      <c r="G262" s="416"/>
      <c r="H262" s="687"/>
      <c r="I262" s="444"/>
    </row>
    <row r="263" spans="1:47">
      <c r="A263" s="436"/>
      <c r="B263" s="443">
        <v>73</v>
      </c>
      <c r="C263" s="447"/>
      <c r="D263" s="448" t="s">
        <v>1622</v>
      </c>
      <c r="E263" s="448" t="s">
        <v>1845</v>
      </c>
      <c r="F263" s="444" t="s">
        <v>133</v>
      </c>
      <c r="G263" s="416"/>
      <c r="H263" s="687"/>
      <c r="I263" s="444"/>
    </row>
    <row r="264" spans="1:47">
      <c r="A264" s="436"/>
      <c r="B264" s="443">
        <v>74</v>
      </c>
      <c r="C264" s="447"/>
      <c r="D264" s="614" t="s">
        <v>2127</v>
      </c>
      <c r="E264" s="614" t="s">
        <v>1980</v>
      </c>
      <c r="F264" s="444" t="s">
        <v>133</v>
      </c>
      <c r="G264" s="416"/>
      <c r="H264" s="687">
        <v>37191</v>
      </c>
      <c r="I264" s="432" t="s">
        <v>1981</v>
      </c>
    </row>
    <row r="265" spans="1:47">
      <c r="A265" s="436"/>
      <c r="B265" s="443">
        <v>75</v>
      </c>
      <c r="C265" s="447"/>
      <c r="D265" s="614" t="s">
        <v>1799</v>
      </c>
      <c r="E265" s="447" t="s">
        <v>2012</v>
      </c>
      <c r="F265" s="444" t="s">
        <v>133</v>
      </c>
      <c r="G265" s="416"/>
      <c r="H265" s="687">
        <v>35125</v>
      </c>
      <c r="I265" s="432" t="s">
        <v>2013</v>
      </c>
    </row>
    <row r="266" spans="1:47">
      <c r="A266" s="436"/>
      <c r="B266" s="443">
        <v>76</v>
      </c>
      <c r="C266" s="447"/>
      <c r="D266" s="614" t="s">
        <v>2129</v>
      </c>
      <c r="E266" s="614" t="s">
        <v>2056</v>
      </c>
      <c r="F266" s="444" t="s">
        <v>133</v>
      </c>
      <c r="G266" s="416"/>
      <c r="H266" s="687"/>
      <c r="I266" s="444"/>
    </row>
    <row r="267" spans="1:47">
      <c r="A267" s="436"/>
      <c r="B267" s="443">
        <v>77</v>
      </c>
      <c r="C267" s="447"/>
      <c r="D267" s="448" t="s">
        <v>2088</v>
      </c>
      <c r="E267" s="448" t="s">
        <v>1982</v>
      </c>
      <c r="F267" s="444" t="s">
        <v>133</v>
      </c>
      <c r="G267" s="416"/>
      <c r="H267" s="687">
        <v>36903</v>
      </c>
      <c r="I267" s="432" t="s">
        <v>1983</v>
      </c>
    </row>
    <row r="268" spans="1:47">
      <c r="A268" s="436"/>
      <c r="B268" s="443">
        <v>78</v>
      </c>
      <c r="C268" s="447"/>
      <c r="D268" s="614" t="s">
        <v>2122</v>
      </c>
      <c r="E268" s="614" t="s">
        <v>1797</v>
      </c>
      <c r="F268" s="415" t="s">
        <v>133</v>
      </c>
      <c r="G268" s="615"/>
      <c r="H268" s="687"/>
      <c r="I268" s="415"/>
    </row>
    <row r="269" spans="1:47" s="453" customFormat="1">
      <c r="A269" s="436"/>
      <c r="B269" s="443">
        <v>79</v>
      </c>
      <c r="C269" s="447"/>
      <c r="D269" s="448" t="s">
        <v>2068</v>
      </c>
      <c r="E269" s="448" t="s">
        <v>1836</v>
      </c>
      <c r="F269" s="444" t="s">
        <v>133</v>
      </c>
      <c r="G269" s="416"/>
      <c r="H269" s="687">
        <v>36745</v>
      </c>
      <c r="I269" s="432" t="s">
        <v>1986</v>
      </c>
      <c r="AQ269" s="534"/>
    </row>
    <row r="270" spans="1:47">
      <c r="A270" s="562"/>
      <c r="B270" s="443">
        <v>80</v>
      </c>
      <c r="C270" s="642"/>
      <c r="D270" s="649" t="s">
        <v>2126</v>
      </c>
      <c r="E270" s="614" t="s">
        <v>1792</v>
      </c>
      <c r="F270" s="444" t="s">
        <v>133</v>
      </c>
      <c r="G270" s="416"/>
      <c r="H270" s="687">
        <v>37441</v>
      </c>
      <c r="I270" s="432" t="s">
        <v>1987</v>
      </c>
    </row>
    <row r="271" spans="1:47">
      <c r="A271" s="562"/>
      <c r="B271" s="443">
        <v>81</v>
      </c>
      <c r="C271" s="447"/>
      <c r="D271" s="614" t="s">
        <v>1794</v>
      </c>
      <c r="E271" s="614" t="s">
        <v>2054</v>
      </c>
      <c r="F271" s="444" t="s">
        <v>133</v>
      </c>
      <c r="G271" s="416"/>
      <c r="H271" s="687"/>
      <c r="I271" s="444"/>
    </row>
    <row r="272" spans="1:47" s="489" customFormat="1">
      <c r="A272" s="554"/>
      <c r="B272" s="443">
        <v>82</v>
      </c>
      <c r="C272" s="447"/>
      <c r="D272" s="614" t="s">
        <v>2131</v>
      </c>
      <c r="E272" s="614" t="s">
        <v>2055</v>
      </c>
      <c r="F272" s="444" t="s">
        <v>133</v>
      </c>
      <c r="G272" s="416"/>
      <c r="H272" s="687"/>
      <c r="I272" s="444"/>
      <c r="J272" s="436"/>
      <c r="K272" s="436"/>
      <c r="L272" s="436"/>
      <c r="M272" s="436"/>
      <c r="N272" s="436"/>
      <c r="O272" s="436"/>
      <c r="P272" s="436"/>
      <c r="Q272" s="436"/>
      <c r="R272" s="436"/>
      <c r="S272" s="436"/>
      <c r="T272" s="436"/>
      <c r="U272" s="436"/>
      <c r="V272" s="436"/>
      <c r="W272" s="436"/>
      <c r="X272" s="436"/>
      <c r="Y272" s="436"/>
      <c r="Z272" s="436"/>
      <c r="AA272" s="436"/>
      <c r="AB272" s="436"/>
      <c r="AC272" s="436"/>
      <c r="AD272" s="436"/>
      <c r="AE272" s="436"/>
      <c r="AF272" s="436"/>
      <c r="AG272" s="436"/>
      <c r="AH272" s="436"/>
      <c r="AI272" s="436"/>
      <c r="AJ272" s="436"/>
      <c r="AK272" s="436"/>
      <c r="AL272" s="436"/>
      <c r="AM272" s="436"/>
      <c r="AN272" s="436"/>
      <c r="AO272" s="436"/>
      <c r="AP272" s="436"/>
      <c r="AQ272" s="414"/>
      <c r="AR272" s="436"/>
      <c r="AS272" s="436"/>
      <c r="AT272" s="436"/>
      <c r="AU272" s="436"/>
    </row>
    <row r="273" spans="1:1022 1025:2046 2049:3070 3073:4094 4097:5118 5121:6142 6145:7166 7169:8190 8193:9214 9217:10238 10241:11262 11265:12286 12289:13310 13313:14334 14337:15358 15361:16381" s="445" customFormat="1">
      <c r="A273" s="489"/>
      <c r="B273" s="443">
        <v>83</v>
      </c>
      <c r="C273" s="447"/>
      <c r="D273" s="448" t="s">
        <v>2089</v>
      </c>
      <c r="E273" s="448" t="s">
        <v>1806</v>
      </c>
      <c r="F273" s="444" t="s">
        <v>133</v>
      </c>
      <c r="G273" s="416"/>
      <c r="H273" s="687">
        <v>35584</v>
      </c>
      <c r="I273" s="432" t="s">
        <v>1988</v>
      </c>
      <c r="J273" s="436"/>
      <c r="K273" s="436"/>
      <c r="L273" s="436"/>
      <c r="M273" s="436"/>
      <c r="N273" s="436"/>
      <c r="O273" s="436"/>
      <c r="P273" s="436"/>
      <c r="Q273" s="436"/>
      <c r="R273" s="436"/>
      <c r="S273" s="436"/>
      <c r="T273" s="436"/>
      <c r="U273" s="436"/>
      <c r="V273" s="436"/>
      <c r="W273" s="436"/>
      <c r="X273" s="436"/>
      <c r="Y273" s="436"/>
      <c r="Z273" s="436"/>
      <c r="AA273" s="436"/>
      <c r="AB273" s="436"/>
      <c r="AC273" s="436"/>
      <c r="AD273" s="436"/>
      <c r="AE273" s="436"/>
      <c r="AF273" s="436"/>
      <c r="AG273" s="436"/>
      <c r="AH273" s="436"/>
      <c r="AI273" s="436"/>
      <c r="AJ273" s="436"/>
      <c r="AK273" s="436"/>
      <c r="AL273" s="436"/>
      <c r="AM273" s="436"/>
      <c r="AN273" s="436"/>
      <c r="AO273" s="436"/>
      <c r="AP273" s="436"/>
      <c r="AQ273" s="414"/>
      <c r="AR273" s="436"/>
      <c r="AS273" s="436"/>
      <c r="AT273" s="436"/>
      <c r="AU273" s="436"/>
    </row>
    <row r="274" spans="1:1022 1025:2046 2049:3070 3073:4094 4097:5118 5121:6142 6145:7166 7169:8190 8193:9214 9217:10238 10241:11262 11265:12286 12289:13310 13313:14334 14337:15358 15361:16381">
      <c r="B274" s="443">
        <v>84</v>
      </c>
      <c r="C274" s="447"/>
      <c r="D274" s="448" t="s">
        <v>2098</v>
      </c>
      <c r="E274" s="448" t="s">
        <v>1832</v>
      </c>
      <c r="F274" s="444" t="s">
        <v>133</v>
      </c>
      <c r="G274" s="416"/>
      <c r="H274" s="687">
        <v>36342</v>
      </c>
      <c r="I274" s="432" t="s">
        <v>1989</v>
      </c>
    </row>
    <row r="275" spans="1:1022 1025:2046 2049:3070 3073:4094 4097:5118 5121:6142 6145:7166 7169:8190 8193:9214 9217:10238 10241:11262 11265:12286 12289:13310 13313:14334 14337:15358 15361:16381">
      <c r="B275" s="443">
        <v>85</v>
      </c>
      <c r="C275" s="447"/>
      <c r="D275" s="614" t="s">
        <v>2123</v>
      </c>
      <c r="E275" s="614" t="s">
        <v>1990</v>
      </c>
      <c r="F275" s="415" t="s">
        <v>133</v>
      </c>
      <c r="G275" s="615"/>
      <c r="H275" s="687">
        <v>35625</v>
      </c>
      <c r="I275" s="625" t="s">
        <v>1991</v>
      </c>
    </row>
    <row r="276" spans="1:1022 1025:2046 2049:3070 3073:4094 4097:5118 5121:6142 6145:7166 7169:8190 8193:9214 9217:10238 10241:11262 11265:12286 12289:13310 13313:14334 14337:15358 15361:16381" s="453" customFormat="1">
      <c r="A276" s="445"/>
      <c r="B276" s="443">
        <v>86</v>
      </c>
      <c r="C276" s="447"/>
      <c r="D276" s="448" t="s">
        <v>2117</v>
      </c>
      <c r="E276" s="448" t="s">
        <v>1846</v>
      </c>
      <c r="F276" s="444" t="s">
        <v>133</v>
      </c>
      <c r="G276" s="416"/>
      <c r="H276" s="687"/>
      <c r="I276" s="444"/>
      <c r="J276" s="436"/>
      <c r="AQ276" s="534"/>
    </row>
    <row r="277" spans="1:1022 1025:2046 2049:3070 3073:4094 4097:5118 5121:6142 6145:7166 7169:8190 8193:9214 9217:10238 10241:11262 11265:12286 12289:13310 13313:14334 14337:15358 15361:16381">
      <c r="A277" s="632"/>
      <c r="B277" s="443">
        <v>87</v>
      </c>
      <c r="C277" s="447"/>
      <c r="D277" s="448" t="s">
        <v>2077</v>
      </c>
      <c r="E277" s="448" t="s">
        <v>1817</v>
      </c>
      <c r="F277" s="535"/>
      <c r="G277" s="447"/>
      <c r="H277" s="687"/>
      <c r="I277" s="535"/>
    </row>
    <row r="278" spans="1:1022 1025:2046 2049:3070 3073:4094 4097:5118 5121:6142 6145:7166 7169:8190 8193:9214 9217:10238 10241:11262 11265:12286 12289:13310 13313:14334 14337:15358 15361:16381">
      <c r="B278" s="443">
        <v>88</v>
      </c>
      <c r="C278" s="447"/>
      <c r="D278" s="614" t="s">
        <v>2132</v>
      </c>
      <c r="E278" s="614" t="s">
        <v>1992</v>
      </c>
      <c r="F278" s="444" t="s">
        <v>133</v>
      </c>
      <c r="G278" s="416"/>
      <c r="H278" s="687">
        <v>34089</v>
      </c>
      <c r="I278" s="432" t="s">
        <v>1993</v>
      </c>
    </row>
    <row r="279" spans="1:1022 1025:2046 2049:3070 3073:4094 4097:5118 5121:6142 6145:7166 7169:8190 8193:9214 9217:10238 10241:11262 11265:12286 12289:13310 13313:14334 14337:15358 15361:16381">
      <c r="B279" s="443">
        <v>89</v>
      </c>
      <c r="C279" s="447"/>
      <c r="D279" s="614" t="s">
        <v>1613</v>
      </c>
      <c r="E279" s="447" t="s">
        <v>1994</v>
      </c>
      <c r="F279" s="444" t="s">
        <v>133</v>
      </c>
      <c r="G279" s="416"/>
      <c r="H279" s="687"/>
      <c r="I279" s="444"/>
      <c r="AW279" s="445"/>
      <c r="AX279" s="414"/>
      <c r="BA279" s="445"/>
      <c r="BB279" s="414"/>
      <c r="BE279" s="445"/>
      <c r="BF279" s="414"/>
      <c r="BI279" s="445"/>
      <c r="BJ279" s="414"/>
      <c r="BM279" s="445"/>
      <c r="BN279" s="414"/>
      <c r="BQ279" s="445"/>
      <c r="BR279" s="414"/>
      <c r="BU279" s="445"/>
      <c r="BV279" s="414"/>
      <c r="BY279" s="445"/>
      <c r="BZ279" s="414"/>
      <c r="CC279" s="445"/>
      <c r="CD279" s="414"/>
      <c r="CG279" s="445"/>
      <c r="CH279" s="414"/>
      <c r="CK279" s="445"/>
      <c r="CL279" s="414"/>
      <c r="CO279" s="445"/>
      <c r="CP279" s="414"/>
      <c r="CS279" s="445"/>
      <c r="CT279" s="414"/>
      <c r="CW279" s="445"/>
      <c r="CX279" s="414"/>
      <c r="DA279" s="445"/>
      <c r="DB279" s="414"/>
      <c r="DE279" s="445"/>
      <c r="DF279" s="414"/>
      <c r="DI279" s="445"/>
      <c r="DJ279" s="414"/>
      <c r="DM279" s="445"/>
      <c r="DN279" s="414"/>
      <c r="DQ279" s="445"/>
      <c r="DR279" s="414"/>
      <c r="DU279" s="445"/>
      <c r="DV279" s="414"/>
      <c r="DY279" s="445"/>
      <c r="DZ279" s="414"/>
      <c r="EC279" s="445"/>
      <c r="ED279" s="414"/>
      <c r="EG279" s="445"/>
      <c r="EH279" s="414"/>
      <c r="EK279" s="445"/>
      <c r="EL279" s="414"/>
      <c r="EO279" s="445"/>
      <c r="EP279" s="414"/>
      <c r="ES279" s="445"/>
      <c r="ET279" s="414"/>
      <c r="EW279" s="445"/>
      <c r="EX279" s="414"/>
      <c r="FA279" s="445"/>
      <c r="FB279" s="414"/>
      <c r="FE279" s="445"/>
      <c r="FF279" s="414"/>
      <c r="FI279" s="445"/>
      <c r="FJ279" s="414"/>
      <c r="FM279" s="445"/>
      <c r="FN279" s="414"/>
      <c r="FQ279" s="445"/>
      <c r="FR279" s="414"/>
      <c r="FU279" s="445"/>
      <c r="FV279" s="414"/>
      <c r="FY279" s="445"/>
      <c r="FZ279" s="414"/>
      <c r="GC279" s="445"/>
      <c r="GD279" s="414"/>
      <c r="GG279" s="445"/>
      <c r="GH279" s="414"/>
      <c r="GK279" s="445"/>
      <c r="GL279" s="414"/>
      <c r="GO279" s="445"/>
      <c r="GP279" s="414"/>
      <c r="GS279" s="445"/>
      <c r="GT279" s="414"/>
      <c r="GW279" s="445"/>
      <c r="GX279" s="414"/>
      <c r="HA279" s="445"/>
      <c r="HB279" s="414"/>
      <c r="HE279" s="445"/>
      <c r="HF279" s="414"/>
      <c r="HI279" s="445"/>
      <c r="HJ279" s="414"/>
      <c r="HM279" s="445"/>
      <c r="HN279" s="414"/>
      <c r="HQ279" s="445"/>
      <c r="HR279" s="414"/>
      <c r="HU279" s="445"/>
      <c r="HV279" s="414"/>
      <c r="HY279" s="445"/>
      <c r="HZ279" s="414"/>
      <c r="IC279" s="445"/>
      <c r="ID279" s="414"/>
      <c r="IG279" s="445"/>
      <c r="IH279" s="414"/>
      <c r="IK279" s="445"/>
      <c r="IL279" s="414"/>
      <c r="IO279" s="445"/>
      <c r="IP279" s="414"/>
      <c r="IS279" s="445"/>
      <c r="IT279" s="414"/>
      <c r="IW279" s="445"/>
      <c r="IX279" s="414"/>
      <c r="JA279" s="445"/>
      <c r="JB279" s="414"/>
      <c r="JE279" s="445"/>
      <c r="JF279" s="414"/>
      <c r="JI279" s="445"/>
      <c r="JJ279" s="414"/>
      <c r="JM279" s="445"/>
      <c r="JN279" s="414"/>
      <c r="JQ279" s="445"/>
      <c r="JR279" s="414"/>
      <c r="JU279" s="445"/>
      <c r="JV279" s="414"/>
      <c r="JY279" s="445"/>
      <c r="JZ279" s="414"/>
      <c r="KC279" s="445"/>
      <c r="KD279" s="414"/>
      <c r="KG279" s="445"/>
      <c r="KH279" s="414"/>
      <c r="KK279" s="445"/>
      <c r="KL279" s="414"/>
      <c r="KO279" s="445"/>
      <c r="KP279" s="414"/>
      <c r="KS279" s="445"/>
      <c r="KT279" s="414"/>
      <c r="KW279" s="445"/>
      <c r="KX279" s="414"/>
      <c r="LA279" s="445"/>
      <c r="LB279" s="414"/>
      <c r="LE279" s="445"/>
      <c r="LF279" s="414"/>
      <c r="LI279" s="445"/>
      <c r="LJ279" s="414"/>
      <c r="LM279" s="445"/>
      <c r="LN279" s="414"/>
      <c r="LQ279" s="445"/>
      <c r="LR279" s="414"/>
      <c r="LU279" s="445"/>
      <c r="LV279" s="414"/>
      <c r="LY279" s="445"/>
      <c r="LZ279" s="414"/>
      <c r="MC279" s="445"/>
      <c r="MD279" s="414"/>
      <c r="MG279" s="445"/>
      <c r="MH279" s="414"/>
      <c r="MK279" s="445"/>
      <c r="ML279" s="414"/>
      <c r="MO279" s="445"/>
      <c r="MP279" s="414"/>
      <c r="MS279" s="445"/>
      <c r="MT279" s="414"/>
      <c r="MW279" s="445"/>
      <c r="MX279" s="414"/>
      <c r="NA279" s="445"/>
      <c r="NB279" s="414"/>
      <c r="NE279" s="445"/>
      <c r="NF279" s="414"/>
      <c r="NI279" s="445"/>
      <c r="NJ279" s="414"/>
      <c r="NM279" s="445"/>
      <c r="NN279" s="414"/>
      <c r="NQ279" s="445"/>
      <c r="NR279" s="414"/>
      <c r="NU279" s="445"/>
      <c r="NV279" s="414"/>
      <c r="NY279" s="445"/>
      <c r="NZ279" s="414"/>
      <c r="OC279" s="445"/>
      <c r="OD279" s="414"/>
      <c r="OG279" s="445"/>
      <c r="OH279" s="414"/>
      <c r="OK279" s="445"/>
      <c r="OL279" s="414"/>
      <c r="OO279" s="445"/>
      <c r="OP279" s="414"/>
      <c r="OS279" s="445"/>
      <c r="OT279" s="414"/>
      <c r="OW279" s="445"/>
      <c r="OX279" s="414"/>
      <c r="PA279" s="445"/>
      <c r="PB279" s="414"/>
      <c r="PE279" s="445"/>
      <c r="PF279" s="414"/>
      <c r="PI279" s="445"/>
      <c r="PJ279" s="414"/>
      <c r="PM279" s="445"/>
      <c r="PN279" s="414"/>
      <c r="PQ279" s="445"/>
      <c r="PR279" s="414"/>
      <c r="PU279" s="445"/>
      <c r="PV279" s="414"/>
      <c r="PY279" s="445"/>
      <c r="PZ279" s="414"/>
      <c r="QC279" s="445"/>
      <c r="QD279" s="414"/>
      <c r="QG279" s="445"/>
      <c r="QH279" s="414"/>
      <c r="QK279" s="445"/>
      <c r="QL279" s="414"/>
      <c r="QO279" s="445"/>
      <c r="QP279" s="414"/>
      <c r="QS279" s="445"/>
      <c r="QT279" s="414"/>
      <c r="QW279" s="445"/>
      <c r="QX279" s="414"/>
      <c r="RA279" s="445"/>
      <c r="RB279" s="414"/>
      <c r="RE279" s="445"/>
      <c r="RF279" s="414"/>
      <c r="RI279" s="445"/>
      <c r="RJ279" s="414"/>
      <c r="RM279" s="445"/>
      <c r="RN279" s="414"/>
      <c r="RQ279" s="445"/>
      <c r="RR279" s="414"/>
      <c r="RU279" s="445"/>
      <c r="RV279" s="414"/>
      <c r="RY279" s="445"/>
      <c r="RZ279" s="414"/>
      <c r="SC279" s="445"/>
      <c r="SD279" s="414"/>
      <c r="SG279" s="445"/>
      <c r="SH279" s="414"/>
      <c r="SK279" s="445"/>
      <c r="SL279" s="414"/>
      <c r="SO279" s="445"/>
      <c r="SP279" s="414"/>
      <c r="SS279" s="445"/>
      <c r="ST279" s="414"/>
      <c r="SW279" s="445"/>
      <c r="SX279" s="414"/>
      <c r="TA279" s="445"/>
      <c r="TB279" s="414"/>
      <c r="TE279" s="445"/>
      <c r="TF279" s="414"/>
      <c r="TI279" s="445"/>
      <c r="TJ279" s="414"/>
      <c r="TM279" s="445"/>
      <c r="TN279" s="414"/>
      <c r="TQ279" s="445"/>
      <c r="TR279" s="414"/>
      <c r="TU279" s="445"/>
      <c r="TV279" s="414"/>
      <c r="TY279" s="445"/>
      <c r="TZ279" s="414"/>
      <c r="UC279" s="445"/>
      <c r="UD279" s="414"/>
      <c r="UG279" s="445"/>
      <c r="UH279" s="414"/>
      <c r="UK279" s="445"/>
      <c r="UL279" s="414"/>
      <c r="UO279" s="445"/>
      <c r="UP279" s="414"/>
      <c r="US279" s="445"/>
      <c r="UT279" s="414"/>
      <c r="UW279" s="445"/>
      <c r="UX279" s="414"/>
      <c r="VA279" s="445"/>
      <c r="VB279" s="414"/>
      <c r="VE279" s="445"/>
      <c r="VF279" s="414"/>
      <c r="VI279" s="445"/>
      <c r="VJ279" s="414"/>
      <c r="VM279" s="445"/>
      <c r="VN279" s="414"/>
      <c r="VQ279" s="445"/>
      <c r="VR279" s="414"/>
      <c r="VU279" s="445"/>
      <c r="VV279" s="414"/>
      <c r="VY279" s="445"/>
      <c r="VZ279" s="414"/>
      <c r="WC279" s="445"/>
      <c r="WD279" s="414"/>
      <c r="WG279" s="445"/>
      <c r="WH279" s="414"/>
      <c r="WK279" s="445"/>
      <c r="WL279" s="414"/>
      <c r="WO279" s="445"/>
      <c r="WP279" s="414"/>
      <c r="WS279" s="445"/>
      <c r="WT279" s="414"/>
      <c r="WW279" s="445"/>
      <c r="WX279" s="414"/>
      <c r="XA279" s="445"/>
      <c r="XB279" s="414"/>
      <c r="XE279" s="445"/>
      <c r="XF279" s="414"/>
      <c r="XI279" s="445"/>
      <c r="XJ279" s="414"/>
      <c r="XM279" s="445"/>
      <c r="XN279" s="414"/>
      <c r="XQ279" s="445"/>
      <c r="XR279" s="414"/>
      <c r="XU279" s="445"/>
      <c r="XV279" s="414"/>
      <c r="XY279" s="445"/>
      <c r="XZ279" s="414"/>
      <c r="YC279" s="445"/>
      <c r="YD279" s="414"/>
      <c r="YG279" s="445"/>
      <c r="YH279" s="414"/>
      <c r="YK279" s="445"/>
      <c r="YL279" s="414"/>
      <c r="YO279" s="445"/>
      <c r="YP279" s="414"/>
      <c r="YS279" s="445"/>
      <c r="YT279" s="414"/>
      <c r="YW279" s="445"/>
      <c r="YX279" s="414"/>
      <c r="ZA279" s="445"/>
      <c r="ZB279" s="414"/>
      <c r="ZE279" s="445"/>
      <c r="ZF279" s="414"/>
      <c r="ZI279" s="445"/>
      <c r="ZJ279" s="414"/>
      <c r="ZM279" s="445"/>
      <c r="ZN279" s="414"/>
      <c r="ZQ279" s="445"/>
      <c r="ZR279" s="414"/>
      <c r="ZU279" s="445"/>
      <c r="ZV279" s="414"/>
      <c r="ZY279" s="445"/>
      <c r="ZZ279" s="414"/>
      <c r="AAC279" s="445"/>
      <c r="AAD279" s="414"/>
      <c r="AAG279" s="445"/>
      <c r="AAH279" s="414"/>
      <c r="AAK279" s="445"/>
      <c r="AAL279" s="414"/>
      <c r="AAO279" s="445"/>
      <c r="AAP279" s="414"/>
      <c r="AAS279" s="445"/>
      <c r="AAT279" s="414"/>
      <c r="AAW279" s="445"/>
      <c r="AAX279" s="414"/>
      <c r="ABA279" s="445"/>
      <c r="ABB279" s="414"/>
      <c r="ABE279" s="445"/>
      <c r="ABF279" s="414"/>
      <c r="ABI279" s="445"/>
      <c r="ABJ279" s="414"/>
      <c r="ABM279" s="445"/>
      <c r="ABN279" s="414"/>
      <c r="ABQ279" s="445"/>
      <c r="ABR279" s="414"/>
      <c r="ABU279" s="445"/>
      <c r="ABV279" s="414"/>
      <c r="ABY279" s="445"/>
      <c r="ABZ279" s="414"/>
      <c r="ACC279" s="445"/>
      <c r="ACD279" s="414"/>
      <c r="ACG279" s="445"/>
      <c r="ACH279" s="414"/>
      <c r="ACK279" s="445"/>
      <c r="ACL279" s="414"/>
      <c r="ACO279" s="445"/>
      <c r="ACP279" s="414"/>
      <c r="ACS279" s="445"/>
      <c r="ACT279" s="414"/>
      <c r="ACW279" s="445"/>
      <c r="ACX279" s="414"/>
      <c r="ADA279" s="445"/>
      <c r="ADB279" s="414"/>
      <c r="ADE279" s="445"/>
      <c r="ADF279" s="414"/>
      <c r="ADI279" s="445"/>
      <c r="ADJ279" s="414"/>
      <c r="ADM279" s="445"/>
      <c r="ADN279" s="414"/>
      <c r="ADQ279" s="445"/>
      <c r="ADR279" s="414"/>
      <c r="ADU279" s="445"/>
      <c r="ADV279" s="414"/>
      <c r="ADY279" s="445"/>
      <c r="ADZ279" s="414"/>
      <c r="AEC279" s="445"/>
      <c r="AED279" s="414"/>
      <c r="AEG279" s="445"/>
      <c r="AEH279" s="414"/>
      <c r="AEK279" s="445"/>
      <c r="AEL279" s="414"/>
      <c r="AEO279" s="445"/>
      <c r="AEP279" s="414"/>
      <c r="AES279" s="445"/>
      <c r="AET279" s="414"/>
      <c r="AEW279" s="445"/>
      <c r="AEX279" s="414"/>
      <c r="AFA279" s="445"/>
      <c r="AFB279" s="414"/>
      <c r="AFE279" s="445"/>
      <c r="AFF279" s="414"/>
      <c r="AFI279" s="445"/>
      <c r="AFJ279" s="414"/>
      <c r="AFM279" s="445"/>
      <c r="AFN279" s="414"/>
      <c r="AFQ279" s="445"/>
      <c r="AFR279" s="414"/>
      <c r="AFU279" s="445"/>
      <c r="AFV279" s="414"/>
      <c r="AFY279" s="445"/>
      <c r="AFZ279" s="414"/>
      <c r="AGC279" s="445"/>
      <c r="AGD279" s="414"/>
      <c r="AGG279" s="445"/>
      <c r="AGH279" s="414"/>
      <c r="AGK279" s="445"/>
      <c r="AGL279" s="414"/>
      <c r="AGO279" s="445"/>
      <c r="AGP279" s="414"/>
      <c r="AGS279" s="445"/>
      <c r="AGT279" s="414"/>
      <c r="AGW279" s="445"/>
      <c r="AGX279" s="414"/>
      <c r="AHA279" s="445"/>
      <c r="AHB279" s="414"/>
      <c r="AHE279" s="445"/>
      <c r="AHF279" s="414"/>
      <c r="AHI279" s="445"/>
      <c r="AHJ279" s="414"/>
      <c r="AHM279" s="445"/>
      <c r="AHN279" s="414"/>
      <c r="AHQ279" s="445"/>
      <c r="AHR279" s="414"/>
      <c r="AHU279" s="445"/>
      <c r="AHV279" s="414"/>
      <c r="AHY279" s="445"/>
      <c r="AHZ279" s="414"/>
      <c r="AIC279" s="445"/>
      <c r="AID279" s="414"/>
      <c r="AIG279" s="445"/>
      <c r="AIH279" s="414"/>
      <c r="AIK279" s="445"/>
      <c r="AIL279" s="414"/>
      <c r="AIO279" s="445"/>
      <c r="AIP279" s="414"/>
      <c r="AIS279" s="445"/>
      <c r="AIT279" s="414"/>
      <c r="AIW279" s="445"/>
      <c r="AIX279" s="414"/>
      <c r="AJA279" s="445"/>
      <c r="AJB279" s="414"/>
      <c r="AJE279" s="445"/>
      <c r="AJF279" s="414"/>
      <c r="AJI279" s="445"/>
      <c r="AJJ279" s="414"/>
      <c r="AJM279" s="445"/>
      <c r="AJN279" s="414"/>
      <c r="AJQ279" s="445"/>
      <c r="AJR279" s="414"/>
      <c r="AJU279" s="445"/>
      <c r="AJV279" s="414"/>
      <c r="AJY279" s="445"/>
      <c r="AJZ279" s="414"/>
      <c r="AKC279" s="445"/>
      <c r="AKD279" s="414"/>
      <c r="AKG279" s="445"/>
      <c r="AKH279" s="414"/>
      <c r="AKK279" s="445"/>
      <c r="AKL279" s="414"/>
      <c r="AKO279" s="445"/>
      <c r="AKP279" s="414"/>
      <c r="AKS279" s="445"/>
      <c r="AKT279" s="414"/>
      <c r="AKW279" s="445"/>
      <c r="AKX279" s="414"/>
      <c r="ALA279" s="445"/>
      <c r="ALB279" s="414"/>
      <c r="ALE279" s="445"/>
      <c r="ALF279" s="414"/>
      <c r="ALI279" s="445"/>
      <c r="ALJ279" s="414"/>
      <c r="ALM279" s="445"/>
      <c r="ALN279" s="414"/>
      <c r="ALQ279" s="445"/>
      <c r="ALR279" s="414"/>
      <c r="ALU279" s="445"/>
      <c r="ALV279" s="414"/>
      <c r="ALY279" s="445"/>
      <c r="ALZ279" s="414"/>
      <c r="AMC279" s="445"/>
      <c r="AMD279" s="414"/>
      <c r="AMG279" s="445"/>
      <c r="AMH279" s="414"/>
      <c r="AMK279" s="445"/>
      <c r="AML279" s="414"/>
      <c r="AMO279" s="445"/>
      <c r="AMP279" s="414"/>
      <c r="AMS279" s="445"/>
      <c r="AMT279" s="414"/>
      <c r="AMW279" s="445"/>
      <c r="AMX279" s="414"/>
      <c r="ANA279" s="445"/>
      <c r="ANB279" s="414"/>
      <c r="ANE279" s="445"/>
      <c r="ANF279" s="414"/>
      <c r="ANI279" s="445"/>
      <c r="ANJ279" s="414"/>
      <c r="ANM279" s="445"/>
      <c r="ANN279" s="414"/>
      <c r="ANQ279" s="445"/>
      <c r="ANR279" s="414"/>
      <c r="ANU279" s="445"/>
      <c r="ANV279" s="414"/>
      <c r="ANY279" s="445"/>
      <c r="ANZ279" s="414"/>
      <c r="AOC279" s="445"/>
      <c r="AOD279" s="414"/>
      <c r="AOG279" s="445"/>
      <c r="AOH279" s="414"/>
      <c r="AOK279" s="445"/>
      <c r="AOL279" s="414"/>
      <c r="AOO279" s="445"/>
      <c r="AOP279" s="414"/>
      <c r="AOS279" s="445"/>
      <c r="AOT279" s="414"/>
      <c r="AOW279" s="445"/>
      <c r="AOX279" s="414"/>
      <c r="APA279" s="445"/>
      <c r="APB279" s="414"/>
      <c r="APE279" s="445"/>
      <c r="APF279" s="414"/>
      <c r="API279" s="445"/>
      <c r="APJ279" s="414"/>
      <c r="APM279" s="445"/>
      <c r="APN279" s="414"/>
      <c r="APQ279" s="445"/>
      <c r="APR279" s="414"/>
      <c r="APU279" s="445"/>
      <c r="APV279" s="414"/>
      <c r="APY279" s="445"/>
      <c r="APZ279" s="414"/>
      <c r="AQC279" s="445"/>
      <c r="AQD279" s="414"/>
      <c r="AQG279" s="445"/>
      <c r="AQH279" s="414"/>
      <c r="AQK279" s="445"/>
      <c r="AQL279" s="414"/>
      <c r="AQO279" s="445"/>
      <c r="AQP279" s="414"/>
      <c r="AQS279" s="445"/>
      <c r="AQT279" s="414"/>
      <c r="AQW279" s="445"/>
      <c r="AQX279" s="414"/>
      <c r="ARA279" s="445"/>
      <c r="ARB279" s="414"/>
      <c r="ARE279" s="445"/>
      <c r="ARF279" s="414"/>
      <c r="ARI279" s="445"/>
      <c r="ARJ279" s="414"/>
      <c r="ARM279" s="445"/>
      <c r="ARN279" s="414"/>
      <c r="ARQ279" s="445"/>
      <c r="ARR279" s="414"/>
      <c r="ARU279" s="445"/>
      <c r="ARV279" s="414"/>
      <c r="ARY279" s="445"/>
      <c r="ARZ279" s="414"/>
      <c r="ASC279" s="445"/>
      <c r="ASD279" s="414"/>
      <c r="ASG279" s="445"/>
      <c r="ASH279" s="414"/>
      <c r="ASK279" s="445"/>
      <c r="ASL279" s="414"/>
      <c r="ASO279" s="445"/>
      <c r="ASP279" s="414"/>
      <c r="ASS279" s="445"/>
      <c r="AST279" s="414"/>
      <c r="ASW279" s="445"/>
      <c r="ASX279" s="414"/>
      <c r="ATA279" s="445"/>
      <c r="ATB279" s="414"/>
      <c r="ATE279" s="445"/>
      <c r="ATF279" s="414"/>
      <c r="ATI279" s="445"/>
      <c r="ATJ279" s="414"/>
      <c r="ATM279" s="445"/>
      <c r="ATN279" s="414"/>
      <c r="ATQ279" s="445"/>
      <c r="ATR279" s="414"/>
      <c r="ATU279" s="445"/>
      <c r="ATV279" s="414"/>
      <c r="ATY279" s="445"/>
      <c r="ATZ279" s="414"/>
      <c r="AUC279" s="445"/>
      <c r="AUD279" s="414"/>
      <c r="AUG279" s="445"/>
      <c r="AUH279" s="414"/>
      <c r="AUK279" s="445"/>
      <c r="AUL279" s="414"/>
      <c r="AUO279" s="445"/>
      <c r="AUP279" s="414"/>
      <c r="AUS279" s="445"/>
      <c r="AUT279" s="414"/>
      <c r="AUW279" s="445"/>
      <c r="AUX279" s="414"/>
      <c r="AVA279" s="445"/>
      <c r="AVB279" s="414"/>
      <c r="AVE279" s="445"/>
      <c r="AVF279" s="414"/>
      <c r="AVI279" s="445"/>
      <c r="AVJ279" s="414"/>
      <c r="AVM279" s="445"/>
      <c r="AVN279" s="414"/>
      <c r="AVQ279" s="445"/>
      <c r="AVR279" s="414"/>
      <c r="AVU279" s="445"/>
      <c r="AVV279" s="414"/>
      <c r="AVY279" s="445"/>
      <c r="AVZ279" s="414"/>
      <c r="AWC279" s="445"/>
      <c r="AWD279" s="414"/>
      <c r="AWG279" s="445"/>
      <c r="AWH279" s="414"/>
      <c r="AWK279" s="445"/>
      <c r="AWL279" s="414"/>
      <c r="AWO279" s="445"/>
      <c r="AWP279" s="414"/>
      <c r="AWS279" s="445"/>
      <c r="AWT279" s="414"/>
      <c r="AWW279" s="445"/>
      <c r="AWX279" s="414"/>
      <c r="AXA279" s="445"/>
      <c r="AXB279" s="414"/>
      <c r="AXE279" s="445"/>
      <c r="AXF279" s="414"/>
      <c r="AXI279" s="445"/>
      <c r="AXJ279" s="414"/>
      <c r="AXM279" s="445"/>
      <c r="AXN279" s="414"/>
      <c r="AXQ279" s="445"/>
      <c r="AXR279" s="414"/>
      <c r="AXU279" s="445"/>
      <c r="AXV279" s="414"/>
      <c r="AXY279" s="445"/>
      <c r="AXZ279" s="414"/>
      <c r="AYC279" s="445"/>
      <c r="AYD279" s="414"/>
      <c r="AYG279" s="445"/>
      <c r="AYH279" s="414"/>
      <c r="AYK279" s="445"/>
      <c r="AYL279" s="414"/>
      <c r="AYO279" s="445"/>
      <c r="AYP279" s="414"/>
      <c r="AYS279" s="445"/>
      <c r="AYT279" s="414"/>
      <c r="AYW279" s="445"/>
      <c r="AYX279" s="414"/>
      <c r="AZA279" s="445"/>
      <c r="AZB279" s="414"/>
      <c r="AZE279" s="445"/>
      <c r="AZF279" s="414"/>
      <c r="AZI279" s="445"/>
      <c r="AZJ279" s="414"/>
      <c r="AZM279" s="445"/>
      <c r="AZN279" s="414"/>
      <c r="AZQ279" s="445"/>
      <c r="AZR279" s="414"/>
      <c r="AZU279" s="445"/>
      <c r="AZV279" s="414"/>
      <c r="AZY279" s="445"/>
      <c r="AZZ279" s="414"/>
      <c r="BAC279" s="445"/>
      <c r="BAD279" s="414"/>
      <c r="BAG279" s="445"/>
      <c r="BAH279" s="414"/>
      <c r="BAK279" s="445"/>
      <c r="BAL279" s="414"/>
      <c r="BAO279" s="445"/>
      <c r="BAP279" s="414"/>
      <c r="BAS279" s="445"/>
      <c r="BAT279" s="414"/>
      <c r="BAW279" s="445"/>
      <c r="BAX279" s="414"/>
      <c r="BBA279" s="445"/>
      <c r="BBB279" s="414"/>
      <c r="BBE279" s="445"/>
      <c r="BBF279" s="414"/>
      <c r="BBI279" s="445"/>
      <c r="BBJ279" s="414"/>
      <c r="BBM279" s="445"/>
      <c r="BBN279" s="414"/>
      <c r="BBQ279" s="445"/>
      <c r="BBR279" s="414"/>
      <c r="BBU279" s="445"/>
      <c r="BBV279" s="414"/>
      <c r="BBY279" s="445"/>
      <c r="BBZ279" s="414"/>
      <c r="BCC279" s="445"/>
      <c r="BCD279" s="414"/>
      <c r="BCG279" s="445"/>
      <c r="BCH279" s="414"/>
      <c r="BCK279" s="445"/>
      <c r="BCL279" s="414"/>
      <c r="BCO279" s="445"/>
      <c r="BCP279" s="414"/>
      <c r="BCS279" s="445"/>
      <c r="BCT279" s="414"/>
      <c r="BCW279" s="445"/>
      <c r="BCX279" s="414"/>
      <c r="BDA279" s="445"/>
      <c r="BDB279" s="414"/>
      <c r="BDE279" s="445"/>
      <c r="BDF279" s="414"/>
      <c r="BDI279" s="445"/>
      <c r="BDJ279" s="414"/>
      <c r="BDM279" s="445"/>
      <c r="BDN279" s="414"/>
      <c r="BDQ279" s="445"/>
      <c r="BDR279" s="414"/>
      <c r="BDU279" s="445"/>
      <c r="BDV279" s="414"/>
      <c r="BDY279" s="445"/>
      <c r="BDZ279" s="414"/>
      <c r="BEC279" s="445"/>
      <c r="BED279" s="414"/>
      <c r="BEG279" s="445"/>
      <c r="BEH279" s="414"/>
      <c r="BEK279" s="445"/>
      <c r="BEL279" s="414"/>
      <c r="BEO279" s="445"/>
      <c r="BEP279" s="414"/>
      <c r="BES279" s="445"/>
      <c r="BET279" s="414"/>
      <c r="BEW279" s="445"/>
      <c r="BEX279" s="414"/>
      <c r="BFA279" s="445"/>
      <c r="BFB279" s="414"/>
      <c r="BFE279" s="445"/>
      <c r="BFF279" s="414"/>
      <c r="BFI279" s="445"/>
      <c r="BFJ279" s="414"/>
      <c r="BFM279" s="445"/>
      <c r="BFN279" s="414"/>
      <c r="BFQ279" s="445"/>
      <c r="BFR279" s="414"/>
      <c r="BFU279" s="445"/>
      <c r="BFV279" s="414"/>
      <c r="BFY279" s="445"/>
      <c r="BFZ279" s="414"/>
      <c r="BGC279" s="445"/>
      <c r="BGD279" s="414"/>
      <c r="BGG279" s="445"/>
      <c r="BGH279" s="414"/>
      <c r="BGK279" s="445"/>
      <c r="BGL279" s="414"/>
      <c r="BGO279" s="445"/>
      <c r="BGP279" s="414"/>
      <c r="BGS279" s="445"/>
      <c r="BGT279" s="414"/>
      <c r="BGW279" s="445"/>
      <c r="BGX279" s="414"/>
      <c r="BHA279" s="445"/>
      <c r="BHB279" s="414"/>
      <c r="BHE279" s="445"/>
      <c r="BHF279" s="414"/>
      <c r="BHI279" s="445"/>
      <c r="BHJ279" s="414"/>
      <c r="BHM279" s="445"/>
      <c r="BHN279" s="414"/>
      <c r="BHQ279" s="445"/>
      <c r="BHR279" s="414"/>
      <c r="BHU279" s="445"/>
      <c r="BHV279" s="414"/>
      <c r="BHY279" s="445"/>
      <c r="BHZ279" s="414"/>
      <c r="BIC279" s="445"/>
      <c r="BID279" s="414"/>
      <c r="BIG279" s="445"/>
      <c r="BIH279" s="414"/>
      <c r="BIK279" s="445"/>
      <c r="BIL279" s="414"/>
      <c r="BIO279" s="445"/>
      <c r="BIP279" s="414"/>
      <c r="BIS279" s="445"/>
      <c r="BIT279" s="414"/>
      <c r="BIW279" s="445"/>
      <c r="BIX279" s="414"/>
      <c r="BJA279" s="445"/>
      <c r="BJB279" s="414"/>
      <c r="BJE279" s="445"/>
      <c r="BJF279" s="414"/>
      <c r="BJI279" s="445"/>
      <c r="BJJ279" s="414"/>
      <c r="BJM279" s="445"/>
      <c r="BJN279" s="414"/>
      <c r="BJQ279" s="445"/>
      <c r="BJR279" s="414"/>
      <c r="BJU279" s="445"/>
      <c r="BJV279" s="414"/>
      <c r="BJY279" s="445"/>
      <c r="BJZ279" s="414"/>
      <c r="BKC279" s="445"/>
      <c r="BKD279" s="414"/>
      <c r="BKG279" s="445"/>
      <c r="BKH279" s="414"/>
      <c r="BKK279" s="445"/>
      <c r="BKL279" s="414"/>
      <c r="BKO279" s="445"/>
      <c r="BKP279" s="414"/>
      <c r="BKS279" s="445"/>
      <c r="BKT279" s="414"/>
      <c r="BKW279" s="445"/>
      <c r="BKX279" s="414"/>
      <c r="BLA279" s="445"/>
      <c r="BLB279" s="414"/>
      <c r="BLE279" s="445"/>
      <c r="BLF279" s="414"/>
      <c r="BLI279" s="445"/>
      <c r="BLJ279" s="414"/>
      <c r="BLM279" s="445"/>
      <c r="BLN279" s="414"/>
      <c r="BLQ279" s="445"/>
      <c r="BLR279" s="414"/>
      <c r="BLU279" s="445"/>
      <c r="BLV279" s="414"/>
      <c r="BLY279" s="445"/>
      <c r="BLZ279" s="414"/>
      <c r="BMC279" s="445"/>
      <c r="BMD279" s="414"/>
      <c r="BMG279" s="445"/>
      <c r="BMH279" s="414"/>
      <c r="BMK279" s="445"/>
      <c r="BML279" s="414"/>
      <c r="BMO279" s="445"/>
      <c r="BMP279" s="414"/>
      <c r="BMS279" s="445"/>
      <c r="BMT279" s="414"/>
      <c r="BMW279" s="445"/>
      <c r="BMX279" s="414"/>
      <c r="BNA279" s="445"/>
      <c r="BNB279" s="414"/>
      <c r="BNE279" s="445"/>
      <c r="BNF279" s="414"/>
      <c r="BNI279" s="445"/>
      <c r="BNJ279" s="414"/>
      <c r="BNM279" s="445"/>
      <c r="BNN279" s="414"/>
      <c r="BNQ279" s="445"/>
      <c r="BNR279" s="414"/>
      <c r="BNU279" s="445"/>
      <c r="BNV279" s="414"/>
      <c r="BNY279" s="445"/>
      <c r="BNZ279" s="414"/>
      <c r="BOC279" s="445"/>
      <c r="BOD279" s="414"/>
      <c r="BOG279" s="445"/>
      <c r="BOH279" s="414"/>
      <c r="BOK279" s="445"/>
      <c r="BOL279" s="414"/>
      <c r="BOO279" s="445"/>
      <c r="BOP279" s="414"/>
      <c r="BOS279" s="445"/>
      <c r="BOT279" s="414"/>
      <c r="BOW279" s="445"/>
      <c r="BOX279" s="414"/>
      <c r="BPA279" s="445"/>
      <c r="BPB279" s="414"/>
      <c r="BPE279" s="445"/>
      <c r="BPF279" s="414"/>
      <c r="BPI279" s="445"/>
      <c r="BPJ279" s="414"/>
      <c r="BPM279" s="445"/>
      <c r="BPN279" s="414"/>
      <c r="BPQ279" s="445"/>
      <c r="BPR279" s="414"/>
      <c r="BPU279" s="445"/>
      <c r="BPV279" s="414"/>
      <c r="BPY279" s="445"/>
      <c r="BPZ279" s="414"/>
      <c r="BQC279" s="445"/>
      <c r="BQD279" s="414"/>
      <c r="BQG279" s="445"/>
      <c r="BQH279" s="414"/>
      <c r="BQK279" s="445"/>
      <c r="BQL279" s="414"/>
      <c r="BQO279" s="445"/>
      <c r="BQP279" s="414"/>
      <c r="BQS279" s="445"/>
      <c r="BQT279" s="414"/>
      <c r="BQW279" s="445"/>
      <c r="BQX279" s="414"/>
      <c r="BRA279" s="445"/>
      <c r="BRB279" s="414"/>
      <c r="BRE279" s="445"/>
      <c r="BRF279" s="414"/>
      <c r="BRI279" s="445"/>
      <c r="BRJ279" s="414"/>
      <c r="BRM279" s="445"/>
      <c r="BRN279" s="414"/>
      <c r="BRQ279" s="445"/>
      <c r="BRR279" s="414"/>
      <c r="BRU279" s="445"/>
      <c r="BRV279" s="414"/>
      <c r="BRY279" s="445"/>
      <c r="BRZ279" s="414"/>
      <c r="BSC279" s="445"/>
      <c r="BSD279" s="414"/>
      <c r="BSG279" s="445"/>
      <c r="BSH279" s="414"/>
      <c r="BSK279" s="445"/>
      <c r="BSL279" s="414"/>
      <c r="BSO279" s="445"/>
      <c r="BSP279" s="414"/>
      <c r="BSS279" s="445"/>
      <c r="BST279" s="414"/>
      <c r="BSW279" s="445"/>
      <c r="BSX279" s="414"/>
      <c r="BTA279" s="445"/>
      <c r="BTB279" s="414"/>
      <c r="BTE279" s="445"/>
      <c r="BTF279" s="414"/>
      <c r="BTI279" s="445"/>
      <c r="BTJ279" s="414"/>
      <c r="BTM279" s="445"/>
      <c r="BTN279" s="414"/>
      <c r="BTQ279" s="445"/>
      <c r="BTR279" s="414"/>
      <c r="BTU279" s="445"/>
      <c r="BTV279" s="414"/>
      <c r="BTY279" s="445"/>
      <c r="BTZ279" s="414"/>
      <c r="BUC279" s="445"/>
      <c r="BUD279" s="414"/>
      <c r="BUG279" s="445"/>
      <c r="BUH279" s="414"/>
      <c r="BUK279" s="445"/>
      <c r="BUL279" s="414"/>
      <c r="BUO279" s="445"/>
      <c r="BUP279" s="414"/>
      <c r="BUS279" s="445"/>
      <c r="BUT279" s="414"/>
      <c r="BUW279" s="445"/>
      <c r="BUX279" s="414"/>
      <c r="BVA279" s="445"/>
      <c r="BVB279" s="414"/>
      <c r="BVE279" s="445"/>
      <c r="BVF279" s="414"/>
      <c r="BVI279" s="445"/>
      <c r="BVJ279" s="414"/>
      <c r="BVM279" s="445"/>
      <c r="BVN279" s="414"/>
      <c r="BVQ279" s="445"/>
      <c r="BVR279" s="414"/>
      <c r="BVU279" s="445"/>
      <c r="BVV279" s="414"/>
      <c r="BVY279" s="445"/>
      <c r="BVZ279" s="414"/>
      <c r="BWC279" s="445"/>
      <c r="BWD279" s="414"/>
      <c r="BWG279" s="445"/>
      <c r="BWH279" s="414"/>
      <c r="BWK279" s="445"/>
      <c r="BWL279" s="414"/>
      <c r="BWO279" s="445"/>
      <c r="BWP279" s="414"/>
      <c r="BWS279" s="445"/>
      <c r="BWT279" s="414"/>
      <c r="BWW279" s="445"/>
      <c r="BWX279" s="414"/>
      <c r="BXA279" s="445"/>
      <c r="BXB279" s="414"/>
      <c r="BXE279" s="445"/>
      <c r="BXF279" s="414"/>
      <c r="BXI279" s="445"/>
      <c r="BXJ279" s="414"/>
      <c r="BXM279" s="445"/>
      <c r="BXN279" s="414"/>
      <c r="BXQ279" s="445"/>
      <c r="BXR279" s="414"/>
      <c r="BXU279" s="445"/>
      <c r="BXV279" s="414"/>
      <c r="BXY279" s="445"/>
      <c r="BXZ279" s="414"/>
      <c r="BYC279" s="445"/>
      <c r="BYD279" s="414"/>
      <c r="BYG279" s="445"/>
      <c r="BYH279" s="414"/>
      <c r="BYK279" s="445"/>
      <c r="BYL279" s="414"/>
      <c r="BYO279" s="445"/>
      <c r="BYP279" s="414"/>
      <c r="BYS279" s="445"/>
      <c r="BYT279" s="414"/>
      <c r="BYW279" s="445"/>
      <c r="BYX279" s="414"/>
      <c r="BZA279" s="445"/>
      <c r="BZB279" s="414"/>
      <c r="BZE279" s="445"/>
      <c r="BZF279" s="414"/>
      <c r="BZI279" s="445"/>
      <c r="BZJ279" s="414"/>
      <c r="BZM279" s="445"/>
      <c r="BZN279" s="414"/>
      <c r="BZQ279" s="445"/>
      <c r="BZR279" s="414"/>
      <c r="BZU279" s="445"/>
      <c r="BZV279" s="414"/>
      <c r="BZY279" s="445"/>
      <c r="BZZ279" s="414"/>
      <c r="CAC279" s="445"/>
      <c r="CAD279" s="414"/>
      <c r="CAG279" s="445"/>
      <c r="CAH279" s="414"/>
      <c r="CAK279" s="445"/>
      <c r="CAL279" s="414"/>
      <c r="CAO279" s="445"/>
      <c r="CAP279" s="414"/>
      <c r="CAS279" s="445"/>
      <c r="CAT279" s="414"/>
      <c r="CAW279" s="445"/>
      <c r="CAX279" s="414"/>
      <c r="CBA279" s="445"/>
      <c r="CBB279" s="414"/>
      <c r="CBE279" s="445"/>
      <c r="CBF279" s="414"/>
      <c r="CBI279" s="445"/>
      <c r="CBJ279" s="414"/>
      <c r="CBM279" s="445"/>
      <c r="CBN279" s="414"/>
      <c r="CBQ279" s="445"/>
      <c r="CBR279" s="414"/>
      <c r="CBU279" s="445"/>
      <c r="CBV279" s="414"/>
      <c r="CBY279" s="445"/>
      <c r="CBZ279" s="414"/>
      <c r="CCC279" s="445"/>
      <c r="CCD279" s="414"/>
      <c r="CCG279" s="445"/>
      <c r="CCH279" s="414"/>
      <c r="CCK279" s="445"/>
      <c r="CCL279" s="414"/>
      <c r="CCO279" s="445"/>
      <c r="CCP279" s="414"/>
      <c r="CCS279" s="445"/>
      <c r="CCT279" s="414"/>
      <c r="CCW279" s="445"/>
      <c r="CCX279" s="414"/>
      <c r="CDA279" s="445"/>
      <c r="CDB279" s="414"/>
      <c r="CDE279" s="445"/>
      <c r="CDF279" s="414"/>
      <c r="CDI279" s="445"/>
      <c r="CDJ279" s="414"/>
      <c r="CDM279" s="445"/>
      <c r="CDN279" s="414"/>
      <c r="CDQ279" s="445"/>
      <c r="CDR279" s="414"/>
      <c r="CDU279" s="445"/>
      <c r="CDV279" s="414"/>
      <c r="CDY279" s="445"/>
      <c r="CDZ279" s="414"/>
      <c r="CEC279" s="445"/>
      <c r="CED279" s="414"/>
      <c r="CEG279" s="445"/>
      <c r="CEH279" s="414"/>
      <c r="CEK279" s="445"/>
      <c r="CEL279" s="414"/>
      <c r="CEO279" s="445"/>
      <c r="CEP279" s="414"/>
      <c r="CES279" s="445"/>
      <c r="CET279" s="414"/>
      <c r="CEW279" s="445"/>
      <c r="CEX279" s="414"/>
      <c r="CFA279" s="445"/>
      <c r="CFB279" s="414"/>
      <c r="CFE279" s="445"/>
      <c r="CFF279" s="414"/>
      <c r="CFI279" s="445"/>
      <c r="CFJ279" s="414"/>
      <c r="CFM279" s="445"/>
      <c r="CFN279" s="414"/>
      <c r="CFQ279" s="445"/>
      <c r="CFR279" s="414"/>
      <c r="CFU279" s="445"/>
      <c r="CFV279" s="414"/>
      <c r="CFY279" s="445"/>
      <c r="CFZ279" s="414"/>
      <c r="CGC279" s="445"/>
      <c r="CGD279" s="414"/>
      <c r="CGG279" s="445"/>
      <c r="CGH279" s="414"/>
      <c r="CGK279" s="445"/>
      <c r="CGL279" s="414"/>
      <c r="CGO279" s="445"/>
      <c r="CGP279" s="414"/>
      <c r="CGS279" s="445"/>
      <c r="CGT279" s="414"/>
      <c r="CGW279" s="445"/>
      <c r="CGX279" s="414"/>
      <c r="CHA279" s="445"/>
      <c r="CHB279" s="414"/>
      <c r="CHE279" s="445"/>
      <c r="CHF279" s="414"/>
      <c r="CHI279" s="445"/>
      <c r="CHJ279" s="414"/>
      <c r="CHM279" s="445"/>
      <c r="CHN279" s="414"/>
      <c r="CHQ279" s="445"/>
      <c r="CHR279" s="414"/>
      <c r="CHU279" s="445"/>
      <c r="CHV279" s="414"/>
      <c r="CHY279" s="445"/>
      <c r="CHZ279" s="414"/>
      <c r="CIC279" s="445"/>
      <c r="CID279" s="414"/>
      <c r="CIG279" s="445"/>
      <c r="CIH279" s="414"/>
      <c r="CIK279" s="445"/>
      <c r="CIL279" s="414"/>
      <c r="CIO279" s="445"/>
      <c r="CIP279" s="414"/>
      <c r="CIS279" s="445"/>
      <c r="CIT279" s="414"/>
      <c r="CIW279" s="445"/>
      <c r="CIX279" s="414"/>
      <c r="CJA279" s="445"/>
      <c r="CJB279" s="414"/>
      <c r="CJE279" s="445"/>
      <c r="CJF279" s="414"/>
      <c r="CJI279" s="445"/>
      <c r="CJJ279" s="414"/>
      <c r="CJM279" s="445"/>
      <c r="CJN279" s="414"/>
      <c r="CJQ279" s="445"/>
      <c r="CJR279" s="414"/>
      <c r="CJU279" s="445"/>
      <c r="CJV279" s="414"/>
      <c r="CJY279" s="445"/>
      <c r="CJZ279" s="414"/>
      <c r="CKC279" s="445"/>
      <c r="CKD279" s="414"/>
      <c r="CKG279" s="445"/>
      <c r="CKH279" s="414"/>
      <c r="CKK279" s="445"/>
      <c r="CKL279" s="414"/>
      <c r="CKO279" s="445"/>
      <c r="CKP279" s="414"/>
      <c r="CKS279" s="445"/>
      <c r="CKT279" s="414"/>
      <c r="CKW279" s="445"/>
      <c r="CKX279" s="414"/>
      <c r="CLA279" s="445"/>
      <c r="CLB279" s="414"/>
      <c r="CLE279" s="445"/>
      <c r="CLF279" s="414"/>
      <c r="CLI279" s="445"/>
      <c r="CLJ279" s="414"/>
      <c r="CLM279" s="445"/>
      <c r="CLN279" s="414"/>
      <c r="CLQ279" s="445"/>
      <c r="CLR279" s="414"/>
      <c r="CLU279" s="445"/>
      <c r="CLV279" s="414"/>
      <c r="CLY279" s="445"/>
      <c r="CLZ279" s="414"/>
      <c r="CMC279" s="445"/>
      <c r="CMD279" s="414"/>
      <c r="CMG279" s="445"/>
      <c r="CMH279" s="414"/>
      <c r="CMK279" s="445"/>
      <c r="CML279" s="414"/>
      <c r="CMO279" s="445"/>
      <c r="CMP279" s="414"/>
      <c r="CMS279" s="445"/>
      <c r="CMT279" s="414"/>
      <c r="CMW279" s="445"/>
      <c r="CMX279" s="414"/>
      <c r="CNA279" s="445"/>
      <c r="CNB279" s="414"/>
      <c r="CNE279" s="445"/>
      <c r="CNF279" s="414"/>
      <c r="CNI279" s="445"/>
      <c r="CNJ279" s="414"/>
      <c r="CNM279" s="445"/>
      <c r="CNN279" s="414"/>
      <c r="CNQ279" s="445"/>
      <c r="CNR279" s="414"/>
      <c r="CNU279" s="445"/>
      <c r="CNV279" s="414"/>
      <c r="CNY279" s="445"/>
      <c r="CNZ279" s="414"/>
      <c r="COC279" s="445"/>
      <c r="COD279" s="414"/>
      <c r="COG279" s="445"/>
      <c r="COH279" s="414"/>
      <c r="COK279" s="445"/>
      <c r="COL279" s="414"/>
      <c r="COO279" s="445"/>
      <c r="COP279" s="414"/>
      <c r="COS279" s="445"/>
      <c r="COT279" s="414"/>
      <c r="COW279" s="445"/>
      <c r="COX279" s="414"/>
      <c r="CPA279" s="445"/>
      <c r="CPB279" s="414"/>
      <c r="CPE279" s="445"/>
      <c r="CPF279" s="414"/>
      <c r="CPI279" s="445"/>
      <c r="CPJ279" s="414"/>
      <c r="CPM279" s="445"/>
      <c r="CPN279" s="414"/>
      <c r="CPQ279" s="445"/>
      <c r="CPR279" s="414"/>
      <c r="CPU279" s="445"/>
      <c r="CPV279" s="414"/>
      <c r="CPY279" s="445"/>
      <c r="CPZ279" s="414"/>
      <c r="CQC279" s="445"/>
      <c r="CQD279" s="414"/>
      <c r="CQG279" s="445"/>
      <c r="CQH279" s="414"/>
      <c r="CQK279" s="445"/>
      <c r="CQL279" s="414"/>
      <c r="CQO279" s="445"/>
      <c r="CQP279" s="414"/>
      <c r="CQS279" s="445"/>
      <c r="CQT279" s="414"/>
      <c r="CQW279" s="445"/>
      <c r="CQX279" s="414"/>
      <c r="CRA279" s="445"/>
      <c r="CRB279" s="414"/>
      <c r="CRE279" s="445"/>
      <c r="CRF279" s="414"/>
      <c r="CRI279" s="445"/>
      <c r="CRJ279" s="414"/>
      <c r="CRM279" s="445"/>
      <c r="CRN279" s="414"/>
      <c r="CRQ279" s="445"/>
      <c r="CRR279" s="414"/>
      <c r="CRU279" s="445"/>
      <c r="CRV279" s="414"/>
      <c r="CRY279" s="445"/>
      <c r="CRZ279" s="414"/>
      <c r="CSC279" s="445"/>
      <c r="CSD279" s="414"/>
      <c r="CSG279" s="445"/>
      <c r="CSH279" s="414"/>
      <c r="CSK279" s="445"/>
      <c r="CSL279" s="414"/>
      <c r="CSO279" s="445"/>
      <c r="CSP279" s="414"/>
      <c r="CSS279" s="445"/>
      <c r="CST279" s="414"/>
      <c r="CSW279" s="445"/>
      <c r="CSX279" s="414"/>
      <c r="CTA279" s="445"/>
      <c r="CTB279" s="414"/>
      <c r="CTE279" s="445"/>
      <c r="CTF279" s="414"/>
      <c r="CTI279" s="445"/>
      <c r="CTJ279" s="414"/>
      <c r="CTM279" s="445"/>
      <c r="CTN279" s="414"/>
      <c r="CTQ279" s="445"/>
      <c r="CTR279" s="414"/>
      <c r="CTU279" s="445"/>
      <c r="CTV279" s="414"/>
      <c r="CTY279" s="445"/>
      <c r="CTZ279" s="414"/>
      <c r="CUC279" s="445"/>
      <c r="CUD279" s="414"/>
      <c r="CUG279" s="445"/>
      <c r="CUH279" s="414"/>
      <c r="CUK279" s="445"/>
      <c r="CUL279" s="414"/>
      <c r="CUO279" s="445"/>
      <c r="CUP279" s="414"/>
      <c r="CUS279" s="445"/>
      <c r="CUT279" s="414"/>
      <c r="CUW279" s="445"/>
      <c r="CUX279" s="414"/>
      <c r="CVA279" s="445"/>
      <c r="CVB279" s="414"/>
      <c r="CVE279" s="445"/>
      <c r="CVF279" s="414"/>
      <c r="CVI279" s="445"/>
      <c r="CVJ279" s="414"/>
      <c r="CVM279" s="445"/>
      <c r="CVN279" s="414"/>
      <c r="CVQ279" s="445"/>
      <c r="CVR279" s="414"/>
      <c r="CVU279" s="445"/>
      <c r="CVV279" s="414"/>
      <c r="CVY279" s="445"/>
      <c r="CVZ279" s="414"/>
      <c r="CWC279" s="445"/>
      <c r="CWD279" s="414"/>
      <c r="CWG279" s="445"/>
      <c r="CWH279" s="414"/>
      <c r="CWK279" s="445"/>
      <c r="CWL279" s="414"/>
      <c r="CWO279" s="445"/>
      <c r="CWP279" s="414"/>
      <c r="CWS279" s="445"/>
      <c r="CWT279" s="414"/>
      <c r="CWW279" s="445"/>
      <c r="CWX279" s="414"/>
      <c r="CXA279" s="445"/>
      <c r="CXB279" s="414"/>
      <c r="CXE279" s="445"/>
      <c r="CXF279" s="414"/>
      <c r="CXI279" s="445"/>
      <c r="CXJ279" s="414"/>
      <c r="CXM279" s="445"/>
      <c r="CXN279" s="414"/>
      <c r="CXQ279" s="445"/>
      <c r="CXR279" s="414"/>
      <c r="CXU279" s="445"/>
      <c r="CXV279" s="414"/>
      <c r="CXY279" s="445"/>
      <c r="CXZ279" s="414"/>
      <c r="CYC279" s="445"/>
      <c r="CYD279" s="414"/>
      <c r="CYG279" s="445"/>
      <c r="CYH279" s="414"/>
      <c r="CYK279" s="445"/>
      <c r="CYL279" s="414"/>
      <c r="CYO279" s="445"/>
      <c r="CYP279" s="414"/>
      <c r="CYS279" s="445"/>
      <c r="CYT279" s="414"/>
      <c r="CYW279" s="445"/>
      <c r="CYX279" s="414"/>
      <c r="CZA279" s="445"/>
      <c r="CZB279" s="414"/>
      <c r="CZE279" s="445"/>
      <c r="CZF279" s="414"/>
      <c r="CZI279" s="445"/>
      <c r="CZJ279" s="414"/>
      <c r="CZM279" s="445"/>
      <c r="CZN279" s="414"/>
      <c r="CZQ279" s="445"/>
      <c r="CZR279" s="414"/>
      <c r="CZU279" s="445"/>
      <c r="CZV279" s="414"/>
      <c r="CZY279" s="445"/>
      <c r="CZZ279" s="414"/>
      <c r="DAC279" s="445"/>
      <c r="DAD279" s="414"/>
      <c r="DAG279" s="445"/>
      <c r="DAH279" s="414"/>
      <c r="DAK279" s="445"/>
      <c r="DAL279" s="414"/>
      <c r="DAO279" s="445"/>
      <c r="DAP279" s="414"/>
      <c r="DAS279" s="445"/>
      <c r="DAT279" s="414"/>
      <c r="DAW279" s="445"/>
      <c r="DAX279" s="414"/>
      <c r="DBA279" s="445"/>
      <c r="DBB279" s="414"/>
      <c r="DBE279" s="445"/>
      <c r="DBF279" s="414"/>
      <c r="DBI279" s="445"/>
      <c r="DBJ279" s="414"/>
      <c r="DBM279" s="445"/>
      <c r="DBN279" s="414"/>
      <c r="DBQ279" s="445"/>
      <c r="DBR279" s="414"/>
      <c r="DBU279" s="445"/>
      <c r="DBV279" s="414"/>
      <c r="DBY279" s="445"/>
      <c r="DBZ279" s="414"/>
      <c r="DCC279" s="445"/>
      <c r="DCD279" s="414"/>
      <c r="DCG279" s="445"/>
      <c r="DCH279" s="414"/>
      <c r="DCK279" s="445"/>
      <c r="DCL279" s="414"/>
      <c r="DCO279" s="445"/>
      <c r="DCP279" s="414"/>
      <c r="DCS279" s="445"/>
      <c r="DCT279" s="414"/>
      <c r="DCW279" s="445"/>
      <c r="DCX279" s="414"/>
      <c r="DDA279" s="445"/>
      <c r="DDB279" s="414"/>
      <c r="DDE279" s="445"/>
      <c r="DDF279" s="414"/>
      <c r="DDI279" s="445"/>
      <c r="DDJ279" s="414"/>
      <c r="DDM279" s="445"/>
      <c r="DDN279" s="414"/>
      <c r="DDQ279" s="445"/>
      <c r="DDR279" s="414"/>
      <c r="DDU279" s="445"/>
      <c r="DDV279" s="414"/>
      <c r="DDY279" s="445"/>
      <c r="DDZ279" s="414"/>
      <c r="DEC279" s="445"/>
      <c r="DED279" s="414"/>
      <c r="DEG279" s="445"/>
      <c r="DEH279" s="414"/>
      <c r="DEK279" s="445"/>
      <c r="DEL279" s="414"/>
      <c r="DEO279" s="445"/>
      <c r="DEP279" s="414"/>
      <c r="DES279" s="445"/>
      <c r="DET279" s="414"/>
      <c r="DEW279" s="445"/>
      <c r="DEX279" s="414"/>
      <c r="DFA279" s="445"/>
      <c r="DFB279" s="414"/>
      <c r="DFE279" s="445"/>
      <c r="DFF279" s="414"/>
      <c r="DFI279" s="445"/>
      <c r="DFJ279" s="414"/>
      <c r="DFM279" s="445"/>
      <c r="DFN279" s="414"/>
      <c r="DFQ279" s="445"/>
      <c r="DFR279" s="414"/>
      <c r="DFU279" s="445"/>
      <c r="DFV279" s="414"/>
      <c r="DFY279" s="445"/>
      <c r="DFZ279" s="414"/>
      <c r="DGC279" s="445"/>
      <c r="DGD279" s="414"/>
      <c r="DGG279" s="445"/>
      <c r="DGH279" s="414"/>
      <c r="DGK279" s="445"/>
      <c r="DGL279" s="414"/>
      <c r="DGO279" s="445"/>
      <c r="DGP279" s="414"/>
      <c r="DGS279" s="445"/>
      <c r="DGT279" s="414"/>
      <c r="DGW279" s="445"/>
      <c r="DGX279" s="414"/>
      <c r="DHA279" s="445"/>
      <c r="DHB279" s="414"/>
      <c r="DHE279" s="445"/>
      <c r="DHF279" s="414"/>
      <c r="DHI279" s="445"/>
      <c r="DHJ279" s="414"/>
      <c r="DHM279" s="445"/>
      <c r="DHN279" s="414"/>
      <c r="DHQ279" s="445"/>
      <c r="DHR279" s="414"/>
      <c r="DHU279" s="445"/>
      <c r="DHV279" s="414"/>
      <c r="DHY279" s="445"/>
      <c r="DHZ279" s="414"/>
      <c r="DIC279" s="445"/>
      <c r="DID279" s="414"/>
      <c r="DIG279" s="445"/>
      <c r="DIH279" s="414"/>
      <c r="DIK279" s="445"/>
      <c r="DIL279" s="414"/>
      <c r="DIO279" s="445"/>
      <c r="DIP279" s="414"/>
      <c r="DIS279" s="445"/>
      <c r="DIT279" s="414"/>
      <c r="DIW279" s="445"/>
      <c r="DIX279" s="414"/>
      <c r="DJA279" s="445"/>
      <c r="DJB279" s="414"/>
      <c r="DJE279" s="445"/>
      <c r="DJF279" s="414"/>
      <c r="DJI279" s="445"/>
      <c r="DJJ279" s="414"/>
      <c r="DJM279" s="445"/>
      <c r="DJN279" s="414"/>
      <c r="DJQ279" s="445"/>
      <c r="DJR279" s="414"/>
      <c r="DJU279" s="445"/>
      <c r="DJV279" s="414"/>
      <c r="DJY279" s="445"/>
      <c r="DJZ279" s="414"/>
      <c r="DKC279" s="445"/>
      <c r="DKD279" s="414"/>
      <c r="DKG279" s="445"/>
      <c r="DKH279" s="414"/>
      <c r="DKK279" s="445"/>
      <c r="DKL279" s="414"/>
      <c r="DKO279" s="445"/>
      <c r="DKP279" s="414"/>
      <c r="DKS279" s="445"/>
      <c r="DKT279" s="414"/>
      <c r="DKW279" s="445"/>
      <c r="DKX279" s="414"/>
      <c r="DLA279" s="445"/>
      <c r="DLB279" s="414"/>
      <c r="DLE279" s="445"/>
      <c r="DLF279" s="414"/>
      <c r="DLI279" s="445"/>
      <c r="DLJ279" s="414"/>
      <c r="DLM279" s="445"/>
      <c r="DLN279" s="414"/>
      <c r="DLQ279" s="445"/>
      <c r="DLR279" s="414"/>
      <c r="DLU279" s="445"/>
      <c r="DLV279" s="414"/>
      <c r="DLY279" s="445"/>
      <c r="DLZ279" s="414"/>
      <c r="DMC279" s="445"/>
      <c r="DMD279" s="414"/>
      <c r="DMG279" s="445"/>
      <c r="DMH279" s="414"/>
      <c r="DMK279" s="445"/>
      <c r="DML279" s="414"/>
      <c r="DMO279" s="445"/>
      <c r="DMP279" s="414"/>
      <c r="DMS279" s="445"/>
      <c r="DMT279" s="414"/>
      <c r="DMW279" s="445"/>
      <c r="DMX279" s="414"/>
      <c r="DNA279" s="445"/>
      <c r="DNB279" s="414"/>
      <c r="DNE279" s="445"/>
      <c r="DNF279" s="414"/>
      <c r="DNI279" s="445"/>
      <c r="DNJ279" s="414"/>
      <c r="DNM279" s="445"/>
      <c r="DNN279" s="414"/>
      <c r="DNQ279" s="445"/>
      <c r="DNR279" s="414"/>
      <c r="DNU279" s="445"/>
      <c r="DNV279" s="414"/>
      <c r="DNY279" s="445"/>
      <c r="DNZ279" s="414"/>
      <c r="DOC279" s="445"/>
      <c r="DOD279" s="414"/>
      <c r="DOG279" s="445"/>
      <c r="DOH279" s="414"/>
      <c r="DOK279" s="445"/>
      <c r="DOL279" s="414"/>
      <c r="DOO279" s="445"/>
      <c r="DOP279" s="414"/>
      <c r="DOS279" s="445"/>
      <c r="DOT279" s="414"/>
      <c r="DOW279" s="445"/>
      <c r="DOX279" s="414"/>
      <c r="DPA279" s="445"/>
      <c r="DPB279" s="414"/>
      <c r="DPE279" s="445"/>
      <c r="DPF279" s="414"/>
      <c r="DPI279" s="445"/>
      <c r="DPJ279" s="414"/>
      <c r="DPM279" s="445"/>
      <c r="DPN279" s="414"/>
      <c r="DPQ279" s="445"/>
      <c r="DPR279" s="414"/>
      <c r="DPU279" s="445"/>
      <c r="DPV279" s="414"/>
      <c r="DPY279" s="445"/>
      <c r="DPZ279" s="414"/>
      <c r="DQC279" s="445"/>
      <c r="DQD279" s="414"/>
      <c r="DQG279" s="445"/>
      <c r="DQH279" s="414"/>
      <c r="DQK279" s="445"/>
      <c r="DQL279" s="414"/>
      <c r="DQO279" s="445"/>
      <c r="DQP279" s="414"/>
      <c r="DQS279" s="445"/>
      <c r="DQT279" s="414"/>
      <c r="DQW279" s="445"/>
      <c r="DQX279" s="414"/>
      <c r="DRA279" s="445"/>
      <c r="DRB279" s="414"/>
      <c r="DRE279" s="445"/>
      <c r="DRF279" s="414"/>
      <c r="DRI279" s="445"/>
      <c r="DRJ279" s="414"/>
      <c r="DRM279" s="445"/>
      <c r="DRN279" s="414"/>
      <c r="DRQ279" s="445"/>
      <c r="DRR279" s="414"/>
      <c r="DRU279" s="445"/>
      <c r="DRV279" s="414"/>
      <c r="DRY279" s="445"/>
      <c r="DRZ279" s="414"/>
      <c r="DSC279" s="445"/>
      <c r="DSD279" s="414"/>
      <c r="DSG279" s="445"/>
      <c r="DSH279" s="414"/>
      <c r="DSK279" s="445"/>
      <c r="DSL279" s="414"/>
      <c r="DSO279" s="445"/>
      <c r="DSP279" s="414"/>
      <c r="DSS279" s="445"/>
      <c r="DST279" s="414"/>
      <c r="DSW279" s="445"/>
      <c r="DSX279" s="414"/>
      <c r="DTA279" s="445"/>
      <c r="DTB279" s="414"/>
      <c r="DTE279" s="445"/>
      <c r="DTF279" s="414"/>
      <c r="DTI279" s="445"/>
      <c r="DTJ279" s="414"/>
      <c r="DTM279" s="445"/>
      <c r="DTN279" s="414"/>
      <c r="DTQ279" s="445"/>
      <c r="DTR279" s="414"/>
      <c r="DTU279" s="445"/>
      <c r="DTV279" s="414"/>
      <c r="DTY279" s="445"/>
      <c r="DTZ279" s="414"/>
      <c r="DUC279" s="445"/>
      <c r="DUD279" s="414"/>
      <c r="DUG279" s="445"/>
      <c r="DUH279" s="414"/>
      <c r="DUK279" s="445"/>
      <c r="DUL279" s="414"/>
      <c r="DUO279" s="445"/>
      <c r="DUP279" s="414"/>
      <c r="DUS279" s="445"/>
      <c r="DUT279" s="414"/>
      <c r="DUW279" s="445"/>
      <c r="DUX279" s="414"/>
      <c r="DVA279" s="445"/>
      <c r="DVB279" s="414"/>
      <c r="DVE279" s="445"/>
      <c r="DVF279" s="414"/>
      <c r="DVI279" s="445"/>
      <c r="DVJ279" s="414"/>
      <c r="DVM279" s="445"/>
      <c r="DVN279" s="414"/>
      <c r="DVQ279" s="445"/>
      <c r="DVR279" s="414"/>
      <c r="DVU279" s="445"/>
      <c r="DVV279" s="414"/>
      <c r="DVY279" s="445"/>
      <c r="DVZ279" s="414"/>
      <c r="DWC279" s="445"/>
      <c r="DWD279" s="414"/>
      <c r="DWG279" s="445"/>
      <c r="DWH279" s="414"/>
      <c r="DWK279" s="445"/>
      <c r="DWL279" s="414"/>
      <c r="DWO279" s="445"/>
      <c r="DWP279" s="414"/>
      <c r="DWS279" s="445"/>
      <c r="DWT279" s="414"/>
      <c r="DWW279" s="445"/>
      <c r="DWX279" s="414"/>
      <c r="DXA279" s="445"/>
      <c r="DXB279" s="414"/>
      <c r="DXE279" s="445"/>
      <c r="DXF279" s="414"/>
      <c r="DXI279" s="445"/>
      <c r="DXJ279" s="414"/>
      <c r="DXM279" s="445"/>
      <c r="DXN279" s="414"/>
      <c r="DXQ279" s="445"/>
      <c r="DXR279" s="414"/>
      <c r="DXU279" s="445"/>
      <c r="DXV279" s="414"/>
      <c r="DXY279" s="445"/>
      <c r="DXZ279" s="414"/>
      <c r="DYC279" s="445"/>
      <c r="DYD279" s="414"/>
      <c r="DYG279" s="445"/>
      <c r="DYH279" s="414"/>
      <c r="DYK279" s="445"/>
      <c r="DYL279" s="414"/>
      <c r="DYO279" s="445"/>
      <c r="DYP279" s="414"/>
      <c r="DYS279" s="445"/>
      <c r="DYT279" s="414"/>
      <c r="DYW279" s="445"/>
      <c r="DYX279" s="414"/>
      <c r="DZA279" s="445"/>
      <c r="DZB279" s="414"/>
      <c r="DZE279" s="445"/>
      <c r="DZF279" s="414"/>
      <c r="DZI279" s="445"/>
      <c r="DZJ279" s="414"/>
      <c r="DZM279" s="445"/>
      <c r="DZN279" s="414"/>
      <c r="DZQ279" s="445"/>
      <c r="DZR279" s="414"/>
      <c r="DZU279" s="445"/>
      <c r="DZV279" s="414"/>
      <c r="DZY279" s="445"/>
      <c r="DZZ279" s="414"/>
      <c r="EAC279" s="445"/>
      <c r="EAD279" s="414"/>
      <c r="EAG279" s="445"/>
      <c r="EAH279" s="414"/>
      <c r="EAK279" s="445"/>
      <c r="EAL279" s="414"/>
      <c r="EAO279" s="445"/>
      <c r="EAP279" s="414"/>
      <c r="EAS279" s="445"/>
      <c r="EAT279" s="414"/>
      <c r="EAW279" s="445"/>
      <c r="EAX279" s="414"/>
      <c r="EBA279" s="445"/>
      <c r="EBB279" s="414"/>
      <c r="EBE279" s="445"/>
      <c r="EBF279" s="414"/>
      <c r="EBI279" s="445"/>
      <c r="EBJ279" s="414"/>
      <c r="EBM279" s="445"/>
      <c r="EBN279" s="414"/>
      <c r="EBQ279" s="445"/>
      <c r="EBR279" s="414"/>
      <c r="EBU279" s="445"/>
      <c r="EBV279" s="414"/>
      <c r="EBY279" s="445"/>
      <c r="EBZ279" s="414"/>
      <c r="ECC279" s="445"/>
      <c r="ECD279" s="414"/>
      <c r="ECG279" s="445"/>
      <c r="ECH279" s="414"/>
      <c r="ECK279" s="445"/>
      <c r="ECL279" s="414"/>
      <c r="ECO279" s="445"/>
      <c r="ECP279" s="414"/>
      <c r="ECS279" s="445"/>
      <c r="ECT279" s="414"/>
      <c r="ECW279" s="445"/>
      <c r="ECX279" s="414"/>
      <c r="EDA279" s="445"/>
      <c r="EDB279" s="414"/>
      <c r="EDE279" s="445"/>
      <c r="EDF279" s="414"/>
      <c r="EDI279" s="445"/>
      <c r="EDJ279" s="414"/>
      <c r="EDM279" s="445"/>
      <c r="EDN279" s="414"/>
      <c r="EDQ279" s="445"/>
      <c r="EDR279" s="414"/>
      <c r="EDU279" s="445"/>
      <c r="EDV279" s="414"/>
      <c r="EDY279" s="445"/>
      <c r="EDZ279" s="414"/>
      <c r="EEC279" s="445"/>
      <c r="EED279" s="414"/>
      <c r="EEG279" s="445"/>
      <c r="EEH279" s="414"/>
      <c r="EEK279" s="445"/>
      <c r="EEL279" s="414"/>
      <c r="EEO279" s="445"/>
      <c r="EEP279" s="414"/>
      <c r="EES279" s="445"/>
      <c r="EET279" s="414"/>
      <c r="EEW279" s="445"/>
      <c r="EEX279" s="414"/>
      <c r="EFA279" s="445"/>
      <c r="EFB279" s="414"/>
      <c r="EFE279" s="445"/>
      <c r="EFF279" s="414"/>
      <c r="EFI279" s="445"/>
      <c r="EFJ279" s="414"/>
      <c r="EFM279" s="445"/>
      <c r="EFN279" s="414"/>
      <c r="EFQ279" s="445"/>
      <c r="EFR279" s="414"/>
      <c r="EFU279" s="445"/>
      <c r="EFV279" s="414"/>
      <c r="EFY279" s="445"/>
      <c r="EFZ279" s="414"/>
      <c r="EGC279" s="445"/>
      <c r="EGD279" s="414"/>
      <c r="EGG279" s="445"/>
      <c r="EGH279" s="414"/>
      <c r="EGK279" s="445"/>
      <c r="EGL279" s="414"/>
      <c r="EGO279" s="445"/>
      <c r="EGP279" s="414"/>
      <c r="EGS279" s="445"/>
      <c r="EGT279" s="414"/>
      <c r="EGW279" s="445"/>
      <c r="EGX279" s="414"/>
      <c r="EHA279" s="445"/>
      <c r="EHB279" s="414"/>
      <c r="EHE279" s="445"/>
      <c r="EHF279" s="414"/>
      <c r="EHI279" s="445"/>
      <c r="EHJ279" s="414"/>
      <c r="EHM279" s="445"/>
      <c r="EHN279" s="414"/>
      <c r="EHQ279" s="445"/>
      <c r="EHR279" s="414"/>
      <c r="EHU279" s="445"/>
      <c r="EHV279" s="414"/>
      <c r="EHY279" s="445"/>
      <c r="EHZ279" s="414"/>
      <c r="EIC279" s="445"/>
      <c r="EID279" s="414"/>
      <c r="EIG279" s="445"/>
      <c r="EIH279" s="414"/>
      <c r="EIK279" s="445"/>
      <c r="EIL279" s="414"/>
      <c r="EIO279" s="445"/>
      <c r="EIP279" s="414"/>
      <c r="EIS279" s="445"/>
      <c r="EIT279" s="414"/>
      <c r="EIW279" s="445"/>
      <c r="EIX279" s="414"/>
      <c r="EJA279" s="445"/>
      <c r="EJB279" s="414"/>
      <c r="EJE279" s="445"/>
      <c r="EJF279" s="414"/>
      <c r="EJI279" s="445"/>
      <c r="EJJ279" s="414"/>
      <c r="EJM279" s="445"/>
      <c r="EJN279" s="414"/>
      <c r="EJQ279" s="445"/>
      <c r="EJR279" s="414"/>
      <c r="EJU279" s="445"/>
      <c r="EJV279" s="414"/>
      <c r="EJY279" s="445"/>
      <c r="EJZ279" s="414"/>
      <c r="EKC279" s="445"/>
      <c r="EKD279" s="414"/>
      <c r="EKG279" s="445"/>
      <c r="EKH279" s="414"/>
      <c r="EKK279" s="445"/>
      <c r="EKL279" s="414"/>
      <c r="EKO279" s="445"/>
      <c r="EKP279" s="414"/>
      <c r="EKS279" s="445"/>
      <c r="EKT279" s="414"/>
      <c r="EKW279" s="445"/>
      <c r="EKX279" s="414"/>
      <c r="ELA279" s="445"/>
      <c r="ELB279" s="414"/>
      <c r="ELE279" s="445"/>
      <c r="ELF279" s="414"/>
      <c r="ELI279" s="445"/>
      <c r="ELJ279" s="414"/>
      <c r="ELM279" s="445"/>
      <c r="ELN279" s="414"/>
      <c r="ELQ279" s="445"/>
      <c r="ELR279" s="414"/>
      <c r="ELU279" s="445"/>
      <c r="ELV279" s="414"/>
      <c r="ELY279" s="445"/>
      <c r="ELZ279" s="414"/>
      <c r="EMC279" s="445"/>
      <c r="EMD279" s="414"/>
      <c r="EMG279" s="445"/>
      <c r="EMH279" s="414"/>
      <c r="EMK279" s="445"/>
      <c r="EML279" s="414"/>
      <c r="EMO279" s="445"/>
      <c r="EMP279" s="414"/>
      <c r="EMS279" s="445"/>
      <c r="EMT279" s="414"/>
      <c r="EMW279" s="445"/>
      <c r="EMX279" s="414"/>
      <c r="ENA279" s="445"/>
      <c r="ENB279" s="414"/>
      <c r="ENE279" s="445"/>
      <c r="ENF279" s="414"/>
      <c r="ENI279" s="445"/>
      <c r="ENJ279" s="414"/>
      <c r="ENM279" s="445"/>
      <c r="ENN279" s="414"/>
      <c r="ENQ279" s="445"/>
      <c r="ENR279" s="414"/>
      <c r="ENU279" s="445"/>
      <c r="ENV279" s="414"/>
      <c r="ENY279" s="445"/>
      <c r="ENZ279" s="414"/>
      <c r="EOC279" s="445"/>
      <c r="EOD279" s="414"/>
      <c r="EOG279" s="445"/>
      <c r="EOH279" s="414"/>
      <c r="EOK279" s="445"/>
      <c r="EOL279" s="414"/>
      <c r="EOO279" s="445"/>
      <c r="EOP279" s="414"/>
      <c r="EOS279" s="445"/>
      <c r="EOT279" s="414"/>
      <c r="EOW279" s="445"/>
      <c r="EOX279" s="414"/>
      <c r="EPA279" s="445"/>
      <c r="EPB279" s="414"/>
      <c r="EPE279" s="445"/>
      <c r="EPF279" s="414"/>
      <c r="EPI279" s="445"/>
      <c r="EPJ279" s="414"/>
      <c r="EPM279" s="445"/>
      <c r="EPN279" s="414"/>
      <c r="EPQ279" s="445"/>
      <c r="EPR279" s="414"/>
      <c r="EPU279" s="445"/>
      <c r="EPV279" s="414"/>
      <c r="EPY279" s="445"/>
      <c r="EPZ279" s="414"/>
      <c r="EQC279" s="445"/>
      <c r="EQD279" s="414"/>
      <c r="EQG279" s="445"/>
      <c r="EQH279" s="414"/>
      <c r="EQK279" s="445"/>
      <c r="EQL279" s="414"/>
      <c r="EQO279" s="445"/>
      <c r="EQP279" s="414"/>
      <c r="EQS279" s="445"/>
      <c r="EQT279" s="414"/>
      <c r="EQW279" s="445"/>
      <c r="EQX279" s="414"/>
      <c r="ERA279" s="445"/>
      <c r="ERB279" s="414"/>
      <c r="ERE279" s="445"/>
      <c r="ERF279" s="414"/>
      <c r="ERI279" s="445"/>
      <c r="ERJ279" s="414"/>
      <c r="ERM279" s="445"/>
      <c r="ERN279" s="414"/>
      <c r="ERQ279" s="445"/>
      <c r="ERR279" s="414"/>
      <c r="ERU279" s="445"/>
      <c r="ERV279" s="414"/>
      <c r="ERY279" s="445"/>
      <c r="ERZ279" s="414"/>
      <c r="ESC279" s="445"/>
      <c r="ESD279" s="414"/>
      <c r="ESG279" s="445"/>
      <c r="ESH279" s="414"/>
      <c r="ESK279" s="445"/>
      <c r="ESL279" s="414"/>
      <c r="ESO279" s="445"/>
      <c r="ESP279" s="414"/>
      <c r="ESS279" s="445"/>
      <c r="EST279" s="414"/>
      <c r="ESW279" s="445"/>
      <c r="ESX279" s="414"/>
      <c r="ETA279" s="445"/>
      <c r="ETB279" s="414"/>
      <c r="ETE279" s="445"/>
      <c r="ETF279" s="414"/>
      <c r="ETI279" s="445"/>
      <c r="ETJ279" s="414"/>
      <c r="ETM279" s="445"/>
      <c r="ETN279" s="414"/>
      <c r="ETQ279" s="445"/>
      <c r="ETR279" s="414"/>
      <c r="ETU279" s="445"/>
      <c r="ETV279" s="414"/>
      <c r="ETY279" s="445"/>
      <c r="ETZ279" s="414"/>
      <c r="EUC279" s="445"/>
      <c r="EUD279" s="414"/>
      <c r="EUG279" s="445"/>
      <c r="EUH279" s="414"/>
      <c r="EUK279" s="445"/>
      <c r="EUL279" s="414"/>
      <c r="EUO279" s="445"/>
      <c r="EUP279" s="414"/>
      <c r="EUS279" s="445"/>
      <c r="EUT279" s="414"/>
      <c r="EUW279" s="445"/>
      <c r="EUX279" s="414"/>
      <c r="EVA279" s="445"/>
      <c r="EVB279" s="414"/>
      <c r="EVE279" s="445"/>
      <c r="EVF279" s="414"/>
      <c r="EVI279" s="445"/>
      <c r="EVJ279" s="414"/>
      <c r="EVM279" s="445"/>
      <c r="EVN279" s="414"/>
      <c r="EVQ279" s="445"/>
      <c r="EVR279" s="414"/>
      <c r="EVU279" s="445"/>
      <c r="EVV279" s="414"/>
      <c r="EVY279" s="445"/>
      <c r="EVZ279" s="414"/>
      <c r="EWC279" s="445"/>
      <c r="EWD279" s="414"/>
      <c r="EWG279" s="445"/>
      <c r="EWH279" s="414"/>
      <c r="EWK279" s="445"/>
      <c r="EWL279" s="414"/>
      <c r="EWO279" s="445"/>
      <c r="EWP279" s="414"/>
      <c r="EWS279" s="445"/>
      <c r="EWT279" s="414"/>
      <c r="EWW279" s="445"/>
      <c r="EWX279" s="414"/>
      <c r="EXA279" s="445"/>
      <c r="EXB279" s="414"/>
      <c r="EXE279" s="445"/>
      <c r="EXF279" s="414"/>
      <c r="EXI279" s="445"/>
      <c r="EXJ279" s="414"/>
      <c r="EXM279" s="445"/>
      <c r="EXN279" s="414"/>
      <c r="EXQ279" s="445"/>
      <c r="EXR279" s="414"/>
      <c r="EXU279" s="445"/>
      <c r="EXV279" s="414"/>
      <c r="EXY279" s="445"/>
      <c r="EXZ279" s="414"/>
      <c r="EYC279" s="445"/>
      <c r="EYD279" s="414"/>
      <c r="EYG279" s="445"/>
      <c r="EYH279" s="414"/>
      <c r="EYK279" s="445"/>
      <c r="EYL279" s="414"/>
      <c r="EYO279" s="445"/>
      <c r="EYP279" s="414"/>
      <c r="EYS279" s="445"/>
      <c r="EYT279" s="414"/>
      <c r="EYW279" s="445"/>
      <c r="EYX279" s="414"/>
      <c r="EZA279" s="445"/>
      <c r="EZB279" s="414"/>
      <c r="EZE279" s="445"/>
      <c r="EZF279" s="414"/>
      <c r="EZI279" s="445"/>
      <c r="EZJ279" s="414"/>
      <c r="EZM279" s="445"/>
      <c r="EZN279" s="414"/>
      <c r="EZQ279" s="445"/>
      <c r="EZR279" s="414"/>
      <c r="EZU279" s="445"/>
      <c r="EZV279" s="414"/>
      <c r="EZY279" s="445"/>
      <c r="EZZ279" s="414"/>
      <c r="FAC279" s="445"/>
      <c r="FAD279" s="414"/>
      <c r="FAG279" s="445"/>
      <c r="FAH279" s="414"/>
      <c r="FAK279" s="445"/>
      <c r="FAL279" s="414"/>
      <c r="FAO279" s="445"/>
      <c r="FAP279" s="414"/>
      <c r="FAS279" s="445"/>
      <c r="FAT279" s="414"/>
      <c r="FAW279" s="445"/>
      <c r="FAX279" s="414"/>
      <c r="FBA279" s="445"/>
      <c r="FBB279" s="414"/>
      <c r="FBE279" s="445"/>
      <c r="FBF279" s="414"/>
      <c r="FBI279" s="445"/>
      <c r="FBJ279" s="414"/>
      <c r="FBM279" s="445"/>
      <c r="FBN279" s="414"/>
      <c r="FBQ279" s="445"/>
      <c r="FBR279" s="414"/>
      <c r="FBU279" s="445"/>
      <c r="FBV279" s="414"/>
      <c r="FBY279" s="445"/>
      <c r="FBZ279" s="414"/>
      <c r="FCC279" s="445"/>
      <c r="FCD279" s="414"/>
      <c r="FCG279" s="445"/>
      <c r="FCH279" s="414"/>
      <c r="FCK279" s="445"/>
      <c r="FCL279" s="414"/>
      <c r="FCO279" s="445"/>
      <c r="FCP279" s="414"/>
      <c r="FCS279" s="445"/>
      <c r="FCT279" s="414"/>
      <c r="FCW279" s="445"/>
      <c r="FCX279" s="414"/>
      <c r="FDA279" s="445"/>
      <c r="FDB279" s="414"/>
      <c r="FDE279" s="445"/>
      <c r="FDF279" s="414"/>
      <c r="FDI279" s="445"/>
      <c r="FDJ279" s="414"/>
      <c r="FDM279" s="445"/>
      <c r="FDN279" s="414"/>
      <c r="FDQ279" s="445"/>
      <c r="FDR279" s="414"/>
      <c r="FDU279" s="445"/>
      <c r="FDV279" s="414"/>
      <c r="FDY279" s="445"/>
      <c r="FDZ279" s="414"/>
      <c r="FEC279" s="445"/>
      <c r="FED279" s="414"/>
      <c r="FEG279" s="445"/>
      <c r="FEH279" s="414"/>
      <c r="FEK279" s="445"/>
      <c r="FEL279" s="414"/>
      <c r="FEO279" s="445"/>
      <c r="FEP279" s="414"/>
      <c r="FES279" s="445"/>
      <c r="FET279" s="414"/>
      <c r="FEW279" s="445"/>
      <c r="FEX279" s="414"/>
      <c r="FFA279" s="445"/>
      <c r="FFB279" s="414"/>
      <c r="FFE279" s="445"/>
      <c r="FFF279" s="414"/>
      <c r="FFI279" s="445"/>
      <c r="FFJ279" s="414"/>
      <c r="FFM279" s="445"/>
      <c r="FFN279" s="414"/>
      <c r="FFQ279" s="445"/>
      <c r="FFR279" s="414"/>
      <c r="FFU279" s="445"/>
      <c r="FFV279" s="414"/>
      <c r="FFY279" s="445"/>
      <c r="FFZ279" s="414"/>
      <c r="FGC279" s="445"/>
      <c r="FGD279" s="414"/>
      <c r="FGG279" s="445"/>
      <c r="FGH279" s="414"/>
      <c r="FGK279" s="445"/>
      <c r="FGL279" s="414"/>
      <c r="FGO279" s="445"/>
      <c r="FGP279" s="414"/>
      <c r="FGS279" s="445"/>
      <c r="FGT279" s="414"/>
      <c r="FGW279" s="445"/>
      <c r="FGX279" s="414"/>
      <c r="FHA279" s="445"/>
      <c r="FHB279" s="414"/>
      <c r="FHE279" s="445"/>
      <c r="FHF279" s="414"/>
      <c r="FHI279" s="445"/>
      <c r="FHJ279" s="414"/>
      <c r="FHM279" s="445"/>
      <c r="FHN279" s="414"/>
      <c r="FHQ279" s="445"/>
      <c r="FHR279" s="414"/>
      <c r="FHU279" s="445"/>
      <c r="FHV279" s="414"/>
      <c r="FHY279" s="445"/>
      <c r="FHZ279" s="414"/>
      <c r="FIC279" s="445"/>
      <c r="FID279" s="414"/>
      <c r="FIG279" s="445"/>
      <c r="FIH279" s="414"/>
      <c r="FIK279" s="445"/>
      <c r="FIL279" s="414"/>
      <c r="FIO279" s="445"/>
      <c r="FIP279" s="414"/>
      <c r="FIS279" s="445"/>
      <c r="FIT279" s="414"/>
      <c r="FIW279" s="445"/>
      <c r="FIX279" s="414"/>
      <c r="FJA279" s="445"/>
      <c r="FJB279" s="414"/>
      <c r="FJE279" s="445"/>
      <c r="FJF279" s="414"/>
      <c r="FJI279" s="445"/>
      <c r="FJJ279" s="414"/>
      <c r="FJM279" s="445"/>
      <c r="FJN279" s="414"/>
      <c r="FJQ279" s="445"/>
      <c r="FJR279" s="414"/>
      <c r="FJU279" s="445"/>
      <c r="FJV279" s="414"/>
      <c r="FJY279" s="445"/>
      <c r="FJZ279" s="414"/>
      <c r="FKC279" s="445"/>
      <c r="FKD279" s="414"/>
      <c r="FKG279" s="445"/>
      <c r="FKH279" s="414"/>
      <c r="FKK279" s="445"/>
      <c r="FKL279" s="414"/>
      <c r="FKO279" s="445"/>
      <c r="FKP279" s="414"/>
      <c r="FKS279" s="445"/>
      <c r="FKT279" s="414"/>
      <c r="FKW279" s="445"/>
      <c r="FKX279" s="414"/>
      <c r="FLA279" s="445"/>
      <c r="FLB279" s="414"/>
      <c r="FLE279" s="445"/>
      <c r="FLF279" s="414"/>
      <c r="FLI279" s="445"/>
      <c r="FLJ279" s="414"/>
      <c r="FLM279" s="445"/>
      <c r="FLN279" s="414"/>
      <c r="FLQ279" s="445"/>
      <c r="FLR279" s="414"/>
      <c r="FLU279" s="445"/>
      <c r="FLV279" s="414"/>
      <c r="FLY279" s="445"/>
      <c r="FLZ279" s="414"/>
      <c r="FMC279" s="445"/>
      <c r="FMD279" s="414"/>
      <c r="FMG279" s="445"/>
      <c r="FMH279" s="414"/>
      <c r="FMK279" s="445"/>
      <c r="FML279" s="414"/>
      <c r="FMO279" s="445"/>
      <c r="FMP279" s="414"/>
      <c r="FMS279" s="445"/>
      <c r="FMT279" s="414"/>
      <c r="FMW279" s="445"/>
      <c r="FMX279" s="414"/>
      <c r="FNA279" s="445"/>
      <c r="FNB279" s="414"/>
      <c r="FNE279" s="445"/>
      <c r="FNF279" s="414"/>
      <c r="FNI279" s="445"/>
      <c r="FNJ279" s="414"/>
      <c r="FNM279" s="445"/>
      <c r="FNN279" s="414"/>
      <c r="FNQ279" s="445"/>
      <c r="FNR279" s="414"/>
      <c r="FNU279" s="445"/>
      <c r="FNV279" s="414"/>
      <c r="FNY279" s="445"/>
      <c r="FNZ279" s="414"/>
      <c r="FOC279" s="445"/>
      <c r="FOD279" s="414"/>
      <c r="FOG279" s="445"/>
      <c r="FOH279" s="414"/>
      <c r="FOK279" s="445"/>
      <c r="FOL279" s="414"/>
      <c r="FOO279" s="445"/>
      <c r="FOP279" s="414"/>
      <c r="FOS279" s="445"/>
      <c r="FOT279" s="414"/>
      <c r="FOW279" s="445"/>
      <c r="FOX279" s="414"/>
      <c r="FPA279" s="445"/>
      <c r="FPB279" s="414"/>
      <c r="FPE279" s="445"/>
      <c r="FPF279" s="414"/>
      <c r="FPI279" s="445"/>
      <c r="FPJ279" s="414"/>
      <c r="FPM279" s="445"/>
      <c r="FPN279" s="414"/>
      <c r="FPQ279" s="445"/>
      <c r="FPR279" s="414"/>
      <c r="FPU279" s="445"/>
      <c r="FPV279" s="414"/>
      <c r="FPY279" s="445"/>
      <c r="FPZ279" s="414"/>
      <c r="FQC279" s="445"/>
      <c r="FQD279" s="414"/>
      <c r="FQG279" s="445"/>
      <c r="FQH279" s="414"/>
      <c r="FQK279" s="445"/>
      <c r="FQL279" s="414"/>
      <c r="FQO279" s="445"/>
      <c r="FQP279" s="414"/>
      <c r="FQS279" s="445"/>
      <c r="FQT279" s="414"/>
      <c r="FQW279" s="445"/>
      <c r="FQX279" s="414"/>
      <c r="FRA279" s="445"/>
      <c r="FRB279" s="414"/>
      <c r="FRE279" s="445"/>
      <c r="FRF279" s="414"/>
      <c r="FRI279" s="445"/>
      <c r="FRJ279" s="414"/>
      <c r="FRM279" s="445"/>
      <c r="FRN279" s="414"/>
      <c r="FRQ279" s="445"/>
      <c r="FRR279" s="414"/>
      <c r="FRU279" s="445"/>
      <c r="FRV279" s="414"/>
      <c r="FRY279" s="445"/>
      <c r="FRZ279" s="414"/>
      <c r="FSC279" s="445"/>
      <c r="FSD279" s="414"/>
      <c r="FSG279" s="445"/>
      <c r="FSH279" s="414"/>
      <c r="FSK279" s="445"/>
      <c r="FSL279" s="414"/>
      <c r="FSO279" s="445"/>
      <c r="FSP279" s="414"/>
      <c r="FSS279" s="445"/>
      <c r="FST279" s="414"/>
      <c r="FSW279" s="445"/>
      <c r="FSX279" s="414"/>
      <c r="FTA279" s="445"/>
      <c r="FTB279" s="414"/>
      <c r="FTE279" s="445"/>
      <c r="FTF279" s="414"/>
      <c r="FTI279" s="445"/>
      <c r="FTJ279" s="414"/>
      <c r="FTM279" s="445"/>
      <c r="FTN279" s="414"/>
      <c r="FTQ279" s="445"/>
      <c r="FTR279" s="414"/>
      <c r="FTU279" s="445"/>
      <c r="FTV279" s="414"/>
      <c r="FTY279" s="445"/>
      <c r="FTZ279" s="414"/>
      <c r="FUC279" s="445"/>
      <c r="FUD279" s="414"/>
      <c r="FUG279" s="445"/>
      <c r="FUH279" s="414"/>
      <c r="FUK279" s="445"/>
      <c r="FUL279" s="414"/>
      <c r="FUO279" s="445"/>
      <c r="FUP279" s="414"/>
      <c r="FUS279" s="445"/>
      <c r="FUT279" s="414"/>
      <c r="FUW279" s="445"/>
      <c r="FUX279" s="414"/>
      <c r="FVA279" s="445"/>
      <c r="FVB279" s="414"/>
      <c r="FVE279" s="445"/>
      <c r="FVF279" s="414"/>
      <c r="FVI279" s="445"/>
      <c r="FVJ279" s="414"/>
      <c r="FVM279" s="445"/>
      <c r="FVN279" s="414"/>
      <c r="FVQ279" s="445"/>
      <c r="FVR279" s="414"/>
      <c r="FVU279" s="445"/>
      <c r="FVV279" s="414"/>
      <c r="FVY279" s="445"/>
      <c r="FVZ279" s="414"/>
      <c r="FWC279" s="445"/>
      <c r="FWD279" s="414"/>
      <c r="FWG279" s="445"/>
      <c r="FWH279" s="414"/>
      <c r="FWK279" s="445"/>
      <c r="FWL279" s="414"/>
      <c r="FWO279" s="445"/>
      <c r="FWP279" s="414"/>
      <c r="FWS279" s="445"/>
      <c r="FWT279" s="414"/>
      <c r="FWW279" s="445"/>
      <c r="FWX279" s="414"/>
      <c r="FXA279" s="445"/>
      <c r="FXB279" s="414"/>
      <c r="FXE279" s="445"/>
      <c r="FXF279" s="414"/>
      <c r="FXI279" s="445"/>
      <c r="FXJ279" s="414"/>
      <c r="FXM279" s="445"/>
      <c r="FXN279" s="414"/>
      <c r="FXQ279" s="445"/>
      <c r="FXR279" s="414"/>
      <c r="FXU279" s="445"/>
      <c r="FXV279" s="414"/>
      <c r="FXY279" s="445"/>
      <c r="FXZ279" s="414"/>
      <c r="FYC279" s="445"/>
      <c r="FYD279" s="414"/>
      <c r="FYG279" s="445"/>
      <c r="FYH279" s="414"/>
      <c r="FYK279" s="445"/>
      <c r="FYL279" s="414"/>
      <c r="FYO279" s="445"/>
      <c r="FYP279" s="414"/>
      <c r="FYS279" s="445"/>
      <c r="FYT279" s="414"/>
      <c r="FYW279" s="445"/>
      <c r="FYX279" s="414"/>
      <c r="FZA279" s="445"/>
      <c r="FZB279" s="414"/>
      <c r="FZE279" s="445"/>
      <c r="FZF279" s="414"/>
      <c r="FZI279" s="445"/>
      <c r="FZJ279" s="414"/>
      <c r="FZM279" s="445"/>
      <c r="FZN279" s="414"/>
      <c r="FZQ279" s="445"/>
      <c r="FZR279" s="414"/>
      <c r="FZU279" s="445"/>
      <c r="FZV279" s="414"/>
      <c r="FZY279" s="445"/>
      <c r="FZZ279" s="414"/>
      <c r="GAC279" s="445"/>
      <c r="GAD279" s="414"/>
      <c r="GAG279" s="445"/>
      <c r="GAH279" s="414"/>
      <c r="GAK279" s="445"/>
      <c r="GAL279" s="414"/>
      <c r="GAO279" s="445"/>
      <c r="GAP279" s="414"/>
      <c r="GAS279" s="445"/>
      <c r="GAT279" s="414"/>
      <c r="GAW279" s="445"/>
      <c r="GAX279" s="414"/>
      <c r="GBA279" s="445"/>
      <c r="GBB279" s="414"/>
      <c r="GBE279" s="445"/>
      <c r="GBF279" s="414"/>
      <c r="GBI279" s="445"/>
      <c r="GBJ279" s="414"/>
      <c r="GBM279" s="445"/>
      <c r="GBN279" s="414"/>
      <c r="GBQ279" s="445"/>
      <c r="GBR279" s="414"/>
      <c r="GBU279" s="445"/>
      <c r="GBV279" s="414"/>
      <c r="GBY279" s="445"/>
      <c r="GBZ279" s="414"/>
      <c r="GCC279" s="445"/>
      <c r="GCD279" s="414"/>
      <c r="GCG279" s="445"/>
      <c r="GCH279" s="414"/>
      <c r="GCK279" s="445"/>
      <c r="GCL279" s="414"/>
      <c r="GCO279" s="445"/>
      <c r="GCP279" s="414"/>
      <c r="GCS279" s="445"/>
      <c r="GCT279" s="414"/>
      <c r="GCW279" s="445"/>
      <c r="GCX279" s="414"/>
      <c r="GDA279" s="445"/>
      <c r="GDB279" s="414"/>
      <c r="GDE279" s="445"/>
      <c r="GDF279" s="414"/>
      <c r="GDI279" s="445"/>
      <c r="GDJ279" s="414"/>
      <c r="GDM279" s="445"/>
      <c r="GDN279" s="414"/>
      <c r="GDQ279" s="445"/>
      <c r="GDR279" s="414"/>
      <c r="GDU279" s="445"/>
      <c r="GDV279" s="414"/>
      <c r="GDY279" s="445"/>
      <c r="GDZ279" s="414"/>
      <c r="GEC279" s="445"/>
      <c r="GED279" s="414"/>
      <c r="GEG279" s="445"/>
      <c r="GEH279" s="414"/>
      <c r="GEK279" s="445"/>
      <c r="GEL279" s="414"/>
      <c r="GEO279" s="445"/>
      <c r="GEP279" s="414"/>
      <c r="GES279" s="445"/>
      <c r="GET279" s="414"/>
      <c r="GEW279" s="445"/>
      <c r="GEX279" s="414"/>
      <c r="GFA279" s="445"/>
      <c r="GFB279" s="414"/>
      <c r="GFE279" s="445"/>
      <c r="GFF279" s="414"/>
      <c r="GFI279" s="445"/>
      <c r="GFJ279" s="414"/>
      <c r="GFM279" s="445"/>
      <c r="GFN279" s="414"/>
      <c r="GFQ279" s="445"/>
      <c r="GFR279" s="414"/>
      <c r="GFU279" s="445"/>
      <c r="GFV279" s="414"/>
      <c r="GFY279" s="445"/>
      <c r="GFZ279" s="414"/>
      <c r="GGC279" s="445"/>
      <c r="GGD279" s="414"/>
      <c r="GGG279" s="445"/>
      <c r="GGH279" s="414"/>
      <c r="GGK279" s="445"/>
      <c r="GGL279" s="414"/>
      <c r="GGO279" s="445"/>
      <c r="GGP279" s="414"/>
      <c r="GGS279" s="445"/>
      <c r="GGT279" s="414"/>
      <c r="GGW279" s="445"/>
      <c r="GGX279" s="414"/>
      <c r="GHA279" s="445"/>
      <c r="GHB279" s="414"/>
      <c r="GHE279" s="445"/>
      <c r="GHF279" s="414"/>
      <c r="GHI279" s="445"/>
      <c r="GHJ279" s="414"/>
      <c r="GHM279" s="445"/>
      <c r="GHN279" s="414"/>
      <c r="GHQ279" s="445"/>
      <c r="GHR279" s="414"/>
      <c r="GHU279" s="445"/>
      <c r="GHV279" s="414"/>
      <c r="GHY279" s="445"/>
      <c r="GHZ279" s="414"/>
      <c r="GIC279" s="445"/>
      <c r="GID279" s="414"/>
      <c r="GIG279" s="445"/>
      <c r="GIH279" s="414"/>
      <c r="GIK279" s="445"/>
      <c r="GIL279" s="414"/>
      <c r="GIO279" s="445"/>
      <c r="GIP279" s="414"/>
      <c r="GIS279" s="445"/>
      <c r="GIT279" s="414"/>
      <c r="GIW279" s="445"/>
      <c r="GIX279" s="414"/>
      <c r="GJA279" s="445"/>
      <c r="GJB279" s="414"/>
      <c r="GJE279" s="445"/>
      <c r="GJF279" s="414"/>
      <c r="GJI279" s="445"/>
      <c r="GJJ279" s="414"/>
      <c r="GJM279" s="445"/>
      <c r="GJN279" s="414"/>
      <c r="GJQ279" s="445"/>
      <c r="GJR279" s="414"/>
      <c r="GJU279" s="445"/>
      <c r="GJV279" s="414"/>
      <c r="GJY279" s="445"/>
      <c r="GJZ279" s="414"/>
      <c r="GKC279" s="445"/>
      <c r="GKD279" s="414"/>
      <c r="GKG279" s="445"/>
      <c r="GKH279" s="414"/>
      <c r="GKK279" s="445"/>
      <c r="GKL279" s="414"/>
      <c r="GKO279" s="445"/>
      <c r="GKP279" s="414"/>
      <c r="GKS279" s="445"/>
      <c r="GKT279" s="414"/>
      <c r="GKW279" s="445"/>
      <c r="GKX279" s="414"/>
      <c r="GLA279" s="445"/>
      <c r="GLB279" s="414"/>
      <c r="GLE279" s="445"/>
      <c r="GLF279" s="414"/>
      <c r="GLI279" s="445"/>
      <c r="GLJ279" s="414"/>
      <c r="GLM279" s="445"/>
      <c r="GLN279" s="414"/>
      <c r="GLQ279" s="445"/>
      <c r="GLR279" s="414"/>
      <c r="GLU279" s="445"/>
      <c r="GLV279" s="414"/>
      <c r="GLY279" s="445"/>
      <c r="GLZ279" s="414"/>
      <c r="GMC279" s="445"/>
      <c r="GMD279" s="414"/>
      <c r="GMG279" s="445"/>
      <c r="GMH279" s="414"/>
      <c r="GMK279" s="445"/>
      <c r="GML279" s="414"/>
      <c r="GMO279" s="445"/>
      <c r="GMP279" s="414"/>
      <c r="GMS279" s="445"/>
      <c r="GMT279" s="414"/>
      <c r="GMW279" s="445"/>
      <c r="GMX279" s="414"/>
      <c r="GNA279" s="445"/>
      <c r="GNB279" s="414"/>
      <c r="GNE279" s="445"/>
      <c r="GNF279" s="414"/>
      <c r="GNI279" s="445"/>
      <c r="GNJ279" s="414"/>
      <c r="GNM279" s="445"/>
      <c r="GNN279" s="414"/>
      <c r="GNQ279" s="445"/>
      <c r="GNR279" s="414"/>
      <c r="GNU279" s="445"/>
      <c r="GNV279" s="414"/>
      <c r="GNY279" s="445"/>
      <c r="GNZ279" s="414"/>
      <c r="GOC279" s="445"/>
      <c r="GOD279" s="414"/>
      <c r="GOG279" s="445"/>
      <c r="GOH279" s="414"/>
      <c r="GOK279" s="445"/>
      <c r="GOL279" s="414"/>
      <c r="GOO279" s="445"/>
      <c r="GOP279" s="414"/>
      <c r="GOS279" s="445"/>
      <c r="GOT279" s="414"/>
      <c r="GOW279" s="445"/>
      <c r="GOX279" s="414"/>
      <c r="GPA279" s="445"/>
      <c r="GPB279" s="414"/>
      <c r="GPE279" s="445"/>
      <c r="GPF279" s="414"/>
      <c r="GPI279" s="445"/>
      <c r="GPJ279" s="414"/>
      <c r="GPM279" s="445"/>
      <c r="GPN279" s="414"/>
      <c r="GPQ279" s="445"/>
      <c r="GPR279" s="414"/>
      <c r="GPU279" s="445"/>
      <c r="GPV279" s="414"/>
      <c r="GPY279" s="445"/>
      <c r="GPZ279" s="414"/>
      <c r="GQC279" s="445"/>
      <c r="GQD279" s="414"/>
      <c r="GQG279" s="445"/>
      <c r="GQH279" s="414"/>
      <c r="GQK279" s="445"/>
      <c r="GQL279" s="414"/>
      <c r="GQO279" s="445"/>
      <c r="GQP279" s="414"/>
      <c r="GQS279" s="445"/>
      <c r="GQT279" s="414"/>
      <c r="GQW279" s="445"/>
      <c r="GQX279" s="414"/>
      <c r="GRA279" s="445"/>
      <c r="GRB279" s="414"/>
      <c r="GRE279" s="445"/>
      <c r="GRF279" s="414"/>
      <c r="GRI279" s="445"/>
      <c r="GRJ279" s="414"/>
      <c r="GRM279" s="445"/>
      <c r="GRN279" s="414"/>
      <c r="GRQ279" s="445"/>
      <c r="GRR279" s="414"/>
      <c r="GRU279" s="445"/>
      <c r="GRV279" s="414"/>
      <c r="GRY279" s="445"/>
      <c r="GRZ279" s="414"/>
      <c r="GSC279" s="445"/>
      <c r="GSD279" s="414"/>
      <c r="GSG279" s="445"/>
      <c r="GSH279" s="414"/>
      <c r="GSK279" s="445"/>
      <c r="GSL279" s="414"/>
      <c r="GSO279" s="445"/>
      <c r="GSP279" s="414"/>
      <c r="GSS279" s="445"/>
      <c r="GST279" s="414"/>
      <c r="GSW279" s="445"/>
      <c r="GSX279" s="414"/>
      <c r="GTA279" s="445"/>
      <c r="GTB279" s="414"/>
      <c r="GTE279" s="445"/>
      <c r="GTF279" s="414"/>
      <c r="GTI279" s="445"/>
      <c r="GTJ279" s="414"/>
      <c r="GTM279" s="445"/>
      <c r="GTN279" s="414"/>
      <c r="GTQ279" s="445"/>
      <c r="GTR279" s="414"/>
      <c r="GTU279" s="445"/>
      <c r="GTV279" s="414"/>
      <c r="GTY279" s="445"/>
      <c r="GTZ279" s="414"/>
      <c r="GUC279" s="445"/>
      <c r="GUD279" s="414"/>
      <c r="GUG279" s="445"/>
      <c r="GUH279" s="414"/>
      <c r="GUK279" s="445"/>
      <c r="GUL279" s="414"/>
      <c r="GUO279" s="445"/>
      <c r="GUP279" s="414"/>
      <c r="GUS279" s="445"/>
      <c r="GUT279" s="414"/>
      <c r="GUW279" s="445"/>
      <c r="GUX279" s="414"/>
      <c r="GVA279" s="445"/>
      <c r="GVB279" s="414"/>
      <c r="GVE279" s="445"/>
      <c r="GVF279" s="414"/>
      <c r="GVI279" s="445"/>
      <c r="GVJ279" s="414"/>
      <c r="GVM279" s="445"/>
      <c r="GVN279" s="414"/>
      <c r="GVQ279" s="445"/>
      <c r="GVR279" s="414"/>
      <c r="GVU279" s="445"/>
      <c r="GVV279" s="414"/>
      <c r="GVY279" s="445"/>
      <c r="GVZ279" s="414"/>
      <c r="GWC279" s="445"/>
      <c r="GWD279" s="414"/>
      <c r="GWG279" s="445"/>
      <c r="GWH279" s="414"/>
      <c r="GWK279" s="445"/>
      <c r="GWL279" s="414"/>
      <c r="GWO279" s="445"/>
      <c r="GWP279" s="414"/>
      <c r="GWS279" s="445"/>
      <c r="GWT279" s="414"/>
      <c r="GWW279" s="445"/>
      <c r="GWX279" s="414"/>
      <c r="GXA279" s="445"/>
      <c r="GXB279" s="414"/>
      <c r="GXE279" s="445"/>
      <c r="GXF279" s="414"/>
      <c r="GXI279" s="445"/>
      <c r="GXJ279" s="414"/>
      <c r="GXM279" s="445"/>
      <c r="GXN279" s="414"/>
      <c r="GXQ279" s="445"/>
      <c r="GXR279" s="414"/>
      <c r="GXU279" s="445"/>
      <c r="GXV279" s="414"/>
      <c r="GXY279" s="445"/>
      <c r="GXZ279" s="414"/>
      <c r="GYC279" s="445"/>
      <c r="GYD279" s="414"/>
      <c r="GYG279" s="445"/>
      <c r="GYH279" s="414"/>
      <c r="GYK279" s="445"/>
      <c r="GYL279" s="414"/>
      <c r="GYO279" s="445"/>
      <c r="GYP279" s="414"/>
      <c r="GYS279" s="445"/>
      <c r="GYT279" s="414"/>
      <c r="GYW279" s="445"/>
      <c r="GYX279" s="414"/>
      <c r="GZA279" s="445"/>
      <c r="GZB279" s="414"/>
      <c r="GZE279" s="445"/>
      <c r="GZF279" s="414"/>
      <c r="GZI279" s="445"/>
      <c r="GZJ279" s="414"/>
      <c r="GZM279" s="445"/>
      <c r="GZN279" s="414"/>
      <c r="GZQ279" s="445"/>
      <c r="GZR279" s="414"/>
      <c r="GZU279" s="445"/>
      <c r="GZV279" s="414"/>
      <c r="GZY279" s="445"/>
      <c r="GZZ279" s="414"/>
      <c r="HAC279" s="445"/>
      <c r="HAD279" s="414"/>
      <c r="HAG279" s="445"/>
      <c r="HAH279" s="414"/>
      <c r="HAK279" s="445"/>
      <c r="HAL279" s="414"/>
      <c r="HAO279" s="445"/>
      <c r="HAP279" s="414"/>
      <c r="HAS279" s="445"/>
      <c r="HAT279" s="414"/>
      <c r="HAW279" s="445"/>
      <c r="HAX279" s="414"/>
      <c r="HBA279" s="445"/>
      <c r="HBB279" s="414"/>
      <c r="HBE279" s="445"/>
      <c r="HBF279" s="414"/>
      <c r="HBI279" s="445"/>
      <c r="HBJ279" s="414"/>
      <c r="HBM279" s="445"/>
      <c r="HBN279" s="414"/>
      <c r="HBQ279" s="445"/>
      <c r="HBR279" s="414"/>
      <c r="HBU279" s="445"/>
      <c r="HBV279" s="414"/>
      <c r="HBY279" s="445"/>
      <c r="HBZ279" s="414"/>
      <c r="HCC279" s="445"/>
      <c r="HCD279" s="414"/>
      <c r="HCG279" s="445"/>
      <c r="HCH279" s="414"/>
      <c r="HCK279" s="445"/>
      <c r="HCL279" s="414"/>
      <c r="HCO279" s="445"/>
      <c r="HCP279" s="414"/>
      <c r="HCS279" s="445"/>
      <c r="HCT279" s="414"/>
      <c r="HCW279" s="445"/>
      <c r="HCX279" s="414"/>
      <c r="HDA279" s="445"/>
      <c r="HDB279" s="414"/>
      <c r="HDE279" s="445"/>
      <c r="HDF279" s="414"/>
      <c r="HDI279" s="445"/>
      <c r="HDJ279" s="414"/>
      <c r="HDM279" s="445"/>
      <c r="HDN279" s="414"/>
      <c r="HDQ279" s="445"/>
      <c r="HDR279" s="414"/>
      <c r="HDU279" s="445"/>
      <c r="HDV279" s="414"/>
      <c r="HDY279" s="445"/>
      <c r="HDZ279" s="414"/>
      <c r="HEC279" s="445"/>
      <c r="HED279" s="414"/>
      <c r="HEG279" s="445"/>
      <c r="HEH279" s="414"/>
      <c r="HEK279" s="445"/>
      <c r="HEL279" s="414"/>
      <c r="HEO279" s="445"/>
      <c r="HEP279" s="414"/>
      <c r="HES279" s="445"/>
      <c r="HET279" s="414"/>
      <c r="HEW279" s="445"/>
      <c r="HEX279" s="414"/>
      <c r="HFA279" s="445"/>
      <c r="HFB279" s="414"/>
      <c r="HFE279" s="445"/>
      <c r="HFF279" s="414"/>
      <c r="HFI279" s="445"/>
      <c r="HFJ279" s="414"/>
      <c r="HFM279" s="445"/>
      <c r="HFN279" s="414"/>
      <c r="HFQ279" s="445"/>
      <c r="HFR279" s="414"/>
      <c r="HFU279" s="445"/>
      <c r="HFV279" s="414"/>
      <c r="HFY279" s="445"/>
      <c r="HFZ279" s="414"/>
      <c r="HGC279" s="445"/>
      <c r="HGD279" s="414"/>
      <c r="HGG279" s="445"/>
      <c r="HGH279" s="414"/>
      <c r="HGK279" s="445"/>
      <c r="HGL279" s="414"/>
      <c r="HGO279" s="445"/>
      <c r="HGP279" s="414"/>
      <c r="HGS279" s="445"/>
      <c r="HGT279" s="414"/>
      <c r="HGW279" s="445"/>
      <c r="HGX279" s="414"/>
      <c r="HHA279" s="445"/>
      <c r="HHB279" s="414"/>
      <c r="HHE279" s="445"/>
      <c r="HHF279" s="414"/>
      <c r="HHI279" s="445"/>
      <c r="HHJ279" s="414"/>
      <c r="HHM279" s="445"/>
      <c r="HHN279" s="414"/>
      <c r="HHQ279" s="445"/>
      <c r="HHR279" s="414"/>
      <c r="HHU279" s="445"/>
      <c r="HHV279" s="414"/>
      <c r="HHY279" s="445"/>
      <c r="HHZ279" s="414"/>
      <c r="HIC279" s="445"/>
      <c r="HID279" s="414"/>
      <c r="HIG279" s="445"/>
      <c r="HIH279" s="414"/>
      <c r="HIK279" s="445"/>
      <c r="HIL279" s="414"/>
      <c r="HIO279" s="445"/>
      <c r="HIP279" s="414"/>
      <c r="HIS279" s="445"/>
      <c r="HIT279" s="414"/>
      <c r="HIW279" s="445"/>
      <c r="HIX279" s="414"/>
      <c r="HJA279" s="445"/>
      <c r="HJB279" s="414"/>
      <c r="HJE279" s="445"/>
      <c r="HJF279" s="414"/>
      <c r="HJI279" s="445"/>
      <c r="HJJ279" s="414"/>
      <c r="HJM279" s="445"/>
      <c r="HJN279" s="414"/>
      <c r="HJQ279" s="445"/>
      <c r="HJR279" s="414"/>
      <c r="HJU279" s="445"/>
      <c r="HJV279" s="414"/>
      <c r="HJY279" s="445"/>
      <c r="HJZ279" s="414"/>
      <c r="HKC279" s="445"/>
      <c r="HKD279" s="414"/>
      <c r="HKG279" s="445"/>
      <c r="HKH279" s="414"/>
      <c r="HKK279" s="445"/>
      <c r="HKL279" s="414"/>
      <c r="HKO279" s="445"/>
      <c r="HKP279" s="414"/>
      <c r="HKS279" s="445"/>
      <c r="HKT279" s="414"/>
      <c r="HKW279" s="445"/>
      <c r="HKX279" s="414"/>
      <c r="HLA279" s="445"/>
      <c r="HLB279" s="414"/>
      <c r="HLE279" s="445"/>
      <c r="HLF279" s="414"/>
      <c r="HLI279" s="445"/>
      <c r="HLJ279" s="414"/>
      <c r="HLM279" s="445"/>
      <c r="HLN279" s="414"/>
      <c r="HLQ279" s="445"/>
      <c r="HLR279" s="414"/>
      <c r="HLU279" s="445"/>
      <c r="HLV279" s="414"/>
      <c r="HLY279" s="445"/>
      <c r="HLZ279" s="414"/>
      <c r="HMC279" s="445"/>
      <c r="HMD279" s="414"/>
      <c r="HMG279" s="445"/>
      <c r="HMH279" s="414"/>
      <c r="HMK279" s="445"/>
      <c r="HML279" s="414"/>
      <c r="HMO279" s="445"/>
      <c r="HMP279" s="414"/>
      <c r="HMS279" s="445"/>
      <c r="HMT279" s="414"/>
      <c r="HMW279" s="445"/>
      <c r="HMX279" s="414"/>
      <c r="HNA279" s="445"/>
      <c r="HNB279" s="414"/>
      <c r="HNE279" s="445"/>
      <c r="HNF279" s="414"/>
      <c r="HNI279" s="445"/>
      <c r="HNJ279" s="414"/>
      <c r="HNM279" s="445"/>
      <c r="HNN279" s="414"/>
      <c r="HNQ279" s="445"/>
      <c r="HNR279" s="414"/>
      <c r="HNU279" s="445"/>
      <c r="HNV279" s="414"/>
      <c r="HNY279" s="445"/>
      <c r="HNZ279" s="414"/>
      <c r="HOC279" s="445"/>
      <c r="HOD279" s="414"/>
      <c r="HOG279" s="445"/>
      <c r="HOH279" s="414"/>
      <c r="HOK279" s="445"/>
      <c r="HOL279" s="414"/>
      <c r="HOO279" s="445"/>
      <c r="HOP279" s="414"/>
      <c r="HOS279" s="445"/>
      <c r="HOT279" s="414"/>
      <c r="HOW279" s="445"/>
      <c r="HOX279" s="414"/>
      <c r="HPA279" s="445"/>
      <c r="HPB279" s="414"/>
      <c r="HPE279" s="445"/>
      <c r="HPF279" s="414"/>
      <c r="HPI279" s="445"/>
      <c r="HPJ279" s="414"/>
      <c r="HPM279" s="445"/>
      <c r="HPN279" s="414"/>
      <c r="HPQ279" s="445"/>
      <c r="HPR279" s="414"/>
      <c r="HPU279" s="445"/>
      <c r="HPV279" s="414"/>
      <c r="HPY279" s="445"/>
      <c r="HPZ279" s="414"/>
      <c r="HQC279" s="445"/>
      <c r="HQD279" s="414"/>
      <c r="HQG279" s="445"/>
      <c r="HQH279" s="414"/>
      <c r="HQK279" s="445"/>
      <c r="HQL279" s="414"/>
      <c r="HQO279" s="445"/>
      <c r="HQP279" s="414"/>
      <c r="HQS279" s="445"/>
      <c r="HQT279" s="414"/>
      <c r="HQW279" s="445"/>
      <c r="HQX279" s="414"/>
      <c r="HRA279" s="445"/>
      <c r="HRB279" s="414"/>
      <c r="HRE279" s="445"/>
      <c r="HRF279" s="414"/>
      <c r="HRI279" s="445"/>
      <c r="HRJ279" s="414"/>
      <c r="HRM279" s="445"/>
      <c r="HRN279" s="414"/>
      <c r="HRQ279" s="445"/>
      <c r="HRR279" s="414"/>
      <c r="HRU279" s="445"/>
      <c r="HRV279" s="414"/>
      <c r="HRY279" s="445"/>
      <c r="HRZ279" s="414"/>
      <c r="HSC279" s="445"/>
      <c r="HSD279" s="414"/>
      <c r="HSG279" s="445"/>
      <c r="HSH279" s="414"/>
      <c r="HSK279" s="445"/>
      <c r="HSL279" s="414"/>
      <c r="HSO279" s="445"/>
      <c r="HSP279" s="414"/>
      <c r="HSS279" s="445"/>
      <c r="HST279" s="414"/>
      <c r="HSW279" s="445"/>
      <c r="HSX279" s="414"/>
      <c r="HTA279" s="445"/>
      <c r="HTB279" s="414"/>
      <c r="HTE279" s="445"/>
      <c r="HTF279" s="414"/>
      <c r="HTI279" s="445"/>
      <c r="HTJ279" s="414"/>
      <c r="HTM279" s="445"/>
      <c r="HTN279" s="414"/>
      <c r="HTQ279" s="445"/>
      <c r="HTR279" s="414"/>
      <c r="HTU279" s="445"/>
      <c r="HTV279" s="414"/>
      <c r="HTY279" s="445"/>
      <c r="HTZ279" s="414"/>
      <c r="HUC279" s="445"/>
      <c r="HUD279" s="414"/>
      <c r="HUG279" s="445"/>
      <c r="HUH279" s="414"/>
      <c r="HUK279" s="445"/>
      <c r="HUL279" s="414"/>
      <c r="HUO279" s="445"/>
      <c r="HUP279" s="414"/>
      <c r="HUS279" s="445"/>
      <c r="HUT279" s="414"/>
      <c r="HUW279" s="445"/>
      <c r="HUX279" s="414"/>
      <c r="HVA279" s="445"/>
      <c r="HVB279" s="414"/>
      <c r="HVE279" s="445"/>
      <c r="HVF279" s="414"/>
      <c r="HVI279" s="445"/>
      <c r="HVJ279" s="414"/>
      <c r="HVM279" s="445"/>
      <c r="HVN279" s="414"/>
      <c r="HVQ279" s="445"/>
      <c r="HVR279" s="414"/>
      <c r="HVU279" s="445"/>
      <c r="HVV279" s="414"/>
      <c r="HVY279" s="445"/>
      <c r="HVZ279" s="414"/>
      <c r="HWC279" s="445"/>
      <c r="HWD279" s="414"/>
      <c r="HWG279" s="445"/>
      <c r="HWH279" s="414"/>
      <c r="HWK279" s="445"/>
      <c r="HWL279" s="414"/>
      <c r="HWO279" s="445"/>
      <c r="HWP279" s="414"/>
      <c r="HWS279" s="445"/>
      <c r="HWT279" s="414"/>
      <c r="HWW279" s="445"/>
      <c r="HWX279" s="414"/>
      <c r="HXA279" s="445"/>
      <c r="HXB279" s="414"/>
      <c r="HXE279" s="445"/>
      <c r="HXF279" s="414"/>
      <c r="HXI279" s="445"/>
      <c r="HXJ279" s="414"/>
      <c r="HXM279" s="445"/>
      <c r="HXN279" s="414"/>
      <c r="HXQ279" s="445"/>
      <c r="HXR279" s="414"/>
      <c r="HXU279" s="445"/>
      <c r="HXV279" s="414"/>
      <c r="HXY279" s="445"/>
      <c r="HXZ279" s="414"/>
      <c r="HYC279" s="445"/>
      <c r="HYD279" s="414"/>
      <c r="HYG279" s="445"/>
      <c r="HYH279" s="414"/>
      <c r="HYK279" s="445"/>
      <c r="HYL279" s="414"/>
      <c r="HYO279" s="445"/>
      <c r="HYP279" s="414"/>
      <c r="HYS279" s="445"/>
      <c r="HYT279" s="414"/>
      <c r="HYW279" s="445"/>
      <c r="HYX279" s="414"/>
      <c r="HZA279" s="445"/>
      <c r="HZB279" s="414"/>
      <c r="HZE279" s="445"/>
      <c r="HZF279" s="414"/>
      <c r="HZI279" s="445"/>
      <c r="HZJ279" s="414"/>
      <c r="HZM279" s="445"/>
      <c r="HZN279" s="414"/>
      <c r="HZQ279" s="445"/>
      <c r="HZR279" s="414"/>
      <c r="HZU279" s="445"/>
      <c r="HZV279" s="414"/>
      <c r="HZY279" s="445"/>
      <c r="HZZ279" s="414"/>
      <c r="IAC279" s="445"/>
      <c r="IAD279" s="414"/>
      <c r="IAG279" s="445"/>
      <c r="IAH279" s="414"/>
      <c r="IAK279" s="445"/>
      <c r="IAL279" s="414"/>
      <c r="IAO279" s="445"/>
      <c r="IAP279" s="414"/>
      <c r="IAS279" s="445"/>
      <c r="IAT279" s="414"/>
      <c r="IAW279" s="445"/>
      <c r="IAX279" s="414"/>
      <c r="IBA279" s="445"/>
      <c r="IBB279" s="414"/>
      <c r="IBE279" s="445"/>
      <c r="IBF279" s="414"/>
      <c r="IBI279" s="445"/>
      <c r="IBJ279" s="414"/>
      <c r="IBM279" s="445"/>
      <c r="IBN279" s="414"/>
      <c r="IBQ279" s="445"/>
      <c r="IBR279" s="414"/>
      <c r="IBU279" s="445"/>
      <c r="IBV279" s="414"/>
      <c r="IBY279" s="445"/>
      <c r="IBZ279" s="414"/>
      <c r="ICC279" s="445"/>
      <c r="ICD279" s="414"/>
      <c r="ICG279" s="445"/>
      <c r="ICH279" s="414"/>
      <c r="ICK279" s="445"/>
      <c r="ICL279" s="414"/>
      <c r="ICO279" s="445"/>
      <c r="ICP279" s="414"/>
      <c r="ICS279" s="445"/>
      <c r="ICT279" s="414"/>
      <c r="ICW279" s="445"/>
      <c r="ICX279" s="414"/>
      <c r="IDA279" s="445"/>
      <c r="IDB279" s="414"/>
      <c r="IDE279" s="445"/>
      <c r="IDF279" s="414"/>
      <c r="IDI279" s="445"/>
      <c r="IDJ279" s="414"/>
      <c r="IDM279" s="445"/>
      <c r="IDN279" s="414"/>
      <c r="IDQ279" s="445"/>
      <c r="IDR279" s="414"/>
      <c r="IDU279" s="445"/>
      <c r="IDV279" s="414"/>
      <c r="IDY279" s="445"/>
      <c r="IDZ279" s="414"/>
      <c r="IEC279" s="445"/>
      <c r="IED279" s="414"/>
      <c r="IEG279" s="445"/>
      <c r="IEH279" s="414"/>
      <c r="IEK279" s="445"/>
      <c r="IEL279" s="414"/>
      <c r="IEO279" s="445"/>
      <c r="IEP279" s="414"/>
      <c r="IES279" s="445"/>
      <c r="IET279" s="414"/>
      <c r="IEW279" s="445"/>
      <c r="IEX279" s="414"/>
      <c r="IFA279" s="445"/>
      <c r="IFB279" s="414"/>
      <c r="IFE279" s="445"/>
      <c r="IFF279" s="414"/>
      <c r="IFI279" s="445"/>
      <c r="IFJ279" s="414"/>
      <c r="IFM279" s="445"/>
      <c r="IFN279" s="414"/>
      <c r="IFQ279" s="445"/>
      <c r="IFR279" s="414"/>
      <c r="IFU279" s="445"/>
      <c r="IFV279" s="414"/>
      <c r="IFY279" s="445"/>
      <c r="IFZ279" s="414"/>
      <c r="IGC279" s="445"/>
      <c r="IGD279" s="414"/>
      <c r="IGG279" s="445"/>
      <c r="IGH279" s="414"/>
      <c r="IGK279" s="445"/>
      <c r="IGL279" s="414"/>
      <c r="IGO279" s="445"/>
      <c r="IGP279" s="414"/>
      <c r="IGS279" s="445"/>
      <c r="IGT279" s="414"/>
      <c r="IGW279" s="445"/>
      <c r="IGX279" s="414"/>
      <c r="IHA279" s="445"/>
      <c r="IHB279" s="414"/>
      <c r="IHE279" s="445"/>
      <c r="IHF279" s="414"/>
      <c r="IHI279" s="445"/>
      <c r="IHJ279" s="414"/>
      <c r="IHM279" s="445"/>
      <c r="IHN279" s="414"/>
      <c r="IHQ279" s="445"/>
      <c r="IHR279" s="414"/>
      <c r="IHU279" s="445"/>
      <c r="IHV279" s="414"/>
      <c r="IHY279" s="445"/>
      <c r="IHZ279" s="414"/>
      <c r="IIC279" s="445"/>
      <c r="IID279" s="414"/>
      <c r="IIG279" s="445"/>
      <c r="IIH279" s="414"/>
      <c r="IIK279" s="445"/>
      <c r="IIL279" s="414"/>
      <c r="IIO279" s="445"/>
      <c r="IIP279" s="414"/>
      <c r="IIS279" s="445"/>
      <c r="IIT279" s="414"/>
      <c r="IIW279" s="445"/>
      <c r="IIX279" s="414"/>
      <c r="IJA279" s="445"/>
      <c r="IJB279" s="414"/>
      <c r="IJE279" s="445"/>
      <c r="IJF279" s="414"/>
      <c r="IJI279" s="445"/>
      <c r="IJJ279" s="414"/>
      <c r="IJM279" s="445"/>
      <c r="IJN279" s="414"/>
      <c r="IJQ279" s="445"/>
      <c r="IJR279" s="414"/>
      <c r="IJU279" s="445"/>
      <c r="IJV279" s="414"/>
      <c r="IJY279" s="445"/>
      <c r="IJZ279" s="414"/>
      <c r="IKC279" s="445"/>
      <c r="IKD279" s="414"/>
      <c r="IKG279" s="445"/>
      <c r="IKH279" s="414"/>
      <c r="IKK279" s="445"/>
      <c r="IKL279" s="414"/>
      <c r="IKO279" s="445"/>
      <c r="IKP279" s="414"/>
      <c r="IKS279" s="445"/>
      <c r="IKT279" s="414"/>
      <c r="IKW279" s="445"/>
      <c r="IKX279" s="414"/>
      <c r="ILA279" s="445"/>
      <c r="ILB279" s="414"/>
      <c r="ILE279" s="445"/>
      <c r="ILF279" s="414"/>
      <c r="ILI279" s="445"/>
      <c r="ILJ279" s="414"/>
      <c r="ILM279" s="445"/>
      <c r="ILN279" s="414"/>
      <c r="ILQ279" s="445"/>
      <c r="ILR279" s="414"/>
      <c r="ILU279" s="445"/>
      <c r="ILV279" s="414"/>
      <c r="ILY279" s="445"/>
      <c r="ILZ279" s="414"/>
      <c r="IMC279" s="445"/>
      <c r="IMD279" s="414"/>
      <c r="IMG279" s="445"/>
      <c r="IMH279" s="414"/>
      <c r="IMK279" s="445"/>
      <c r="IML279" s="414"/>
      <c r="IMO279" s="445"/>
      <c r="IMP279" s="414"/>
      <c r="IMS279" s="445"/>
      <c r="IMT279" s="414"/>
      <c r="IMW279" s="445"/>
      <c r="IMX279" s="414"/>
      <c r="INA279" s="445"/>
      <c r="INB279" s="414"/>
      <c r="INE279" s="445"/>
      <c r="INF279" s="414"/>
      <c r="INI279" s="445"/>
      <c r="INJ279" s="414"/>
      <c r="INM279" s="445"/>
      <c r="INN279" s="414"/>
      <c r="INQ279" s="445"/>
      <c r="INR279" s="414"/>
      <c r="INU279" s="445"/>
      <c r="INV279" s="414"/>
      <c r="INY279" s="445"/>
      <c r="INZ279" s="414"/>
      <c r="IOC279" s="445"/>
      <c r="IOD279" s="414"/>
      <c r="IOG279" s="445"/>
      <c r="IOH279" s="414"/>
      <c r="IOK279" s="445"/>
      <c r="IOL279" s="414"/>
      <c r="IOO279" s="445"/>
      <c r="IOP279" s="414"/>
      <c r="IOS279" s="445"/>
      <c r="IOT279" s="414"/>
      <c r="IOW279" s="445"/>
      <c r="IOX279" s="414"/>
      <c r="IPA279" s="445"/>
      <c r="IPB279" s="414"/>
      <c r="IPE279" s="445"/>
      <c r="IPF279" s="414"/>
      <c r="IPI279" s="445"/>
      <c r="IPJ279" s="414"/>
      <c r="IPM279" s="445"/>
      <c r="IPN279" s="414"/>
      <c r="IPQ279" s="445"/>
      <c r="IPR279" s="414"/>
      <c r="IPU279" s="445"/>
      <c r="IPV279" s="414"/>
      <c r="IPY279" s="445"/>
      <c r="IPZ279" s="414"/>
      <c r="IQC279" s="445"/>
      <c r="IQD279" s="414"/>
      <c r="IQG279" s="445"/>
      <c r="IQH279" s="414"/>
      <c r="IQK279" s="445"/>
      <c r="IQL279" s="414"/>
      <c r="IQO279" s="445"/>
      <c r="IQP279" s="414"/>
      <c r="IQS279" s="445"/>
      <c r="IQT279" s="414"/>
      <c r="IQW279" s="445"/>
      <c r="IQX279" s="414"/>
      <c r="IRA279" s="445"/>
      <c r="IRB279" s="414"/>
      <c r="IRE279" s="445"/>
      <c r="IRF279" s="414"/>
      <c r="IRI279" s="445"/>
      <c r="IRJ279" s="414"/>
      <c r="IRM279" s="445"/>
      <c r="IRN279" s="414"/>
      <c r="IRQ279" s="445"/>
      <c r="IRR279" s="414"/>
      <c r="IRU279" s="445"/>
      <c r="IRV279" s="414"/>
      <c r="IRY279" s="445"/>
      <c r="IRZ279" s="414"/>
      <c r="ISC279" s="445"/>
      <c r="ISD279" s="414"/>
      <c r="ISG279" s="445"/>
      <c r="ISH279" s="414"/>
      <c r="ISK279" s="445"/>
      <c r="ISL279" s="414"/>
      <c r="ISO279" s="445"/>
      <c r="ISP279" s="414"/>
      <c r="ISS279" s="445"/>
      <c r="IST279" s="414"/>
      <c r="ISW279" s="445"/>
      <c r="ISX279" s="414"/>
      <c r="ITA279" s="445"/>
      <c r="ITB279" s="414"/>
      <c r="ITE279" s="445"/>
      <c r="ITF279" s="414"/>
      <c r="ITI279" s="445"/>
      <c r="ITJ279" s="414"/>
      <c r="ITM279" s="445"/>
      <c r="ITN279" s="414"/>
      <c r="ITQ279" s="445"/>
      <c r="ITR279" s="414"/>
      <c r="ITU279" s="445"/>
      <c r="ITV279" s="414"/>
      <c r="ITY279" s="445"/>
      <c r="ITZ279" s="414"/>
      <c r="IUC279" s="445"/>
      <c r="IUD279" s="414"/>
      <c r="IUG279" s="445"/>
      <c r="IUH279" s="414"/>
      <c r="IUK279" s="445"/>
      <c r="IUL279" s="414"/>
      <c r="IUO279" s="445"/>
      <c r="IUP279" s="414"/>
      <c r="IUS279" s="445"/>
      <c r="IUT279" s="414"/>
      <c r="IUW279" s="445"/>
      <c r="IUX279" s="414"/>
      <c r="IVA279" s="445"/>
      <c r="IVB279" s="414"/>
      <c r="IVE279" s="445"/>
      <c r="IVF279" s="414"/>
      <c r="IVI279" s="445"/>
      <c r="IVJ279" s="414"/>
      <c r="IVM279" s="445"/>
      <c r="IVN279" s="414"/>
      <c r="IVQ279" s="445"/>
      <c r="IVR279" s="414"/>
      <c r="IVU279" s="445"/>
      <c r="IVV279" s="414"/>
      <c r="IVY279" s="445"/>
      <c r="IVZ279" s="414"/>
      <c r="IWC279" s="445"/>
      <c r="IWD279" s="414"/>
      <c r="IWG279" s="445"/>
      <c r="IWH279" s="414"/>
      <c r="IWK279" s="445"/>
      <c r="IWL279" s="414"/>
      <c r="IWO279" s="445"/>
      <c r="IWP279" s="414"/>
      <c r="IWS279" s="445"/>
      <c r="IWT279" s="414"/>
      <c r="IWW279" s="445"/>
      <c r="IWX279" s="414"/>
      <c r="IXA279" s="445"/>
      <c r="IXB279" s="414"/>
      <c r="IXE279" s="445"/>
      <c r="IXF279" s="414"/>
      <c r="IXI279" s="445"/>
      <c r="IXJ279" s="414"/>
      <c r="IXM279" s="445"/>
      <c r="IXN279" s="414"/>
      <c r="IXQ279" s="445"/>
      <c r="IXR279" s="414"/>
      <c r="IXU279" s="445"/>
      <c r="IXV279" s="414"/>
      <c r="IXY279" s="445"/>
      <c r="IXZ279" s="414"/>
      <c r="IYC279" s="445"/>
      <c r="IYD279" s="414"/>
      <c r="IYG279" s="445"/>
      <c r="IYH279" s="414"/>
      <c r="IYK279" s="445"/>
      <c r="IYL279" s="414"/>
      <c r="IYO279" s="445"/>
      <c r="IYP279" s="414"/>
      <c r="IYS279" s="445"/>
      <c r="IYT279" s="414"/>
      <c r="IYW279" s="445"/>
      <c r="IYX279" s="414"/>
      <c r="IZA279" s="445"/>
      <c r="IZB279" s="414"/>
      <c r="IZE279" s="445"/>
      <c r="IZF279" s="414"/>
      <c r="IZI279" s="445"/>
      <c r="IZJ279" s="414"/>
      <c r="IZM279" s="445"/>
      <c r="IZN279" s="414"/>
      <c r="IZQ279" s="445"/>
      <c r="IZR279" s="414"/>
      <c r="IZU279" s="445"/>
      <c r="IZV279" s="414"/>
      <c r="IZY279" s="445"/>
      <c r="IZZ279" s="414"/>
      <c r="JAC279" s="445"/>
      <c r="JAD279" s="414"/>
      <c r="JAG279" s="445"/>
      <c r="JAH279" s="414"/>
      <c r="JAK279" s="445"/>
      <c r="JAL279" s="414"/>
      <c r="JAO279" s="445"/>
      <c r="JAP279" s="414"/>
      <c r="JAS279" s="445"/>
      <c r="JAT279" s="414"/>
      <c r="JAW279" s="445"/>
      <c r="JAX279" s="414"/>
      <c r="JBA279" s="445"/>
      <c r="JBB279" s="414"/>
      <c r="JBE279" s="445"/>
      <c r="JBF279" s="414"/>
      <c r="JBI279" s="445"/>
      <c r="JBJ279" s="414"/>
      <c r="JBM279" s="445"/>
      <c r="JBN279" s="414"/>
      <c r="JBQ279" s="445"/>
      <c r="JBR279" s="414"/>
      <c r="JBU279" s="445"/>
      <c r="JBV279" s="414"/>
      <c r="JBY279" s="445"/>
      <c r="JBZ279" s="414"/>
      <c r="JCC279" s="445"/>
      <c r="JCD279" s="414"/>
      <c r="JCG279" s="445"/>
      <c r="JCH279" s="414"/>
      <c r="JCK279" s="445"/>
      <c r="JCL279" s="414"/>
      <c r="JCO279" s="445"/>
      <c r="JCP279" s="414"/>
      <c r="JCS279" s="445"/>
      <c r="JCT279" s="414"/>
      <c r="JCW279" s="445"/>
      <c r="JCX279" s="414"/>
      <c r="JDA279" s="445"/>
      <c r="JDB279" s="414"/>
      <c r="JDE279" s="445"/>
      <c r="JDF279" s="414"/>
      <c r="JDI279" s="445"/>
      <c r="JDJ279" s="414"/>
      <c r="JDM279" s="445"/>
      <c r="JDN279" s="414"/>
      <c r="JDQ279" s="445"/>
      <c r="JDR279" s="414"/>
      <c r="JDU279" s="445"/>
      <c r="JDV279" s="414"/>
      <c r="JDY279" s="445"/>
      <c r="JDZ279" s="414"/>
      <c r="JEC279" s="445"/>
      <c r="JED279" s="414"/>
      <c r="JEG279" s="445"/>
      <c r="JEH279" s="414"/>
      <c r="JEK279" s="445"/>
      <c r="JEL279" s="414"/>
      <c r="JEO279" s="445"/>
      <c r="JEP279" s="414"/>
      <c r="JES279" s="445"/>
      <c r="JET279" s="414"/>
      <c r="JEW279" s="445"/>
      <c r="JEX279" s="414"/>
      <c r="JFA279" s="445"/>
      <c r="JFB279" s="414"/>
      <c r="JFE279" s="445"/>
      <c r="JFF279" s="414"/>
      <c r="JFI279" s="445"/>
      <c r="JFJ279" s="414"/>
      <c r="JFM279" s="445"/>
      <c r="JFN279" s="414"/>
      <c r="JFQ279" s="445"/>
      <c r="JFR279" s="414"/>
      <c r="JFU279" s="445"/>
      <c r="JFV279" s="414"/>
      <c r="JFY279" s="445"/>
      <c r="JFZ279" s="414"/>
      <c r="JGC279" s="445"/>
      <c r="JGD279" s="414"/>
      <c r="JGG279" s="445"/>
      <c r="JGH279" s="414"/>
      <c r="JGK279" s="445"/>
      <c r="JGL279" s="414"/>
      <c r="JGO279" s="445"/>
      <c r="JGP279" s="414"/>
      <c r="JGS279" s="445"/>
      <c r="JGT279" s="414"/>
      <c r="JGW279" s="445"/>
      <c r="JGX279" s="414"/>
      <c r="JHA279" s="445"/>
      <c r="JHB279" s="414"/>
      <c r="JHE279" s="445"/>
      <c r="JHF279" s="414"/>
      <c r="JHI279" s="445"/>
      <c r="JHJ279" s="414"/>
      <c r="JHM279" s="445"/>
      <c r="JHN279" s="414"/>
      <c r="JHQ279" s="445"/>
      <c r="JHR279" s="414"/>
      <c r="JHU279" s="445"/>
      <c r="JHV279" s="414"/>
      <c r="JHY279" s="445"/>
      <c r="JHZ279" s="414"/>
      <c r="JIC279" s="445"/>
      <c r="JID279" s="414"/>
      <c r="JIG279" s="445"/>
      <c r="JIH279" s="414"/>
      <c r="JIK279" s="445"/>
      <c r="JIL279" s="414"/>
      <c r="JIO279" s="445"/>
      <c r="JIP279" s="414"/>
      <c r="JIS279" s="445"/>
      <c r="JIT279" s="414"/>
      <c r="JIW279" s="445"/>
      <c r="JIX279" s="414"/>
      <c r="JJA279" s="445"/>
      <c r="JJB279" s="414"/>
      <c r="JJE279" s="445"/>
      <c r="JJF279" s="414"/>
      <c r="JJI279" s="445"/>
      <c r="JJJ279" s="414"/>
      <c r="JJM279" s="445"/>
      <c r="JJN279" s="414"/>
      <c r="JJQ279" s="445"/>
      <c r="JJR279" s="414"/>
      <c r="JJU279" s="445"/>
      <c r="JJV279" s="414"/>
      <c r="JJY279" s="445"/>
      <c r="JJZ279" s="414"/>
      <c r="JKC279" s="445"/>
      <c r="JKD279" s="414"/>
      <c r="JKG279" s="445"/>
      <c r="JKH279" s="414"/>
      <c r="JKK279" s="445"/>
      <c r="JKL279" s="414"/>
      <c r="JKO279" s="445"/>
      <c r="JKP279" s="414"/>
      <c r="JKS279" s="445"/>
      <c r="JKT279" s="414"/>
      <c r="JKW279" s="445"/>
      <c r="JKX279" s="414"/>
      <c r="JLA279" s="445"/>
      <c r="JLB279" s="414"/>
      <c r="JLE279" s="445"/>
      <c r="JLF279" s="414"/>
      <c r="JLI279" s="445"/>
      <c r="JLJ279" s="414"/>
      <c r="JLM279" s="445"/>
      <c r="JLN279" s="414"/>
      <c r="JLQ279" s="445"/>
      <c r="JLR279" s="414"/>
      <c r="JLU279" s="445"/>
      <c r="JLV279" s="414"/>
      <c r="JLY279" s="445"/>
      <c r="JLZ279" s="414"/>
      <c r="JMC279" s="445"/>
      <c r="JMD279" s="414"/>
      <c r="JMG279" s="445"/>
      <c r="JMH279" s="414"/>
      <c r="JMK279" s="445"/>
      <c r="JML279" s="414"/>
      <c r="JMO279" s="445"/>
      <c r="JMP279" s="414"/>
      <c r="JMS279" s="445"/>
      <c r="JMT279" s="414"/>
      <c r="JMW279" s="445"/>
      <c r="JMX279" s="414"/>
      <c r="JNA279" s="445"/>
      <c r="JNB279" s="414"/>
      <c r="JNE279" s="445"/>
      <c r="JNF279" s="414"/>
      <c r="JNI279" s="445"/>
      <c r="JNJ279" s="414"/>
      <c r="JNM279" s="445"/>
      <c r="JNN279" s="414"/>
      <c r="JNQ279" s="445"/>
      <c r="JNR279" s="414"/>
      <c r="JNU279" s="445"/>
      <c r="JNV279" s="414"/>
      <c r="JNY279" s="445"/>
      <c r="JNZ279" s="414"/>
      <c r="JOC279" s="445"/>
      <c r="JOD279" s="414"/>
      <c r="JOG279" s="445"/>
      <c r="JOH279" s="414"/>
      <c r="JOK279" s="445"/>
      <c r="JOL279" s="414"/>
      <c r="JOO279" s="445"/>
      <c r="JOP279" s="414"/>
      <c r="JOS279" s="445"/>
      <c r="JOT279" s="414"/>
      <c r="JOW279" s="445"/>
      <c r="JOX279" s="414"/>
      <c r="JPA279" s="445"/>
      <c r="JPB279" s="414"/>
      <c r="JPE279" s="445"/>
      <c r="JPF279" s="414"/>
      <c r="JPI279" s="445"/>
      <c r="JPJ279" s="414"/>
      <c r="JPM279" s="445"/>
      <c r="JPN279" s="414"/>
      <c r="JPQ279" s="445"/>
      <c r="JPR279" s="414"/>
      <c r="JPU279" s="445"/>
      <c r="JPV279" s="414"/>
      <c r="JPY279" s="445"/>
      <c r="JPZ279" s="414"/>
      <c r="JQC279" s="445"/>
      <c r="JQD279" s="414"/>
      <c r="JQG279" s="445"/>
      <c r="JQH279" s="414"/>
      <c r="JQK279" s="445"/>
      <c r="JQL279" s="414"/>
      <c r="JQO279" s="445"/>
      <c r="JQP279" s="414"/>
      <c r="JQS279" s="445"/>
      <c r="JQT279" s="414"/>
      <c r="JQW279" s="445"/>
      <c r="JQX279" s="414"/>
      <c r="JRA279" s="445"/>
      <c r="JRB279" s="414"/>
      <c r="JRE279" s="445"/>
      <c r="JRF279" s="414"/>
      <c r="JRI279" s="445"/>
      <c r="JRJ279" s="414"/>
      <c r="JRM279" s="445"/>
      <c r="JRN279" s="414"/>
      <c r="JRQ279" s="445"/>
      <c r="JRR279" s="414"/>
      <c r="JRU279" s="445"/>
      <c r="JRV279" s="414"/>
      <c r="JRY279" s="445"/>
      <c r="JRZ279" s="414"/>
      <c r="JSC279" s="445"/>
      <c r="JSD279" s="414"/>
      <c r="JSG279" s="445"/>
      <c r="JSH279" s="414"/>
      <c r="JSK279" s="445"/>
      <c r="JSL279" s="414"/>
      <c r="JSO279" s="445"/>
      <c r="JSP279" s="414"/>
      <c r="JSS279" s="445"/>
      <c r="JST279" s="414"/>
      <c r="JSW279" s="445"/>
      <c r="JSX279" s="414"/>
      <c r="JTA279" s="445"/>
      <c r="JTB279" s="414"/>
      <c r="JTE279" s="445"/>
      <c r="JTF279" s="414"/>
      <c r="JTI279" s="445"/>
      <c r="JTJ279" s="414"/>
      <c r="JTM279" s="445"/>
      <c r="JTN279" s="414"/>
      <c r="JTQ279" s="445"/>
      <c r="JTR279" s="414"/>
      <c r="JTU279" s="445"/>
      <c r="JTV279" s="414"/>
      <c r="JTY279" s="445"/>
      <c r="JTZ279" s="414"/>
      <c r="JUC279" s="445"/>
      <c r="JUD279" s="414"/>
      <c r="JUG279" s="445"/>
      <c r="JUH279" s="414"/>
      <c r="JUK279" s="445"/>
      <c r="JUL279" s="414"/>
      <c r="JUO279" s="445"/>
      <c r="JUP279" s="414"/>
      <c r="JUS279" s="445"/>
      <c r="JUT279" s="414"/>
      <c r="JUW279" s="445"/>
      <c r="JUX279" s="414"/>
      <c r="JVA279" s="445"/>
      <c r="JVB279" s="414"/>
      <c r="JVE279" s="445"/>
      <c r="JVF279" s="414"/>
      <c r="JVI279" s="445"/>
      <c r="JVJ279" s="414"/>
      <c r="JVM279" s="445"/>
      <c r="JVN279" s="414"/>
      <c r="JVQ279" s="445"/>
      <c r="JVR279" s="414"/>
      <c r="JVU279" s="445"/>
      <c r="JVV279" s="414"/>
      <c r="JVY279" s="445"/>
      <c r="JVZ279" s="414"/>
      <c r="JWC279" s="445"/>
      <c r="JWD279" s="414"/>
      <c r="JWG279" s="445"/>
      <c r="JWH279" s="414"/>
      <c r="JWK279" s="445"/>
      <c r="JWL279" s="414"/>
      <c r="JWO279" s="445"/>
      <c r="JWP279" s="414"/>
      <c r="JWS279" s="445"/>
      <c r="JWT279" s="414"/>
      <c r="JWW279" s="445"/>
      <c r="JWX279" s="414"/>
      <c r="JXA279" s="445"/>
      <c r="JXB279" s="414"/>
      <c r="JXE279" s="445"/>
      <c r="JXF279" s="414"/>
      <c r="JXI279" s="445"/>
      <c r="JXJ279" s="414"/>
      <c r="JXM279" s="445"/>
      <c r="JXN279" s="414"/>
      <c r="JXQ279" s="445"/>
      <c r="JXR279" s="414"/>
      <c r="JXU279" s="445"/>
      <c r="JXV279" s="414"/>
      <c r="JXY279" s="445"/>
      <c r="JXZ279" s="414"/>
      <c r="JYC279" s="445"/>
      <c r="JYD279" s="414"/>
      <c r="JYG279" s="445"/>
      <c r="JYH279" s="414"/>
      <c r="JYK279" s="445"/>
      <c r="JYL279" s="414"/>
      <c r="JYO279" s="445"/>
      <c r="JYP279" s="414"/>
      <c r="JYS279" s="445"/>
      <c r="JYT279" s="414"/>
      <c r="JYW279" s="445"/>
      <c r="JYX279" s="414"/>
      <c r="JZA279" s="445"/>
      <c r="JZB279" s="414"/>
      <c r="JZE279" s="445"/>
      <c r="JZF279" s="414"/>
      <c r="JZI279" s="445"/>
      <c r="JZJ279" s="414"/>
      <c r="JZM279" s="445"/>
      <c r="JZN279" s="414"/>
      <c r="JZQ279" s="445"/>
      <c r="JZR279" s="414"/>
      <c r="JZU279" s="445"/>
      <c r="JZV279" s="414"/>
      <c r="JZY279" s="445"/>
      <c r="JZZ279" s="414"/>
      <c r="KAC279" s="445"/>
      <c r="KAD279" s="414"/>
      <c r="KAG279" s="445"/>
      <c r="KAH279" s="414"/>
      <c r="KAK279" s="445"/>
      <c r="KAL279" s="414"/>
      <c r="KAO279" s="445"/>
      <c r="KAP279" s="414"/>
      <c r="KAS279" s="445"/>
      <c r="KAT279" s="414"/>
      <c r="KAW279" s="445"/>
      <c r="KAX279" s="414"/>
      <c r="KBA279" s="445"/>
      <c r="KBB279" s="414"/>
      <c r="KBE279" s="445"/>
      <c r="KBF279" s="414"/>
      <c r="KBI279" s="445"/>
      <c r="KBJ279" s="414"/>
      <c r="KBM279" s="445"/>
      <c r="KBN279" s="414"/>
      <c r="KBQ279" s="445"/>
      <c r="KBR279" s="414"/>
      <c r="KBU279" s="445"/>
      <c r="KBV279" s="414"/>
      <c r="KBY279" s="445"/>
      <c r="KBZ279" s="414"/>
      <c r="KCC279" s="445"/>
      <c r="KCD279" s="414"/>
      <c r="KCG279" s="445"/>
      <c r="KCH279" s="414"/>
      <c r="KCK279" s="445"/>
      <c r="KCL279" s="414"/>
      <c r="KCO279" s="445"/>
      <c r="KCP279" s="414"/>
      <c r="KCS279" s="445"/>
      <c r="KCT279" s="414"/>
      <c r="KCW279" s="445"/>
      <c r="KCX279" s="414"/>
      <c r="KDA279" s="445"/>
      <c r="KDB279" s="414"/>
      <c r="KDE279" s="445"/>
      <c r="KDF279" s="414"/>
      <c r="KDI279" s="445"/>
      <c r="KDJ279" s="414"/>
      <c r="KDM279" s="445"/>
      <c r="KDN279" s="414"/>
      <c r="KDQ279" s="445"/>
      <c r="KDR279" s="414"/>
      <c r="KDU279" s="445"/>
      <c r="KDV279" s="414"/>
      <c r="KDY279" s="445"/>
      <c r="KDZ279" s="414"/>
      <c r="KEC279" s="445"/>
      <c r="KED279" s="414"/>
      <c r="KEG279" s="445"/>
      <c r="KEH279" s="414"/>
      <c r="KEK279" s="445"/>
      <c r="KEL279" s="414"/>
      <c r="KEO279" s="445"/>
      <c r="KEP279" s="414"/>
      <c r="KES279" s="445"/>
      <c r="KET279" s="414"/>
      <c r="KEW279" s="445"/>
      <c r="KEX279" s="414"/>
      <c r="KFA279" s="445"/>
      <c r="KFB279" s="414"/>
      <c r="KFE279" s="445"/>
      <c r="KFF279" s="414"/>
      <c r="KFI279" s="445"/>
      <c r="KFJ279" s="414"/>
      <c r="KFM279" s="445"/>
      <c r="KFN279" s="414"/>
      <c r="KFQ279" s="445"/>
      <c r="KFR279" s="414"/>
      <c r="KFU279" s="445"/>
      <c r="KFV279" s="414"/>
      <c r="KFY279" s="445"/>
      <c r="KFZ279" s="414"/>
      <c r="KGC279" s="445"/>
      <c r="KGD279" s="414"/>
      <c r="KGG279" s="445"/>
      <c r="KGH279" s="414"/>
      <c r="KGK279" s="445"/>
      <c r="KGL279" s="414"/>
      <c r="KGO279" s="445"/>
      <c r="KGP279" s="414"/>
      <c r="KGS279" s="445"/>
      <c r="KGT279" s="414"/>
      <c r="KGW279" s="445"/>
      <c r="KGX279" s="414"/>
      <c r="KHA279" s="445"/>
      <c r="KHB279" s="414"/>
      <c r="KHE279" s="445"/>
      <c r="KHF279" s="414"/>
      <c r="KHI279" s="445"/>
      <c r="KHJ279" s="414"/>
      <c r="KHM279" s="445"/>
      <c r="KHN279" s="414"/>
      <c r="KHQ279" s="445"/>
      <c r="KHR279" s="414"/>
      <c r="KHU279" s="445"/>
      <c r="KHV279" s="414"/>
      <c r="KHY279" s="445"/>
      <c r="KHZ279" s="414"/>
      <c r="KIC279" s="445"/>
      <c r="KID279" s="414"/>
      <c r="KIG279" s="445"/>
      <c r="KIH279" s="414"/>
      <c r="KIK279" s="445"/>
      <c r="KIL279" s="414"/>
      <c r="KIO279" s="445"/>
      <c r="KIP279" s="414"/>
      <c r="KIS279" s="445"/>
      <c r="KIT279" s="414"/>
      <c r="KIW279" s="445"/>
      <c r="KIX279" s="414"/>
      <c r="KJA279" s="445"/>
      <c r="KJB279" s="414"/>
      <c r="KJE279" s="445"/>
      <c r="KJF279" s="414"/>
      <c r="KJI279" s="445"/>
      <c r="KJJ279" s="414"/>
      <c r="KJM279" s="445"/>
      <c r="KJN279" s="414"/>
      <c r="KJQ279" s="445"/>
      <c r="KJR279" s="414"/>
      <c r="KJU279" s="445"/>
      <c r="KJV279" s="414"/>
      <c r="KJY279" s="445"/>
      <c r="KJZ279" s="414"/>
      <c r="KKC279" s="445"/>
      <c r="KKD279" s="414"/>
      <c r="KKG279" s="445"/>
      <c r="KKH279" s="414"/>
      <c r="KKK279" s="445"/>
      <c r="KKL279" s="414"/>
      <c r="KKO279" s="445"/>
      <c r="KKP279" s="414"/>
      <c r="KKS279" s="445"/>
      <c r="KKT279" s="414"/>
      <c r="KKW279" s="445"/>
      <c r="KKX279" s="414"/>
      <c r="KLA279" s="445"/>
      <c r="KLB279" s="414"/>
      <c r="KLE279" s="445"/>
      <c r="KLF279" s="414"/>
      <c r="KLI279" s="445"/>
      <c r="KLJ279" s="414"/>
      <c r="KLM279" s="445"/>
      <c r="KLN279" s="414"/>
      <c r="KLQ279" s="445"/>
      <c r="KLR279" s="414"/>
      <c r="KLU279" s="445"/>
      <c r="KLV279" s="414"/>
      <c r="KLY279" s="445"/>
      <c r="KLZ279" s="414"/>
      <c r="KMC279" s="445"/>
      <c r="KMD279" s="414"/>
      <c r="KMG279" s="445"/>
      <c r="KMH279" s="414"/>
      <c r="KMK279" s="445"/>
      <c r="KML279" s="414"/>
      <c r="KMO279" s="445"/>
      <c r="KMP279" s="414"/>
      <c r="KMS279" s="445"/>
      <c r="KMT279" s="414"/>
      <c r="KMW279" s="445"/>
      <c r="KMX279" s="414"/>
      <c r="KNA279" s="445"/>
      <c r="KNB279" s="414"/>
      <c r="KNE279" s="445"/>
      <c r="KNF279" s="414"/>
      <c r="KNI279" s="445"/>
      <c r="KNJ279" s="414"/>
      <c r="KNM279" s="445"/>
      <c r="KNN279" s="414"/>
      <c r="KNQ279" s="445"/>
      <c r="KNR279" s="414"/>
      <c r="KNU279" s="445"/>
      <c r="KNV279" s="414"/>
      <c r="KNY279" s="445"/>
      <c r="KNZ279" s="414"/>
      <c r="KOC279" s="445"/>
      <c r="KOD279" s="414"/>
      <c r="KOG279" s="445"/>
      <c r="KOH279" s="414"/>
      <c r="KOK279" s="445"/>
      <c r="KOL279" s="414"/>
      <c r="KOO279" s="445"/>
      <c r="KOP279" s="414"/>
      <c r="KOS279" s="445"/>
      <c r="KOT279" s="414"/>
      <c r="KOW279" s="445"/>
      <c r="KOX279" s="414"/>
      <c r="KPA279" s="445"/>
      <c r="KPB279" s="414"/>
      <c r="KPE279" s="445"/>
      <c r="KPF279" s="414"/>
      <c r="KPI279" s="445"/>
      <c r="KPJ279" s="414"/>
      <c r="KPM279" s="445"/>
      <c r="KPN279" s="414"/>
      <c r="KPQ279" s="445"/>
      <c r="KPR279" s="414"/>
      <c r="KPU279" s="445"/>
      <c r="KPV279" s="414"/>
      <c r="KPY279" s="445"/>
      <c r="KPZ279" s="414"/>
      <c r="KQC279" s="445"/>
      <c r="KQD279" s="414"/>
      <c r="KQG279" s="445"/>
      <c r="KQH279" s="414"/>
      <c r="KQK279" s="445"/>
      <c r="KQL279" s="414"/>
      <c r="KQO279" s="445"/>
      <c r="KQP279" s="414"/>
      <c r="KQS279" s="445"/>
      <c r="KQT279" s="414"/>
      <c r="KQW279" s="445"/>
      <c r="KQX279" s="414"/>
      <c r="KRA279" s="445"/>
      <c r="KRB279" s="414"/>
      <c r="KRE279" s="445"/>
      <c r="KRF279" s="414"/>
      <c r="KRI279" s="445"/>
      <c r="KRJ279" s="414"/>
      <c r="KRM279" s="445"/>
      <c r="KRN279" s="414"/>
      <c r="KRQ279" s="445"/>
      <c r="KRR279" s="414"/>
      <c r="KRU279" s="445"/>
      <c r="KRV279" s="414"/>
      <c r="KRY279" s="445"/>
      <c r="KRZ279" s="414"/>
      <c r="KSC279" s="445"/>
      <c r="KSD279" s="414"/>
      <c r="KSG279" s="445"/>
      <c r="KSH279" s="414"/>
      <c r="KSK279" s="445"/>
      <c r="KSL279" s="414"/>
      <c r="KSO279" s="445"/>
      <c r="KSP279" s="414"/>
      <c r="KSS279" s="445"/>
      <c r="KST279" s="414"/>
      <c r="KSW279" s="445"/>
      <c r="KSX279" s="414"/>
      <c r="KTA279" s="445"/>
      <c r="KTB279" s="414"/>
      <c r="KTE279" s="445"/>
      <c r="KTF279" s="414"/>
      <c r="KTI279" s="445"/>
      <c r="KTJ279" s="414"/>
      <c r="KTM279" s="445"/>
      <c r="KTN279" s="414"/>
      <c r="KTQ279" s="445"/>
      <c r="KTR279" s="414"/>
      <c r="KTU279" s="445"/>
      <c r="KTV279" s="414"/>
      <c r="KTY279" s="445"/>
      <c r="KTZ279" s="414"/>
      <c r="KUC279" s="445"/>
      <c r="KUD279" s="414"/>
      <c r="KUG279" s="445"/>
      <c r="KUH279" s="414"/>
      <c r="KUK279" s="445"/>
      <c r="KUL279" s="414"/>
      <c r="KUO279" s="445"/>
      <c r="KUP279" s="414"/>
      <c r="KUS279" s="445"/>
      <c r="KUT279" s="414"/>
      <c r="KUW279" s="445"/>
      <c r="KUX279" s="414"/>
      <c r="KVA279" s="445"/>
      <c r="KVB279" s="414"/>
      <c r="KVE279" s="445"/>
      <c r="KVF279" s="414"/>
      <c r="KVI279" s="445"/>
      <c r="KVJ279" s="414"/>
      <c r="KVM279" s="445"/>
      <c r="KVN279" s="414"/>
      <c r="KVQ279" s="445"/>
      <c r="KVR279" s="414"/>
      <c r="KVU279" s="445"/>
      <c r="KVV279" s="414"/>
      <c r="KVY279" s="445"/>
      <c r="KVZ279" s="414"/>
      <c r="KWC279" s="445"/>
      <c r="KWD279" s="414"/>
      <c r="KWG279" s="445"/>
      <c r="KWH279" s="414"/>
      <c r="KWK279" s="445"/>
      <c r="KWL279" s="414"/>
      <c r="KWO279" s="445"/>
      <c r="KWP279" s="414"/>
      <c r="KWS279" s="445"/>
      <c r="KWT279" s="414"/>
      <c r="KWW279" s="445"/>
      <c r="KWX279" s="414"/>
      <c r="KXA279" s="445"/>
      <c r="KXB279" s="414"/>
      <c r="KXE279" s="445"/>
      <c r="KXF279" s="414"/>
      <c r="KXI279" s="445"/>
      <c r="KXJ279" s="414"/>
      <c r="KXM279" s="445"/>
      <c r="KXN279" s="414"/>
      <c r="KXQ279" s="445"/>
      <c r="KXR279" s="414"/>
      <c r="KXU279" s="445"/>
      <c r="KXV279" s="414"/>
      <c r="KXY279" s="445"/>
      <c r="KXZ279" s="414"/>
      <c r="KYC279" s="445"/>
      <c r="KYD279" s="414"/>
      <c r="KYG279" s="445"/>
      <c r="KYH279" s="414"/>
      <c r="KYK279" s="445"/>
      <c r="KYL279" s="414"/>
      <c r="KYO279" s="445"/>
      <c r="KYP279" s="414"/>
      <c r="KYS279" s="445"/>
      <c r="KYT279" s="414"/>
      <c r="KYW279" s="445"/>
      <c r="KYX279" s="414"/>
      <c r="KZA279" s="445"/>
      <c r="KZB279" s="414"/>
      <c r="KZE279" s="445"/>
      <c r="KZF279" s="414"/>
      <c r="KZI279" s="445"/>
      <c r="KZJ279" s="414"/>
      <c r="KZM279" s="445"/>
      <c r="KZN279" s="414"/>
      <c r="KZQ279" s="445"/>
      <c r="KZR279" s="414"/>
      <c r="KZU279" s="445"/>
      <c r="KZV279" s="414"/>
      <c r="KZY279" s="445"/>
      <c r="KZZ279" s="414"/>
      <c r="LAC279" s="445"/>
      <c r="LAD279" s="414"/>
      <c r="LAG279" s="445"/>
      <c r="LAH279" s="414"/>
      <c r="LAK279" s="445"/>
      <c r="LAL279" s="414"/>
      <c r="LAO279" s="445"/>
      <c r="LAP279" s="414"/>
      <c r="LAS279" s="445"/>
      <c r="LAT279" s="414"/>
      <c r="LAW279" s="445"/>
      <c r="LAX279" s="414"/>
      <c r="LBA279" s="445"/>
      <c r="LBB279" s="414"/>
      <c r="LBE279" s="445"/>
      <c r="LBF279" s="414"/>
      <c r="LBI279" s="445"/>
      <c r="LBJ279" s="414"/>
      <c r="LBM279" s="445"/>
      <c r="LBN279" s="414"/>
      <c r="LBQ279" s="445"/>
      <c r="LBR279" s="414"/>
      <c r="LBU279" s="445"/>
      <c r="LBV279" s="414"/>
      <c r="LBY279" s="445"/>
      <c r="LBZ279" s="414"/>
      <c r="LCC279" s="445"/>
      <c r="LCD279" s="414"/>
      <c r="LCG279" s="445"/>
      <c r="LCH279" s="414"/>
      <c r="LCK279" s="445"/>
      <c r="LCL279" s="414"/>
      <c r="LCO279" s="445"/>
      <c r="LCP279" s="414"/>
      <c r="LCS279" s="445"/>
      <c r="LCT279" s="414"/>
      <c r="LCW279" s="445"/>
      <c r="LCX279" s="414"/>
      <c r="LDA279" s="445"/>
      <c r="LDB279" s="414"/>
      <c r="LDE279" s="445"/>
      <c r="LDF279" s="414"/>
      <c r="LDI279" s="445"/>
      <c r="LDJ279" s="414"/>
      <c r="LDM279" s="445"/>
      <c r="LDN279" s="414"/>
      <c r="LDQ279" s="445"/>
      <c r="LDR279" s="414"/>
      <c r="LDU279" s="445"/>
      <c r="LDV279" s="414"/>
      <c r="LDY279" s="445"/>
      <c r="LDZ279" s="414"/>
      <c r="LEC279" s="445"/>
      <c r="LED279" s="414"/>
      <c r="LEG279" s="445"/>
      <c r="LEH279" s="414"/>
      <c r="LEK279" s="445"/>
      <c r="LEL279" s="414"/>
      <c r="LEO279" s="445"/>
      <c r="LEP279" s="414"/>
      <c r="LES279" s="445"/>
      <c r="LET279" s="414"/>
      <c r="LEW279" s="445"/>
      <c r="LEX279" s="414"/>
      <c r="LFA279" s="445"/>
      <c r="LFB279" s="414"/>
      <c r="LFE279" s="445"/>
      <c r="LFF279" s="414"/>
      <c r="LFI279" s="445"/>
      <c r="LFJ279" s="414"/>
      <c r="LFM279" s="445"/>
      <c r="LFN279" s="414"/>
      <c r="LFQ279" s="445"/>
      <c r="LFR279" s="414"/>
      <c r="LFU279" s="445"/>
      <c r="LFV279" s="414"/>
      <c r="LFY279" s="445"/>
      <c r="LFZ279" s="414"/>
      <c r="LGC279" s="445"/>
      <c r="LGD279" s="414"/>
      <c r="LGG279" s="445"/>
      <c r="LGH279" s="414"/>
      <c r="LGK279" s="445"/>
      <c r="LGL279" s="414"/>
      <c r="LGO279" s="445"/>
      <c r="LGP279" s="414"/>
      <c r="LGS279" s="445"/>
      <c r="LGT279" s="414"/>
      <c r="LGW279" s="445"/>
      <c r="LGX279" s="414"/>
      <c r="LHA279" s="445"/>
      <c r="LHB279" s="414"/>
      <c r="LHE279" s="445"/>
      <c r="LHF279" s="414"/>
      <c r="LHI279" s="445"/>
      <c r="LHJ279" s="414"/>
      <c r="LHM279" s="445"/>
      <c r="LHN279" s="414"/>
      <c r="LHQ279" s="445"/>
      <c r="LHR279" s="414"/>
      <c r="LHU279" s="445"/>
      <c r="LHV279" s="414"/>
      <c r="LHY279" s="445"/>
      <c r="LHZ279" s="414"/>
      <c r="LIC279" s="445"/>
      <c r="LID279" s="414"/>
      <c r="LIG279" s="445"/>
      <c r="LIH279" s="414"/>
      <c r="LIK279" s="445"/>
      <c r="LIL279" s="414"/>
      <c r="LIO279" s="445"/>
      <c r="LIP279" s="414"/>
      <c r="LIS279" s="445"/>
      <c r="LIT279" s="414"/>
      <c r="LIW279" s="445"/>
      <c r="LIX279" s="414"/>
      <c r="LJA279" s="445"/>
      <c r="LJB279" s="414"/>
      <c r="LJE279" s="445"/>
      <c r="LJF279" s="414"/>
      <c r="LJI279" s="445"/>
      <c r="LJJ279" s="414"/>
      <c r="LJM279" s="445"/>
      <c r="LJN279" s="414"/>
      <c r="LJQ279" s="445"/>
      <c r="LJR279" s="414"/>
      <c r="LJU279" s="445"/>
      <c r="LJV279" s="414"/>
      <c r="LJY279" s="445"/>
      <c r="LJZ279" s="414"/>
      <c r="LKC279" s="445"/>
      <c r="LKD279" s="414"/>
      <c r="LKG279" s="445"/>
      <c r="LKH279" s="414"/>
      <c r="LKK279" s="445"/>
      <c r="LKL279" s="414"/>
      <c r="LKO279" s="445"/>
      <c r="LKP279" s="414"/>
      <c r="LKS279" s="445"/>
      <c r="LKT279" s="414"/>
      <c r="LKW279" s="445"/>
      <c r="LKX279" s="414"/>
      <c r="LLA279" s="445"/>
      <c r="LLB279" s="414"/>
      <c r="LLE279" s="445"/>
      <c r="LLF279" s="414"/>
      <c r="LLI279" s="445"/>
      <c r="LLJ279" s="414"/>
      <c r="LLM279" s="445"/>
      <c r="LLN279" s="414"/>
      <c r="LLQ279" s="445"/>
      <c r="LLR279" s="414"/>
      <c r="LLU279" s="445"/>
      <c r="LLV279" s="414"/>
      <c r="LLY279" s="445"/>
      <c r="LLZ279" s="414"/>
      <c r="LMC279" s="445"/>
      <c r="LMD279" s="414"/>
      <c r="LMG279" s="445"/>
      <c r="LMH279" s="414"/>
      <c r="LMK279" s="445"/>
      <c r="LML279" s="414"/>
      <c r="LMO279" s="445"/>
      <c r="LMP279" s="414"/>
      <c r="LMS279" s="445"/>
      <c r="LMT279" s="414"/>
      <c r="LMW279" s="445"/>
      <c r="LMX279" s="414"/>
      <c r="LNA279" s="445"/>
      <c r="LNB279" s="414"/>
      <c r="LNE279" s="445"/>
      <c r="LNF279" s="414"/>
      <c r="LNI279" s="445"/>
      <c r="LNJ279" s="414"/>
      <c r="LNM279" s="445"/>
      <c r="LNN279" s="414"/>
      <c r="LNQ279" s="445"/>
      <c r="LNR279" s="414"/>
      <c r="LNU279" s="445"/>
      <c r="LNV279" s="414"/>
      <c r="LNY279" s="445"/>
      <c r="LNZ279" s="414"/>
      <c r="LOC279" s="445"/>
      <c r="LOD279" s="414"/>
      <c r="LOG279" s="445"/>
      <c r="LOH279" s="414"/>
      <c r="LOK279" s="445"/>
      <c r="LOL279" s="414"/>
      <c r="LOO279" s="445"/>
      <c r="LOP279" s="414"/>
      <c r="LOS279" s="445"/>
      <c r="LOT279" s="414"/>
      <c r="LOW279" s="445"/>
      <c r="LOX279" s="414"/>
      <c r="LPA279" s="445"/>
      <c r="LPB279" s="414"/>
      <c r="LPE279" s="445"/>
      <c r="LPF279" s="414"/>
      <c r="LPI279" s="445"/>
      <c r="LPJ279" s="414"/>
      <c r="LPM279" s="445"/>
      <c r="LPN279" s="414"/>
      <c r="LPQ279" s="445"/>
      <c r="LPR279" s="414"/>
      <c r="LPU279" s="445"/>
      <c r="LPV279" s="414"/>
      <c r="LPY279" s="445"/>
      <c r="LPZ279" s="414"/>
      <c r="LQC279" s="445"/>
      <c r="LQD279" s="414"/>
      <c r="LQG279" s="445"/>
      <c r="LQH279" s="414"/>
      <c r="LQK279" s="445"/>
      <c r="LQL279" s="414"/>
      <c r="LQO279" s="445"/>
      <c r="LQP279" s="414"/>
      <c r="LQS279" s="445"/>
      <c r="LQT279" s="414"/>
      <c r="LQW279" s="445"/>
      <c r="LQX279" s="414"/>
      <c r="LRA279" s="445"/>
      <c r="LRB279" s="414"/>
      <c r="LRE279" s="445"/>
      <c r="LRF279" s="414"/>
      <c r="LRI279" s="445"/>
      <c r="LRJ279" s="414"/>
      <c r="LRM279" s="445"/>
      <c r="LRN279" s="414"/>
      <c r="LRQ279" s="445"/>
      <c r="LRR279" s="414"/>
      <c r="LRU279" s="445"/>
      <c r="LRV279" s="414"/>
      <c r="LRY279" s="445"/>
      <c r="LRZ279" s="414"/>
      <c r="LSC279" s="445"/>
      <c r="LSD279" s="414"/>
      <c r="LSG279" s="445"/>
      <c r="LSH279" s="414"/>
      <c r="LSK279" s="445"/>
      <c r="LSL279" s="414"/>
      <c r="LSO279" s="445"/>
      <c r="LSP279" s="414"/>
      <c r="LSS279" s="445"/>
      <c r="LST279" s="414"/>
      <c r="LSW279" s="445"/>
      <c r="LSX279" s="414"/>
      <c r="LTA279" s="445"/>
      <c r="LTB279" s="414"/>
      <c r="LTE279" s="445"/>
      <c r="LTF279" s="414"/>
      <c r="LTI279" s="445"/>
      <c r="LTJ279" s="414"/>
      <c r="LTM279" s="445"/>
      <c r="LTN279" s="414"/>
      <c r="LTQ279" s="445"/>
      <c r="LTR279" s="414"/>
      <c r="LTU279" s="445"/>
      <c r="LTV279" s="414"/>
      <c r="LTY279" s="445"/>
      <c r="LTZ279" s="414"/>
      <c r="LUC279" s="445"/>
      <c r="LUD279" s="414"/>
      <c r="LUG279" s="445"/>
      <c r="LUH279" s="414"/>
      <c r="LUK279" s="445"/>
      <c r="LUL279" s="414"/>
      <c r="LUO279" s="445"/>
      <c r="LUP279" s="414"/>
      <c r="LUS279" s="445"/>
      <c r="LUT279" s="414"/>
      <c r="LUW279" s="445"/>
      <c r="LUX279" s="414"/>
      <c r="LVA279" s="445"/>
      <c r="LVB279" s="414"/>
      <c r="LVE279" s="445"/>
      <c r="LVF279" s="414"/>
      <c r="LVI279" s="445"/>
      <c r="LVJ279" s="414"/>
      <c r="LVM279" s="445"/>
      <c r="LVN279" s="414"/>
      <c r="LVQ279" s="445"/>
      <c r="LVR279" s="414"/>
      <c r="LVU279" s="445"/>
      <c r="LVV279" s="414"/>
      <c r="LVY279" s="445"/>
      <c r="LVZ279" s="414"/>
      <c r="LWC279" s="445"/>
      <c r="LWD279" s="414"/>
      <c r="LWG279" s="445"/>
      <c r="LWH279" s="414"/>
      <c r="LWK279" s="445"/>
      <c r="LWL279" s="414"/>
      <c r="LWO279" s="445"/>
      <c r="LWP279" s="414"/>
      <c r="LWS279" s="445"/>
      <c r="LWT279" s="414"/>
      <c r="LWW279" s="445"/>
      <c r="LWX279" s="414"/>
      <c r="LXA279" s="445"/>
      <c r="LXB279" s="414"/>
      <c r="LXE279" s="445"/>
      <c r="LXF279" s="414"/>
      <c r="LXI279" s="445"/>
      <c r="LXJ279" s="414"/>
      <c r="LXM279" s="445"/>
      <c r="LXN279" s="414"/>
      <c r="LXQ279" s="445"/>
      <c r="LXR279" s="414"/>
      <c r="LXU279" s="445"/>
      <c r="LXV279" s="414"/>
      <c r="LXY279" s="445"/>
      <c r="LXZ279" s="414"/>
      <c r="LYC279" s="445"/>
      <c r="LYD279" s="414"/>
      <c r="LYG279" s="445"/>
      <c r="LYH279" s="414"/>
      <c r="LYK279" s="445"/>
      <c r="LYL279" s="414"/>
      <c r="LYO279" s="445"/>
      <c r="LYP279" s="414"/>
      <c r="LYS279" s="445"/>
      <c r="LYT279" s="414"/>
      <c r="LYW279" s="445"/>
      <c r="LYX279" s="414"/>
      <c r="LZA279" s="445"/>
      <c r="LZB279" s="414"/>
      <c r="LZE279" s="445"/>
      <c r="LZF279" s="414"/>
      <c r="LZI279" s="445"/>
      <c r="LZJ279" s="414"/>
      <c r="LZM279" s="445"/>
      <c r="LZN279" s="414"/>
      <c r="LZQ279" s="445"/>
      <c r="LZR279" s="414"/>
      <c r="LZU279" s="445"/>
      <c r="LZV279" s="414"/>
      <c r="LZY279" s="445"/>
      <c r="LZZ279" s="414"/>
      <c r="MAC279" s="445"/>
      <c r="MAD279" s="414"/>
      <c r="MAG279" s="445"/>
      <c r="MAH279" s="414"/>
      <c r="MAK279" s="445"/>
      <c r="MAL279" s="414"/>
      <c r="MAO279" s="445"/>
      <c r="MAP279" s="414"/>
      <c r="MAS279" s="445"/>
      <c r="MAT279" s="414"/>
      <c r="MAW279" s="445"/>
      <c r="MAX279" s="414"/>
      <c r="MBA279" s="445"/>
      <c r="MBB279" s="414"/>
      <c r="MBE279" s="445"/>
      <c r="MBF279" s="414"/>
      <c r="MBI279" s="445"/>
      <c r="MBJ279" s="414"/>
      <c r="MBM279" s="445"/>
      <c r="MBN279" s="414"/>
      <c r="MBQ279" s="445"/>
      <c r="MBR279" s="414"/>
      <c r="MBU279" s="445"/>
      <c r="MBV279" s="414"/>
      <c r="MBY279" s="445"/>
      <c r="MBZ279" s="414"/>
      <c r="MCC279" s="445"/>
      <c r="MCD279" s="414"/>
      <c r="MCG279" s="445"/>
      <c r="MCH279" s="414"/>
      <c r="MCK279" s="445"/>
      <c r="MCL279" s="414"/>
      <c r="MCO279" s="445"/>
      <c r="MCP279" s="414"/>
      <c r="MCS279" s="445"/>
      <c r="MCT279" s="414"/>
      <c r="MCW279" s="445"/>
      <c r="MCX279" s="414"/>
      <c r="MDA279" s="445"/>
      <c r="MDB279" s="414"/>
      <c r="MDE279" s="445"/>
      <c r="MDF279" s="414"/>
      <c r="MDI279" s="445"/>
      <c r="MDJ279" s="414"/>
      <c r="MDM279" s="445"/>
      <c r="MDN279" s="414"/>
      <c r="MDQ279" s="445"/>
      <c r="MDR279" s="414"/>
      <c r="MDU279" s="445"/>
      <c r="MDV279" s="414"/>
      <c r="MDY279" s="445"/>
      <c r="MDZ279" s="414"/>
      <c r="MEC279" s="445"/>
      <c r="MED279" s="414"/>
      <c r="MEG279" s="445"/>
      <c r="MEH279" s="414"/>
      <c r="MEK279" s="445"/>
      <c r="MEL279" s="414"/>
      <c r="MEO279" s="445"/>
      <c r="MEP279" s="414"/>
      <c r="MES279" s="445"/>
      <c r="MET279" s="414"/>
      <c r="MEW279" s="445"/>
      <c r="MEX279" s="414"/>
      <c r="MFA279" s="445"/>
      <c r="MFB279" s="414"/>
      <c r="MFE279" s="445"/>
      <c r="MFF279" s="414"/>
      <c r="MFI279" s="445"/>
      <c r="MFJ279" s="414"/>
      <c r="MFM279" s="445"/>
      <c r="MFN279" s="414"/>
      <c r="MFQ279" s="445"/>
      <c r="MFR279" s="414"/>
      <c r="MFU279" s="445"/>
      <c r="MFV279" s="414"/>
      <c r="MFY279" s="445"/>
      <c r="MFZ279" s="414"/>
      <c r="MGC279" s="445"/>
      <c r="MGD279" s="414"/>
      <c r="MGG279" s="445"/>
      <c r="MGH279" s="414"/>
      <c r="MGK279" s="445"/>
      <c r="MGL279" s="414"/>
      <c r="MGO279" s="445"/>
      <c r="MGP279" s="414"/>
      <c r="MGS279" s="445"/>
      <c r="MGT279" s="414"/>
      <c r="MGW279" s="445"/>
      <c r="MGX279" s="414"/>
      <c r="MHA279" s="445"/>
      <c r="MHB279" s="414"/>
      <c r="MHE279" s="445"/>
      <c r="MHF279" s="414"/>
      <c r="MHI279" s="445"/>
      <c r="MHJ279" s="414"/>
      <c r="MHM279" s="445"/>
      <c r="MHN279" s="414"/>
      <c r="MHQ279" s="445"/>
      <c r="MHR279" s="414"/>
      <c r="MHU279" s="445"/>
      <c r="MHV279" s="414"/>
      <c r="MHY279" s="445"/>
      <c r="MHZ279" s="414"/>
      <c r="MIC279" s="445"/>
      <c r="MID279" s="414"/>
      <c r="MIG279" s="445"/>
      <c r="MIH279" s="414"/>
      <c r="MIK279" s="445"/>
      <c r="MIL279" s="414"/>
      <c r="MIO279" s="445"/>
      <c r="MIP279" s="414"/>
      <c r="MIS279" s="445"/>
      <c r="MIT279" s="414"/>
      <c r="MIW279" s="445"/>
      <c r="MIX279" s="414"/>
      <c r="MJA279" s="445"/>
      <c r="MJB279" s="414"/>
      <c r="MJE279" s="445"/>
      <c r="MJF279" s="414"/>
      <c r="MJI279" s="445"/>
      <c r="MJJ279" s="414"/>
      <c r="MJM279" s="445"/>
      <c r="MJN279" s="414"/>
      <c r="MJQ279" s="445"/>
      <c r="MJR279" s="414"/>
      <c r="MJU279" s="445"/>
      <c r="MJV279" s="414"/>
      <c r="MJY279" s="445"/>
      <c r="MJZ279" s="414"/>
      <c r="MKC279" s="445"/>
      <c r="MKD279" s="414"/>
      <c r="MKG279" s="445"/>
      <c r="MKH279" s="414"/>
      <c r="MKK279" s="445"/>
      <c r="MKL279" s="414"/>
      <c r="MKO279" s="445"/>
      <c r="MKP279" s="414"/>
      <c r="MKS279" s="445"/>
      <c r="MKT279" s="414"/>
      <c r="MKW279" s="445"/>
      <c r="MKX279" s="414"/>
      <c r="MLA279" s="445"/>
      <c r="MLB279" s="414"/>
      <c r="MLE279" s="445"/>
      <c r="MLF279" s="414"/>
      <c r="MLI279" s="445"/>
      <c r="MLJ279" s="414"/>
      <c r="MLM279" s="445"/>
      <c r="MLN279" s="414"/>
      <c r="MLQ279" s="445"/>
      <c r="MLR279" s="414"/>
      <c r="MLU279" s="445"/>
      <c r="MLV279" s="414"/>
      <c r="MLY279" s="445"/>
      <c r="MLZ279" s="414"/>
      <c r="MMC279" s="445"/>
      <c r="MMD279" s="414"/>
      <c r="MMG279" s="445"/>
      <c r="MMH279" s="414"/>
      <c r="MMK279" s="445"/>
      <c r="MML279" s="414"/>
      <c r="MMO279" s="445"/>
      <c r="MMP279" s="414"/>
      <c r="MMS279" s="445"/>
      <c r="MMT279" s="414"/>
      <c r="MMW279" s="445"/>
      <c r="MMX279" s="414"/>
      <c r="MNA279" s="445"/>
      <c r="MNB279" s="414"/>
      <c r="MNE279" s="445"/>
      <c r="MNF279" s="414"/>
      <c r="MNI279" s="445"/>
      <c r="MNJ279" s="414"/>
      <c r="MNM279" s="445"/>
      <c r="MNN279" s="414"/>
      <c r="MNQ279" s="445"/>
      <c r="MNR279" s="414"/>
      <c r="MNU279" s="445"/>
      <c r="MNV279" s="414"/>
      <c r="MNY279" s="445"/>
      <c r="MNZ279" s="414"/>
      <c r="MOC279" s="445"/>
      <c r="MOD279" s="414"/>
      <c r="MOG279" s="445"/>
      <c r="MOH279" s="414"/>
      <c r="MOK279" s="445"/>
      <c r="MOL279" s="414"/>
      <c r="MOO279" s="445"/>
      <c r="MOP279" s="414"/>
      <c r="MOS279" s="445"/>
      <c r="MOT279" s="414"/>
      <c r="MOW279" s="445"/>
      <c r="MOX279" s="414"/>
      <c r="MPA279" s="445"/>
      <c r="MPB279" s="414"/>
      <c r="MPE279" s="445"/>
      <c r="MPF279" s="414"/>
      <c r="MPI279" s="445"/>
      <c r="MPJ279" s="414"/>
      <c r="MPM279" s="445"/>
      <c r="MPN279" s="414"/>
      <c r="MPQ279" s="445"/>
      <c r="MPR279" s="414"/>
      <c r="MPU279" s="445"/>
      <c r="MPV279" s="414"/>
      <c r="MPY279" s="445"/>
      <c r="MPZ279" s="414"/>
      <c r="MQC279" s="445"/>
      <c r="MQD279" s="414"/>
      <c r="MQG279" s="445"/>
      <c r="MQH279" s="414"/>
      <c r="MQK279" s="445"/>
      <c r="MQL279" s="414"/>
      <c r="MQO279" s="445"/>
      <c r="MQP279" s="414"/>
      <c r="MQS279" s="445"/>
      <c r="MQT279" s="414"/>
      <c r="MQW279" s="445"/>
      <c r="MQX279" s="414"/>
      <c r="MRA279" s="445"/>
      <c r="MRB279" s="414"/>
      <c r="MRE279" s="445"/>
      <c r="MRF279" s="414"/>
      <c r="MRI279" s="445"/>
      <c r="MRJ279" s="414"/>
      <c r="MRM279" s="445"/>
      <c r="MRN279" s="414"/>
      <c r="MRQ279" s="445"/>
      <c r="MRR279" s="414"/>
      <c r="MRU279" s="445"/>
      <c r="MRV279" s="414"/>
      <c r="MRY279" s="445"/>
      <c r="MRZ279" s="414"/>
      <c r="MSC279" s="445"/>
      <c r="MSD279" s="414"/>
      <c r="MSG279" s="445"/>
      <c r="MSH279" s="414"/>
      <c r="MSK279" s="445"/>
      <c r="MSL279" s="414"/>
      <c r="MSO279" s="445"/>
      <c r="MSP279" s="414"/>
      <c r="MSS279" s="445"/>
      <c r="MST279" s="414"/>
      <c r="MSW279" s="445"/>
      <c r="MSX279" s="414"/>
      <c r="MTA279" s="445"/>
      <c r="MTB279" s="414"/>
      <c r="MTE279" s="445"/>
      <c r="MTF279" s="414"/>
      <c r="MTI279" s="445"/>
      <c r="MTJ279" s="414"/>
      <c r="MTM279" s="445"/>
      <c r="MTN279" s="414"/>
      <c r="MTQ279" s="445"/>
      <c r="MTR279" s="414"/>
      <c r="MTU279" s="445"/>
      <c r="MTV279" s="414"/>
      <c r="MTY279" s="445"/>
      <c r="MTZ279" s="414"/>
      <c r="MUC279" s="445"/>
      <c r="MUD279" s="414"/>
      <c r="MUG279" s="445"/>
      <c r="MUH279" s="414"/>
      <c r="MUK279" s="445"/>
      <c r="MUL279" s="414"/>
      <c r="MUO279" s="445"/>
      <c r="MUP279" s="414"/>
      <c r="MUS279" s="445"/>
      <c r="MUT279" s="414"/>
      <c r="MUW279" s="445"/>
      <c r="MUX279" s="414"/>
      <c r="MVA279" s="445"/>
      <c r="MVB279" s="414"/>
      <c r="MVE279" s="445"/>
      <c r="MVF279" s="414"/>
      <c r="MVI279" s="445"/>
      <c r="MVJ279" s="414"/>
      <c r="MVM279" s="445"/>
      <c r="MVN279" s="414"/>
      <c r="MVQ279" s="445"/>
      <c r="MVR279" s="414"/>
      <c r="MVU279" s="445"/>
      <c r="MVV279" s="414"/>
      <c r="MVY279" s="445"/>
      <c r="MVZ279" s="414"/>
      <c r="MWC279" s="445"/>
      <c r="MWD279" s="414"/>
      <c r="MWG279" s="445"/>
      <c r="MWH279" s="414"/>
      <c r="MWK279" s="445"/>
      <c r="MWL279" s="414"/>
      <c r="MWO279" s="445"/>
      <c r="MWP279" s="414"/>
      <c r="MWS279" s="445"/>
      <c r="MWT279" s="414"/>
      <c r="MWW279" s="445"/>
      <c r="MWX279" s="414"/>
      <c r="MXA279" s="445"/>
      <c r="MXB279" s="414"/>
      <c r="MXE279" s="445"/>
      <c r="MXF279" s="414"/>
      <c r="MXI279" s="445"/>
      <c r="MXJ279" s="414"/>
      <c r="MXM279" s="445"/>
      <c r="MXN279" s="414"/>
      <c r="MXQ279" s="445"/>
      <c r="MXR279" s="414"/>
      <c r="MXU279" s="445"/>
      <c r="MXV279" s="414"/>
      <c r="MXY279" s="445"/>
      <c r="MXZ279" s="414"/>
      <c r="MYC279" s="445"/>
      <c r="MYD279" s="414"/>
      <c r="MYG279" s="445"/>
      <c r="MYH279" s="414"/>
      <c r="MYK279" s="445"/>
      <c r="MYL279" s="414"/>
      <c r="MYO279" s="445"/>
      <c r="MYP279" s="414"/>
      <c r="MYS279" s="445"/>
      <c r="MYT279" s="414"/>
      <c r="MYW279" s="445"/>
      <c r="MYX279" s="414"/>
      <c r="MZA279" s="445"/>
      <c r="MZB279" s="414"/>
      <c r="MZE279" s="445"/>
      <c r="MZF279" s="414"/>
      <c r="MZI279" s="445"/>
      <c r="MZJ279" s="414"/>
      <c r="MZM279" s="445"/>
      <c r="MZN279" s="414"/>
      <c r="MZQ279" s="445"/>
      <c r="MZR279" s="414"/>
      <c r="MZU279" s="445"/>
      <c r="MZV279" s="414"/>
      <c r="MZY279" s="445"/>
      <c r="MZZ279" s="414"/>
      <c r="NAC279" s="445"/>
      <c r="NAD279" s="414"/>
      <c r="NAG279" s="445"/>
      <c r="NAH279" s="414"/>
      <c r="NAK279" s="445"/>
      <c r="NAL279" s="414"/>
      <c r="NAO279" s="445"/>
      <c r="NAP279" s="414"/>
      <c r="NAS279" s="445"/>
      <c r="NAT279" s="414"/>
      <c r="NAW279" s="445"/>
      <c r="NAX279" s="414"/>
      <c r="NBA279" s="445"/>
      <c r="NBB279" s="414"/>
      <c r="NBE279" s="445"/>
      <c r="NBF279" s="414"/>
      <c r="NBI279" s="445"/>
      <c r="NBJ279" s="414"/>
      <c r="NBM279" s="445"/>
      <c r="NBN279" s="414"/>
      <c r="NBQ279" s="445"/>
      <c r="NBR279" s="414"/>
      <c r="NBU279" s="445"/>
      <c r="NBV279" s="414"/>
      <c r="NBY279" s="445"/>
      <c r="NBZ279" s="414"/>
      <c r="NCC279" s="445"/>
      <c r="NCD279" s="414"/>
      <c r="NCG279" s="445"/>
      <c r="NCH279" s="414"/>
      <c r="NCK279" s="445"/>
      <c r="NCL279" s="414"/>
      <c r="NCO279" s="445"/>
      <c r="NCP279" s="414"/>
      <c r="NCS279" s="445"/>
      <c r="NCT279" s="414"/>
      <c r="NCW279" s="445"/>
      <c r="NCX279" s="414"/>
      <c r="NDA279" s="445"/>
      <c r="NDB279" s="414"/>
      <c r="NDE279" s="445"/>
      <c r="NDF279" s="414"/>
      <c r="NDI279" s="445"/>
      <c r="NDJ279" s="414"/>
      <c r="NDM279" s="445"/>
      <c r="NDN279" s="414"/>
      <c r="NDQ279" s="445"/>
      <c r="NDR279" s="414"/>
      <c r="NDU279" s="445"/>
      <c r="NDV279" s="414"/>
      <c r="NDY279" s="445"/>
      <c r="NDZ279" s="414"/>
      <c r="NEC279" s="445"/>
      <c r="NED279" s="414"/>
      <c r="NEG279" s="445"/>
      <c r="NEH279" s="414"/>
      <c r="NEK279" s="445"/>
      <c r="NEL279" s="414"/>
      <c r="NEO279" s="445"/>
      <c r="NEP279" s="414"/>
      <c r="NES279" s="445"/>
      <c r="NET279" s="414"/>
      <c r="NEW279" s="445"/>
      <c r="NEX279" s="414"/>
      <c r="NFA279" s="445"/>
      <c r="NFB279" s="414"/>
      <c r="NFE279" s="445"/>
      <c r="NFF279" s="414"/>
      <c r="NFI279" s="445"/>
      <c r="NFJ279" s="414"/>
      <c r="NFM279" s="445"/>
      <c r="NFN279" s="414"/>
      <c r="NFQ279" s="445"/>
      <c r="NFR279" s="414"/>
      <c r="NFU279" s="445"/>
      <c r="NFV279" s="414"/>
      <c r="NFY279" s="445"/>
      <c r="NFZ279" s="414"/>
      <c r="NGC279" s="445"/>
      <c r="NGD279" s="414"/>
      <c r="NGG279" s="445"/>
      <c r="NGH279" s="414"/>
      <c r="NGK279" s="445"/>
      <c r="NGL279" s="414"/>
      <c r="NGO279" s="445"/>
      <c r="NGP279" s="414"/>
      <c r="NGS279" s="445"/>
      <c r="NGT279" s="414"/>
      <c r="NGW279" s="445"/>
      <c r="NGX279" s="414"/>
      <c r="NHA279" s="445"/>
      <c r="NHB279" s="414"/>
      <c r="NHE279" s="445"/>
      <c r="NHF279" s="414"/>
      <c r="NHI279" s="445"/>
      <c r="NHJ279" s="414"/>
      <c r="NHM279" s="445"/>
      <c r="NHN279" s="414"/>
      <c r="NHQ279" s="445"/>
      <c r="NHR279" s="414"/>
      <c r="NHU279" s="445"/>
      <c r="NHV279" s="414"/>
      <c r="NHY279" s="445"/>
      <c r="NHZ279" s="414"/>
      <c r="NIC279" s="445"/>
      <c r="NID279" s="414"/>
      <c r="NIG279" s="445"/>
      <c r="NIH279" s="414"/>
      <c r="NIK279" s="445"/>
      <c r="NIL279" s="414"/>
      <c r="NIO279" s="445"/>
      <c r="NIP279" s="414"/>
      <c r="NIS279" s="445"/>
      <c r="NIT279" s="414"/>
      <c r="NIW279" s="445"/>
      <c r="NIX279" s="414"/>
      <c r="NJA279" s="445"/>
      <c r="NJB279" s="414"/>
      <c r="NJE279" s="445"/>
      <c r="NJF279" s="414"/>
      <c r="NJI279" s="445"/>
      <c r="NJJ279" s="414"/>
      <c r="NJM279" s="445"/>
      <c r="NJN279" s="414"/>
      <c r="NJQ279" s="445"/>
      <c r="NJR279" s="414"/>
      <c r="NJU279" s="445"/>
      <c r="NJV279" s="414"/>
      <c r="NJY279" s="445"/>
      <c r="NJZ279" s="414"/>
      <c r="NKC279" s="445"/>
      <c r="NKD279" s="414"/>
      <c r="NKG279" s="445"/>
      <c r="NKH279" s="414"/>
      <c r="NKK279" s="445"/>
      <c r="NKL279" s="414"/>
      <c r="NKO279" s="445"/>
      <c r="NKP279" s="414"/>
      <c r="NKS279" s="445"/>
      <c r="NKT279" s="414"/>
      <c r="NKW279" s="445"/>
      <c r="NKX279" s="414"/>
      <c r="NLA279" s="445"/>
      <c r="NLB279" s="414"/>
      <c r="NLE279" s="445"/>
      <c r="NLF279" s="414"/>
      <c r="NLI279" s="445"/>
      <c r="NLJ279" s="414"/>
      <c r="NLM279" s="445"/>
      <c r="NLN279" s="414"/>
      <c r="NLQ279" s="445"/>
      <c r="NLR279" s="414"/>
      <c r="NLU279" s="445"/>
      <c r="NLV279" s="414"/>
      <c r="NLY279" s="445"/>
      <c r="NLZ279" s="414"/>
      <c r="NMC279" s="445"/>
      <c r="NMD279" s="414"/>
      <c r="NMG279" s="445"/>
      <c r="NMH279" s="414"/>
      <c r="NMK279" s="445"/>
      <c r="NML279" s="414"/>
      <c r="NMO279" s="445"/>
      <c r="NMP279" s="414"/>
      <c r="NMS279" s="445"/>
      <c r="NMT279" s="414"/>
      <c r="NMW279" s="445"/>
      <c r="NMX279" s="414"/>
      <c r="NNA279" s="445"/>
      <c r="NNB279" s="414"/>
      <c r="NNE279" s="445"/>
      <c r="NNF279" s="414"/>
      <c r="NNI279" s="445"/>
      <c r="NNJ279" s="414"/>
      <c r="NNM279" s="445"/>
      <c r="NNN279" s="414"/>
      <c r="NNQ279" s="445"/>
      <c r="NNR279" s="414"/>
      <c r="NNU279" s="445"/>
      <c r="NNV279" s="414"/>
      <c r="NNY279" s="445"/>
      <c r="NNZ279" s="414"/>
      <c r="NOC279" s="445"/>
      <c r="NOD279" s="414"/>
      <c r="NOG279" s="445"/>
      <c r="NOH279" s="414"/>
      <c r="NOK279" s="445"/>
      <c r="NOL279" s="414"/>
      <c r="NOO279" s="445"/>
      <c r="NOP279" s="414"/>
      <c r="NOS279" s="445"/>
      <c r="NOT279" s="414"/>
      <c r="NOW279" s="445"/>
      <c r="NOX279" s="414"/>
      <c r="NPA279" s="445"/>
      <c r="NPB279" s="414"/>
      <c r="NPE279" s="445"/>
      <c r="NPF279" s="414"/>
      <c r="NPI279" s="445"/>
      <c r="NPJ279" s="414"/>
      <c r="NPM279" s="445"/>
      <c r="NPN279" s="414"/>
      <c r="NPQ279" s="445"/>
      <c r="NPR279" s="414"/>
      <c r="NPU279" s="445"/>
      <c r="NPV279" s="414"/>
      <c r="NPY279" s="445"/>
      <c r="NPZ279" s="414"/>
      <c r="NQC279" s="445"/>
      <c r="NQD279" s="414"/>
      <c r="NQG279" s="445"/>
      <c r="NQH279" s="414"/>
      <c r="NQK279" s="445"/>
      <c r="NQL279" s="414"/>
      <c r="NQO279" s="445"/>
      <c r="NQP279" s="414"/>
      <c r="NQS279" s="445"/>
      <c r="NQT279" s="414"/>
      <c r="NQW279" s="445"/>
      <c r="NQX279" s="414"/>
      <c r="NRA279" s="445"/>
      <c r="NRB279" s="414"/>
      <c r="NRE279" s="445"/>
      <c r="NRF279" s="414"/>
      <c r="NRI279" s="445"/>
      <c r="NRJ279" s="414"/>
      <c r="NRM279" s="445"/>
      <c r="NRN279" s="414"/>
      <c r="NRQ279" s="445"/>
      <c r="NRR279" s="414"/>
      <c r="NRU279" s="445"/>
      <c r="NRV279" s="414"/>
      <c r="NRY279" s="445"/>
      <c r="NRZ279" s="414"/>
      <c r="NSC279" s="445"/>
      <c r="NSD279" s="414"/>
      <c r="NSG279" s="445"/>
      <c r="NSH279" s="414"/>
      <c r="NSK279" s="445"/>
      <c r="NSL279" s="414"/>
      <c r="NSO279" s="445"/>
      <c r="NSP279" s="414"/>
      <c r="NSS279" s="445"/>
      <c r="NST279" s="414"/>
      <c r="NSW279" s="445"/>
      <c r="NSX279" s="414"/>
      <c r="NTA279" s="445"/>
      <c r="NTB279" s="414"/>
      <c r="NTE279" s="445"/>
      <c r="NTF279" s="414"/>
      <c r="NTI279" s="445"/>
      <c r="NTJ279" s="414"/>
      <c r="NTM279" s="445"/>
      <c r="NTN279" s="414"/>
      <c r="NTQ279" s="445"/>
      <c r="NTR279" s="414"/>
      <c r="NTU279" s="445"/>
      <c r="NTV279" s="414"/>
      <c r="NTY279" s="445"/>
      <c r="NTZ279" s="414"/>
      <c r="NUC279" s="445"/>
      <c r="NUD279" s="414"/>
      <c r="NUG279" s="445"/>
      <c r="NUH279" s="414"/>
      <c r="NUK279" s="445"/>
      <c r="NUL279" s="414"/>
      <c r="NUO279" s="445"/>
      <c r="NUP279" s="414"/>
      <c r="NUS279" s="445"/>
      <c r="NUT279" s="414"/>
      <c r="NUW279" s="445"/>
      <c r="NUX279" s="414"/>
      <c r="NVA279" s="445"/>
      <c r="NVB279" s="414"/>
      <c r="NVE279" s="445"/>
      <c r="NVF279" s="414"/>
      <c r="NVI279" s="445"/>
      <c r="NVJ279" s="414"/>
      <c r="NVM279" s="445"/>
      <c r="NVN279" s="414"/>
      <c r="NVQ279" s="445"/>
      <c r="NVR279" s="414"/>
      <c r="NVU279" s="445"/>
      <c r="NVV279" s="414"/>
      <c r="NVY279" s="445"/>
      <c r="NVZ279" s="414"/>
      <c r="NWC279" s="445"/>
      <c r="NWD279" s="414"/>
      <c r="NWG279" s="445"/>
      <c r="NWH279" s="414"/>
      <c r="NWK279" s="445"/>
      <c r="NWL279" s="414"/>
      <c r="NWO279" s="445"/>
      <c r="NWP279" s="414"/>
      <c r="NWS279" s="445"/>
      <c r="NWT279" s="414"/>
      <c r="NWW279" s="445"/>
      <c r="NWX279" s="414"/>
      <c r="NXA279" s="445"/>
      <c r="NXB279" s="414"/>
      <c r="NXE279" s="445"/>
      <c r="NXF279" s="414"/>
      <c r="NXI279" s="445"/>
      <c r="NXJ279" s="414"/>
      <c r="NXM279" s="445"/>
      <c r="NXN279" s="414"/>
      <c r="NXQ279" s="445"/>
      <c r="NXR279" s="414"/>
      <c r="NXU279" s="445"/>
      <c r="NXV279" s="414"/>
      <c r="NXY279" s="445"/>
      <c r="NXZ279" s="414"/>
      <c r="NYC279" s="445"/>
      <c r="NYD279" s="414"/>
      <c r="NYG279" s="445"/>
      <c r="NYH279" s="414"/>
      <c r="NYK279" s="445"/>
      <c r="NYL279" s="414"/>
      <c r="NYO279" s="445"/>
      <c r="NYP279" s="414"/>
      <c r="NYS279" s="445"/>
      <c r="NYT279" s="414"/>
      <c r="NYW279" s="445"/>
      <c r="NYX279" s="414"/>
      <c r="NZA279" s="445"/>
      <c r="NZB279" s="414"/>
      <c r="NZE279" s="445"/>
      <c r="NZF279" s="414"/>
      <c r="NZI279" s="445"/>
      <c r="NZJ279" s="414"/>
      <c r="NZM279" s="445"/>
      <c r="NZN279" s="414"/>
      <c r="NZQ279" s="445"/>
      <c r="NZR279" s="414"/>
      <c r="NZU279" s="445"/>
      <c r="NZV279" s="414"/>
      <c r="NZY279" s="445"/>
      <c r="NZZ279" s="414"/>
      <c r="OAC279" s="445"/>
      <c r="OAD279" s="414"/>
      <c r="OAG279" s="445"/>
      <c r="OAH279" s="414"/>
      <c r="OAK279" s="445"/>
      <c r="OAL279" s="414"/>
      <c r="OAO279" s="445"/>
      <c r="OAP279" s="414"/>
      <c r="OAS279" s="445"/>
      <c r="OAT279" s="414"/>
      <c r="OAW279" s="445"/>
      <c r="OAX279" s="414"/>
      <c r="OBA279" s="445"/>
      <c r="OBB279" s="414"/>
      <c r="OBE279" s="445"/>
      <c r="OBF279" s="414"/>
      <c r="OBI279" s="445"/>
      <c r="OBJ279" s="414"/>
      <c r="OBM279" s="445"/>
      <c r="OBN279" s="414"/>
      <c r="OBQ279" s="445"/>
      <c r="OBR279" s="414"/>
      <c r="OBU279" s="445"/>
      <c r="OBV279" s="414"/>
      <c r="OBY279" s="445"/>
      <c r="OBZ279" s="414"/>
      <c r="OCC279" s="445"/>
      <c r="OCD279" s="414"/>
      <c r="OCG279" s="445"/>
      <c r="OCH279" s="414"/>
      <c r="OCK279" s="445"/>
      <c r="OCL279" s="414"/>
      <c r="OCO279" s="445"/>
      <c r="OCP279" s="414"/>
      <c r="OCS279" s="445"/>
      <c r="OCT279" s="414"/>
      <c r="OCW279" s="445"/>
      <c r="OCX279" s="414"/>
      <c r="ODA279" s="445"/>
      <c r="ODB279" s="414"/>
      <c r="ODE279" s="445"/>
      <c r="ODF279" s="414"/>
      <c r="ODI279" s="445"/>
      <c r="ODJ279" s="414"/>
      <c r="ODM279" s="445"/>
      <c r="ODN279" s="414"/>
      <c r="ODQ279" s="445"/>
      <c r="ODR279" s="414"/>
      <c r="ODU279" s="445"/>
      <c r="ODV279" s="414"/>
      <c r="ODY279" s="445"/>
      <c r="ODZ279" s="414"/>
      <c r="OEC279" s="445"/>
      <c r="OED279" s="414"/>
      <c r="OEG279" s="445"/>
      <c r="OEH279" s="414"/>
      <c r="OEK279" s="445"/>
      <c r="OEL279" s="414"/>
      <c r="OEO279" s="445"/>
      <c r="OEP279" s="414"/>
      <c r="OES279" s="445"/>
      <c r="OET279" s="414"/>
      <c r="OEW279" s="445"/>
      <c r="OEX279" s="414"/>
      <c r="OFA279" s="445"/>
      <c r="OFB279" s="414"/>
      <c r="OFE279" s="445"/>
      <c r="OFF279" s="414"/>
      <c r="OFI279" s="445"/>
      <c r="OFJ279" s="414"/>
      <c r="OFM279" s="445"/>
      <c r="OFN279" s="414"/>
      <c r="OFQ279" s="445"/>
      <c r="OFR279" s="414"/>
      <c r="OFU279" s="445"/>
      <c r="OFV279" s="414"/>
      <c r="OFY279" s="445"/>
      <c r="OFZ279" s="414"/>
      <c r="OGC279" s="445"/>
      <c r="OGD279" s="414"/>
      <c r="OGG279" s="445"/>
      <c r="OGH279" s="414"/>
      <c r="OGK279" s="445"/>
      <c r="OGL279" s="414"/>
      <c r="OGO279" s="445"/>
      <c r="OGP279" s="414"/>
      <c r="OGS279" s="445"/>
      <c r="OGT279" s="414"/>
      <c r="OGW279" s="445"/>
      <c r="OGX279" s="414"/>
      <c r="OHA279" s="445"/>
      <c r="OHB279" s="414"/>
      <c r="OHE279" s="445"/>
      <c r="OHF279" s="414"/>
      <c r="OHI279" s="445"/>
      <c r="OHJ279" s="414"/>
      <c r="OHM279" s="445"/>
      <c r="OHN279" s="414"/>
      <c r="OHQ279" s="445"/>
      <c r="OHR279" s="414"/>
      <c r="OHU279" s="445"/>
      <c r="OHV279" s="414"/>
      <c r="OHY279" s="445"/>
      <c r="OHZ279" s="414"/>
      <c r="OIC279" s="445"/>
      <c r="OID279" s="414"/>
      <c r="OIG279" s="445"/>
      <c r="OIH279" s="414"/>
      <c r="OIK279" s="445"/>
      <c r="OIL279" s="414"/>
      <c r="OIO279" s="445"/>
      <c r="OIP279" s="414"/>
      <c r="OIS279" s="445"/>
      <c r="OIT279" s="414"/>
      <c r="OIW279" s="445"/>
      <c r="OIX279" s="414"/>
      <c r="OJA279" s="445"/>
      <c r="OJB279" s="414"/>
      <c r="OJE279" s="445"/>
      <c r="OJF279" s="414"/>
      <c r="OJI279" s="445"/>
      <c r="OJJ279" s="414"/>
      <c r="OJM279" s="445"/>
      <c r="OJN279" s="414"/>
      <c r="OJQ279" s="445"/>
      <c r="OJR279" s="414"/>
      <c r="OJU279" s="445"/>
      <c r="OJV279" s="414"/>
      <c r="OJY279" s="445"/>
      <c r="OJZ279" s="414"/>
      <c r="OKC279" s="445"/>
      <c r="OKD279" s="414"/>
      <c r="OKG279" s="445"/>
      <c r="OKH279" s="414"/>
      <c r="OKK279" s="445"/>
      <c r="OKL279" s="414"/>
      <c r="OKO279" s="445"/>
      <c r="OKP279" s="414"/>
      <c r="OKS279" s="445"/>
      <c r="OKT279" s="414"/>
      <c r="OKW279" s="445"/>
      <c r="OKX279" s="414"/>
      <c r="OLA279" s="445"/>
      <c r="OLB279" s="414"/>
      <c r="OLE279" s="445"/>
      <c r="OLF279" s="414"/>
      <c r="OLI279" s="445"/>
      <c r="OLJ279" s="414"/>
      <c r="OLM279" s="445"/>
      <c r="OLN279" s="414"/>
      <c r="OLQ279" s="445"/>
      <c r="OLR279" s="414"/>
      <c r="OLU279" s="445"/>
      <c r="OLV279" s="414"/>
      <c r="OLY279" s="445"/>
      <c r="OLZ279" s="414"/>
      <c r="OMC279" s="445"/>
      <c r="OMD279" s="414"/>
      <c r="OMG279" s="445"/>
      <c r="OMH279" s="414"/>
      <c r="OMK279" s="445"/>
      <c r="OML279" s="414"/>
      <c r="OMO279" s="445"/>
      <c r="OMP279" s="414"/>
      <c r="OMS279" s="445"/>
      <c r="OMT279" s="414"/>
      <c r="OMW279" s="445"/>
      <c r="OMX279" s="414"/>
      <c r="ONA279" s="445"/>
      <c r="ONB279" s="414"/>
      <c r="ONE279" s="445"/>
      <c r="ONF279" s="414"/>
      <c r="ONI279" s="445"/>
      <c r="ONJ279" s="414"/>
      <c r="ONM279" s="445"/>
      <c r="ONN279" s="414"/>
      <c r="ONQ279" s="445"/>
      <c r="ONR279" s="414"/>
      <c r="ONU279" s="445"/>
      <c r="ONV279" s="414"/>
      <c r="ONY279" s="445"/>
      <c r="ONZ279" s="414"/>
      <c r="OOC279" s="445"/>
      <c r="OOD279" s="414"/>
      <c r="OOG279" s="445"/>
      <c r="OOH279" s="414"/>
      <c r="OOK279" s="445"/>
      <c r="OOL279" s="414"/>
      <c r="OOO279" s="445"/>
      <c r="OOP279" s="414"/>
      <c r="OOS279" s="445"/>
      <c r="OOT279" s="414"/>
      <c r="OOW279" s="445"/>
      <c r="OOX279" s="414"/>
      <c r="OPA279" s="445"/>
      <c r="OPB279" s="414"/>
      <c r="OPE279" s="445"/>
      <c r="OPF279" s="414"/>
      <c r="OPI279" s="445"/>
      <c r="OPJ279" s="414"/>
      <c r="OPM279" s="445"/>
      <c r="OPN279" s="414"/>
      <c r="OPQ279" s="445"/>
      <c r="OPR279" s="414"/>
      <c r="OPU279" s="445"/>
      <c r="OPV279" s="414"/>
      <c r="OPY279" s="445"/>
      <c r="OPZ279" s="414"/>
      <c r="OQC279" s="445"/>
      <c r="OQD279" s="414"/>
      <c r="OQG279" s="445"/>
      <c r="OQH279" s="414"/>
      <c r="OQK279" s="445"/>
      <c r="OQL279" s="414"/>
      <c r="OQO279" s="445"/>
      <c r="OQP279" s="414"/>
      <c r="OQS279" s="445"/>
      <c r="OQT279" s="414"/>
      <c r="OQW279" s="445"/>
      <c r="OQX279" s="414"/>
      <c r="ORA279" s="445"/>
      <c r="ORB279" s="414"/>
      <c r="ORE279" s="445"/>
      <c r="ORF279" s="414"/>
      <c r="ORI279" s="445"/>
      <c r="ORJ279" s="414"/>
      <c r="ORM279" s="445"/>
      <c r="ORN279" s="414"/>
      <c r="ORQ279" s="445"/>
      <c r="ORR279" s="414"/>
      <c r="ORU279" s="445"/>
      <c r="ORV279" s="414"/>
      <c r="ORY279" s="445"/>
      <c r="ORZ279" s="414"/>
      <c r="OSC279" s="445"/>
      <c r="OSD279" s="414"/>
      <c r="OSG279" s="445"/>
      <c r="OSH279" s="414"/>
      <c r="OSK279" s="445"/>
      <c r="OSL279" s="414"/>
      <c r="OSO279" s="445"/>
      <c r="OSP279" s="414"/>
      <c r="OSS279" s="445"/>
      <c r="OST279" s="414"/>
      <c r="OSW279" s="445"/>
      <c r="OSX279" s="414"/>
      <c r="OTA279" s="445"/>
      <c r="OTB279" s="414"/>
      <c r="OTE279" s="445"/>
      <c r="OTF279" s="414"/>
      <c r="OTI279" s="445"/>
      <c r="OTJ279" s="414"/>
      <c r="OTM279" s="445"/>
      <c r="OTN279" s="414"/>
      <c r="OTQ279" s="445"/>
      <c r="OTR279" s="414"/>
      <c r="OTU279" s="445"/>
      <c r="OTV279" s="414"/>
      <c r="OTY279" s="445"/>
      <c r="OTZ279" s="414"/>
      <c r="OUC279" s="445"/>
      <c r="OUD279" s="414"/>
      <c r="OUG279" s="445"/>
      <c r="OUH279" s="414"/>
      <c r="OUK279" s="445"/>
      <c r="OUL279" s="414"/>
      <c r="OUO279" s="445"/>
      <c r="OUP279" s="414"/>
      <c r="OUS279" s="445"/>
      <c r="OUT279" s="414"/>
      <c r="OUW279" s="445"/>
      <c r="OUX279" s="414"/>
      <c r="OVA279" s="445"/>
      <c r="OVB279" s="414"/>
      <c r="OVE279" s="445"/>
      <c r="OVF279" s="414"/>
      <c r="OVI279" s="445"/>
      <c r="OVJ279" s="414"/>
      <c r="OVM279" s="445"/>
      <c r="OVN279" s="414"/>
      <c r="OVQ279" s="445"/>
      <c r="OVR279" s="414"/>
      <c r="OVU279" s="445"/>
      <c r="OVV279" s="414"/>
      <c r="OVY279" s="445"/>
      <c r="OVZ279" s="414"/>
      <c r="OWC279" s="445"/>
      <c r="OWD279" s="414"/>
      <c r="OWG279" s="445"/>
      <c r="OWH279" s="414"/>
      <c r="OWK279" s="445"/>
      <c r="OWL279" s="414"/>
      <c r="OWO279" s="445"/>
      <c r="OWP279" s="414"/>
      <c r="OWS279" s="445"/>
      <c r="OWT279" s="414"/>
      <c r="OWW279" s="445"/>
      <c r="OWX279" s="414"/>
      <c r="OXA279" s="445"/>
      <c r="OXB279" s="414"/>
      <c r="OXE279" s="445"/>
      <c r="OXF279" s="414"/>
      <c r="OXI279" s="445"/>
      <c r="OXJ279" s="414"/>
      <c r="OXM279" s="445"/>
      <c r="OXN279" s="414"/>
      <c r="OXQ279" s="445"/>
      <c r="OXR279" s="414"/>
      <c r="OXU279" s="445"/>
      <c r="OXV279" s="414"/>
      <c r="OXY279" s="445"/>
      <c r="OXZ279" s="414"/>
      <c r="OYC279" s="445"/>
      <c r="OYD279" s="414"/>
      <c r="OYG279" s="445"/>
      <c r="OYH279" s="414"/>
      <c r="OYK279" s="445"/>
      <c r="OYL279" s="414"/>
      <c r="OYO279" s="445"/>
      <c r="OYP279" s="414"/>
      <c r="OYS279" s="445"/>
      <c r="OYT279" s="414"/>
      <c r="OYW279" s="445"/>
      <c r="OYX279" s="414"/>
      <c r="OZA279" s="445"/>
      <c r="OZB279" s="414"/>
      <c r="OZE279" s="445"/>
      <c r="OZF279" s="414"/>
      <c r="OZI279" s="445"/>
      <c r="OZJ279" s="414"/>
      <c r="OZM279" s="445"/>
      <c r="OZN279" s="414"/>
      <c r="OZQ279" s="445"/>
      <c r="OZR279" s="414"/>
      <c r="OZU279" s="445"/>
      <c r="OZV279" s="414"/>
      <c r="OZY279" s="445"/>
      <c r="OZZ279" s="414"/>
      <c r="PAC279" s="445"/>
      <c r="PAD279" s="414"/>
      <c r="PAG279" s="445"/>
      <c r="PAH279" s="414"/>
      <c r="PAK279" s="445"/>
      <c r="PAL279" s="414"/>
      <c r="PAO279" s="445"/>
      <c r="PAP279" s="414"/>
      <c r="PAS279" s="445"/>
      <c r="PAT279" s="414"/>
      <c r="PAW279" s="445"/>
      <c r="PAX279" s="414"/>
      <c r="PBA279" s="445"/>
      <c r="PBB279" s="414"/>
      <c r="PBE279" s="445"/>
      <c r="PBF279" s="414"/>
      <c r="PBI279" s="445"/>
      <c r="PBJ279" s="414"/>
      <c r="PBM279" s="445"/>
      <c r="PBN279" s="414"/>
      <c r="PBQ279" s="445"/>
      <c r="PBR279" s="414"/>
      <c r="PBU279" s="445"/>
      <c r="PBV279" s="414"/>
      <c r="PBY279" s="445"/>
      <c r="PBZ279" s="414"/>
      <c r="PCC279" s="445"/>
      <c r="PCD279" s="414"/>
      <c r="PCG279" s="445"/>
      <c r="PCH279" s="414"/>
      <c r="PCK279" s="445"/>
      <c r="PCL279" s="414"/>
      <c r="PCO279" s="445"/>
      <c r="PCP279" s="414"/>
      <c r="PCS279" s="445"/>
      <c r="PCT279" s="414"/>
      <c r="PCW279" s="445"/>
      <c r="PCX279" s="414"/>
      <c r="PDA279" s="445"/>
      <c r="PDB279" s="414"/>
      <c r="PDE279" s="445"/>
      <c r="PDF279" s="414"/>
      <c r="PDI279" s="445"/>
      <c r="PDJ279" s="414"/>
      <c r="PDM279" s="445"/>
      <c r="PDN279" s="414"/>
      <c r="PDQ279" s="445"/>
      <c r="PDR279" s="414"/>
      <c r="PDU279" s="445"/>
      <c r="PDV279" s="414"/>
      <c r="PDY279" s="445"/>
      <c r="PDZ279" s="414"/>
      <c r="PEC279" s="445"/>
      <c r="PED279" s="414"/>
      <c r="PEG279" s="445"/>
      <c r="PEH279" s="414"/>
      <c r="PEK279" s="445"/>
      <c r="PEL279" s="414"/>
      <c r="PEO279" s="445"/>
      <c r="PEP279" s="414"/>
      <c r="PES279" s="445"/>
      <c r="PET279" s="414"/>
      <c r="PEW279" s="445"/>
      <c r="PEX279" s="414"/>
      <c r="PFA279" s="445"/>
      <c r="PFB279" s="414"/>
      <c r="PFE279" s="445"/>
      <c r="PFF279" s="414"/>
      <c r="PFI279" s="445"/>
      <c r="PFJ279" s="414"/>
      <c r="PFM279" s="445"/>
      <c r="PFN279" s="414"/>
      <c r="PFQ279" s="445"/>
      <c r="PFR279" s="414"/>
      <c r="PFU279" s="445"/>
      <c r="PFV279" s="414"/>
      <c r="PFY279" s="445"/>
      <c r="PFZ279" s="414"/>
      <c r="PGC279" s="445"/>
      <c r="PGD279" s="414"/>
      <c r="PGG279" s="445"/>
      <c r="PGH279" s="414"/>
      <c r="PGK279" s="445"/>
      <c r="PGL279" s="414"/>
      <c r="PGO279" s="445"/>
      <c r="PGP279" s="414"/>
      <c r="PGS279" s="445"/>
      <c r="PGT279" s="414"/>
      <c r="PGW279" s="445"/>
      <c r="PGX279" s="414"/>
      <c r="PHA279" s="445"/>
      <c r="PHB279" s="414"/>
      <c r="PHE279" s="445"/>
      <c r="PHF279" s="414"/>
      <c r="PHI279" s="445"/>
      <c r="PHJ279" s="414"/>
      <c r="PHM279" s="445"/>
      <c r="PHN279" s="414"/>
      <c r="PHQ279" s="445"/>
      <c r="PHR279" s="414"/>
      <c r="PHU279" s="445"/>
      <c r="PHV279" s="414"/>
      <c r="PHY279" s="445"/>
      <c r="PHZ279" s="414"/>
      <c r="PIC279" s="445"/>
      <c r="PID279" s="414"/>
      <c r="PIG279" s="445"/>
      <c r="PIH279" s="414"/>
      <c r="PIK279" s="445"/>
      <c r="PIL279" s="414"/>
      <c r="PIO279" s="445"/>
      <c r="PIP279" s="414"/>
      <c r="PIS279" s="445"/>
      <c r="PIT279" s="414"/>
      <c r="PIW279" s="445"/>
      <c r="PIX279" s="414"/>
      <c r="PJA279" s="445"/>
      <c r="PJB279" s="414"/>
      <c r="PJE279" s="445"/>
      <c r="PJF279" s="414"/>
      <c r="PJI279" s="445"/>
      <c r="PJJ279" s="414"/>
      <c r="PJM279" s="445"/>
      <c r="PJN279" s="414"/>
      <c r="PJQ279" s="445"/>
      <c r="PJR279" s="414"/>
      <c r="PJU279" s="445"/>
      <c r="PJV279" s="414"/>
      <c r="PJY279" s="445"/>
      <c r="PJZ279" s="414"/>
      <c r="PKC279" s="445"/>
      <c r="PKD279" s="414"/>
      <c r="PKG279" s="445"/>
      <c r="PKH279" s="414"/>
      <c r="PKK279" s="445"/>
      <c r="PKL279" s="414"/>
      <c r="PKO279" s="445"/>
      <c r="PKP279" s="414"/>
      <c r="PKS279" s="445"/>
      <c r="PKT279" s="414"/>
      <c r="PKW279" s="445"/>
      <c r="PKX279" s="414"/>
      <c r="PLA279" s="445"/>
      <c r="PLB279" s="414"/>
      <c r="PLE279" s="445"/>
      <c r="PLF279" s="414"/>
      <c r="PLI279" s="445"/>
      <c r="PLJ279" s="414"/>
      <c r="PLM279" s="445"/>
      <c r="PLN279" s="414"/>
      <c r="PLQ279" s="445"/>
      <c r="PLR279" s="414"/>
      <c r="PLU279" s="445"/>
      <c r="PLV279" s="414"/>
      <c r="PLY279" s="445"/>
      <c r="PLZ279" s="414"/>
      <c r="PMC279" s="445"/>
      <c r="PMD279" s="414"/>
      <c r="PMG279" s="445"/>
      <c r="PMH279" s="414"/>
      <c r="PMK279" s="445"/>
      <c r="PML279" s="414"/>
      <c r="PMO279" s="445"/>
      <c r="PMP279" s="414"/>
      <c r="PMS279" s="445"/>
      <c r="PMT279" s="414"/>
      <c r="PMW279" s="445"/>
      <c r="PMX279" s="414"/>
      <c r="PNA279" s="445"/>
      <c r="PNB279" s="414"/>
      <c r="PNE279" s="445"/>
      <c r="PNF279" s="414"/>
      <c r="PNI279" s="445"/>
      <c r="PNJ279" s="414"/>
      <c r="PNM279" s="445"/>
      <c r="PNN279" s="414"/>
      <c r="PNQ279" s="445"/>
      <c r="PNR279" s="414"/>
      <c r="PNU279" s="445"/>
      <c r="PNV279" s="414"/>
      <c r="PNY279" s="445"/>
      <c r="PNZ279" s="414"/>
      <c r="POC279" s="445"/>
      <c r="POD279" s="414"/>
      <c r="POG279" s="445"/>
      <c r="POH279" s="414"/>
      <c r="POK279" s="445"/>
      <c r="POL279" s="414"/>
      <c r="POO279" s="445"/>
      <c r="POP279" s="414"/>
      <c r="POS279" s="445"/>
      <c r="POT279" s="414"/>
      <c r="POW279" s="445"/>
      <c r="POX279" s="414"/>
      <c r="PPA279" s="445"/>
      <c r="PPB279" s="414"/>
      <c r="PPE279" s="445"/>
      <c r="PPF279" s="414"/>
      <c r="PPI279" s="445"/>
      <c r="PPJ279" s="414"/>
      <c r="PPM279" s="445"/>
      <c r="PPN279" s="414"/>
      <c r="PPQ279" s="445"/>
      <c r="PPR279" s="414"/>
      <c r="PPU279" s="445"/>
      <c r="PPV279" s="414"/>
      <c r="PPY279" s="445"/>
      <c r="PPZ279" s="414"/>
      <c r="PQC279" s="445"/>
      <c r="PQD279" s="414"/>
      <c r="PQG279" s="445"/>
      <c r="PQH279" s="414"/>
      <c r="PQK279" s="445"/>
      <c r="PQL279" s="414"/>
      <c r="PQO279" s="445"/>
      <c r="PQP279" s="414"/>
      <c r="PQS279" s="445"/>
      <c r="PQT279" s="414"/>
      <c r="PQW279" s="445"/>
      <c r="PQX279" s="414"/>
      <c r="PRA279" s="445"/>
      <c r="PRB279" s="414"/>
      <c r="PRE279" s="445"/>
      <c r="PRF279" s="414"/>
      <c r="PRI279" s="445"/>
      <c r="PRJ279" s="414"/>
      <c r="PRM279" s="445"/>
      <c r="PRN279" s="414"/>
      <c r="PRQ279" s="445"/>
      <c r="PRR279" s="414"/>
      <c r="PRU279" s="445"/>
      <c r="PRV279" s="414"/>
      <c r="PRY279" s="445"/>
      <c r="PRZ279" s="414"/>
      <c r="PSC279" s="445"/>
      <c r="PSD279" s="414"/>
      <c r="PSG279" s="445"/>
      <c r="PSH279" s="414"/>
      <c r="PSK279" s="445"/>
      <c r="PSL279" s="414"/>
      <c r="PSO279" s="445"/>
      <c r="PSP279" s="414"/>
      <c r="PSS279" s="445"/>
      <c r="PST279" s="414"/>
      <c r="PSW279" s="445"/>
      <c r="PSX279" s="414"/>
      <c r="PTA279" s="445"/>
      <c r="PTB279" s="414"/>
      <c r="PTE279" s="445"/>
      <c r="PTF279" s="414"/>
      <c r="PTI279" s="445"/>
      <c r="PTJ279" s="414"/>
      <c r="PTM279" s="445"/>
      <c r="PTN279" s="414"/>
      <c r="PTQ279" s="445"/>
      <c r="PTR279" s="414"/>
      <c r="PTU279" s="445"/>
      <c r="PTV279" s="414"/>
      <c r="PTY279" s="445"/>
      <c r="PTZ279" s="414"/>
      <c r="PUC279" s="445"/>
      <c r="PUD279" s="414"/>
      <c r="PUG279" s="445"/>
      <c r="PUH279" s="414"/>
      <c r="PUK279" s="445"/>
      <c r="PUL279" s="414"/>
      <c r="PUO279" s="445"/>
      <c r="PUP279" s="414"/>
      <c r="PUS279" s="445"/>
      <c r="PUT279" s="414"/>
      <c r="PUW279" s="445"/>
      <c r="PUX279" s="414"/>
      <c r="PVA279" s="445"/>
      <c r="PVB279" s="414"/>
      <c r="PVE279" s="445"/>
      <c r="PVF279" s="414"/>
      <c r="PVI279" s="445"/>
      <c r="PVJ279" s="414"/>
      <c r="PVM279" s="445"/>
      <c r="PVN279" s="414"/>
      <c r="PVQ279" s="445"/>
      <c r="PVR279" s="414"/>
      <c r="PVU279" s="445"/>
      <c r="PVV279" s="414"/>
      <c r="PVY279" s="445"/>
      <c r="PVZ279" s="414"/>
      <c r="PWC279" s="445"/>
      <c r="PWD279" s="414"/>
      <c r="PWG279" s="445"/>
      <c r="PWH279" s="414"/>
      <c r="PWK279" s="445"/>
      <c r="PWL279" s="414"/>
      <c r="PWO279" s="445"/>
      <c r="PWP279" s="414"/>
      <c r="PWS279" s="445"/>
      <c r="PWT279" s="414"/>
      <c r="PWW279" s="445"/>
      <c r="PWX279" s="414"/>
      <c r="PXA279" s="445"/>
      <c r="PXB279" s="414"/>
      <c r="PXE279" s="445"/>
      <c r="PXF279" s="414"/>
      <c r="PXI279" s="445"/>
      <c r="PXJ279" s="414"/>
      <c r="PXM279" s="445"/>
      <c r="PXN279" s="414"/>
      <c r="PXQ279" s="445"/>
      <c r="PXR279" s="414"/>
      <c r="PXU279" s="445"/>
      <c r="PXV279" s="414"/>
      <c r="PXY279" s="445"/>
      <c r="PXZ279" s="414"/>
      <c r="PYC279" s="445"/>
      <c r="PYD279" s="414"/>
      <c r="PYG279" s="445"/>
      <c r="PYH279" s="414"/>
      <c r="PYK279" s="445"/>
      <c r="PYL279" s="414"/>
      <c r="PYO279" s="445"/>
      <c r="PYP279" s="414"/>
      <c r="PYS279" s="445"/>
      <c r="PYT279" s="414"/>
      <c r="PYW279" s="445"/>
      <c r="PYX279" s="414"/>
      <c r="PZA279" s="445"/>
      <c r="PZB279" s="414"/>
      <c r="PZE279" s="445"/>
      <c r="PZF279" s="414"/>
      <c r="PZI279" s="445"/>
      <c r="PZJ279" s="414"/>
      <c r="PZM279" s="445"/>
      <c r="PZN279" s="414"/>
      <c r="PZQ279" s="445"/>
      <c r="PZR279" s="414"/>
      <c r="PZU279" s="445"/>
      <c r="PZV279" s="414"/>
      <c r="PZY279" s="445"/>
      <c r="PZZ279" s="414"/>
      <c r="QAC279" s="445"/>
      <c r="QAD279" s="414"/>
      <c r="QAG279" s="445"/>
      <c r="QAH279" s="414"/>
      <c r="QAK279" s="445"/>
      <c r="QAL279" s="414"/>
      <c r="QAO279" s="445"/>
      <c r="QAP279" s="414"/>
      <c r="QAS279" s="445"/>
      <c r="QAT279" s="414"/>
      <c r="QAW279" s="445"/>
      <c r="QAX279" s="414"/>
      <c r="QBA279" s="445"/>
      <c r="QBB279" s="414"/>
      <c r="QBE279" s="445"/>
      <c r="QBF279" s="414"/>
      <c r="QBI279" s="445"/>
      <c r="QBJ279" s="414"/>
      <c r="QBM279" s="445"/>
      <c r="QBN279" s="414"/>
      <c r="QBQ279" s="445"/>
      <c r="QBR279" s="414"/>
      <c r="QBU279" s="445"/>
      <c r="QBV279" s="414"/>
      <c r="QBY279" s="445"/>
      <c r="QBZ279" s="414"/>
      <c r="QCC279" s="445"/>
      <c r="QCD279" s="414"/>
      <c r="QCG279" s="445"/>
      <c r="QCH279" s="414"/>
      <c r="QCK279" s="445"/>
      <c r="QCL279" s="414"/>
      <c r="QCO279" s="445"/>
      <c r="QCP279" s="414"/>
      <c r="QCS279" s="445"/>
      <c r="QCT279" s="414"/>
      <c r="QCW279" s="445"/>
      <c r="QCX279" s="414"/>
      <c r="QDA279" s="445"/>
      <c r="QDB279" s="414"/>
      <c r="QDE279" s="445"/>
      <c r="QDF279" s="414"/>
      <c r="QDI279" s="445"/>
      <c r="QDJ279" s="414"/>
      <c r="QDM279" s="445"/>
      <c r="QDN279" s="414"/>
      <c r="QDQ279" s="445"/>
      <c r="QDR279" s="414"/>
      <c r="QDU279" s="445"/>
      <c r="QDV279" s="414"/>
      <c r="QDY279" s="445"/>
      <c r="QDZ279" s="414"/>
      <c r="QEC279" s="445"/>
      <c r="QED279" s="414"/>
      <c r="QEG279" s="445"/>
      <c r="QEH279" s="414"/>
      <c r="QEK279" s="445"/>
      <c r="QEL279" s="414"/>
      <c r="QEO279" s="445"/>
      <c r="QEP279" s="414"/>
      <c r="QES279" s="445"/>
      <c r="QET279" s="414"/>
      <c r="QEW279" s="445"/>
      <c r="QEX279" s="414"/>
      <c r="QFA279" s="445"/>
      <c r="QFB279" s="414"/>
      <c r="QFE279" s="445"/>
      <c r="QFF279" s="414"/>
      <c r="QFI279" s="445"/>
      <c r="QFJ279" s="414"/>
      <c r="QFM279" s="445"/>
      <c r="QFN279" s="414"/>
      <c r="QFQ279" s="445"/>
      <c r="QFR279" s="414"/>
      <c r="QFU279" s="445"/>
      <c r="QFV279" s="414"/>
      <c r="QFY279" s="445"/>
      <c r="QFZ279" s="414"/>
      <c r="QGC279" s="445"/>
      <c r="QGD279" s="414"/>
      <c r="QGG279" s="445"/>
      <c r="QGH279" s="414"/>
      <c r="QGK279" s="445"/>
      <c r="QGL279" s="414"/>
      <c r="QGO279" s="445"/>
      <c r="QGP279" s="414"/>
      <c r="QGS279" s="445"/>
      <c r="QGT279" s="414"/>
      <c r="QGW279" s="445"/>
      <c r="QGX279" s="414"/>
      <c r="QHA279" s="445"/>
      <c r="QHB279" s="414"/>
      <c r="QHE279" s="445"/>
      <c r="QHF279" s="414"/>
      <c r="QHI279" s="445"/>
      <c r="QHJ279" s="414"/>
      <c r="QHM279" s="445"/>
      <c r="QHN279" s="414"/>
      <c r="QHQ279" s="445"/>
      <c r="QHR279" s="414"/>
      <c r="QHU279" s="445"/>
      <c r="QHV279" s="414"/>
      <c r="QHY279" s="445"/>
      <c r="QHZ279" s="414"/>
      <c r="QIC279" s="445"/>
      <c r="QID279" s="414"/>
      <c r="QIG279" s="445"/>
      <c r="QIH279" s="414"/>
      <c r="QIK279" s="445"/>
      <c r="QIL279" s="414"/>
      <c r="QIO279" s="445"/>
      <c r="QIP279" s="414"/>
      <c r="QIS279" s="445"/>
      <c r="QIT279" s="414"/>
      <c r="QIW279" s="445"/>
      <c r="QIX279" s="414"/>
      <c r="QJA279" s="445"/>
      <c r="QJB279" s="414"/>
      <c r="QJE279" s="445"/>
      <c r="QJF279" s="414"/>
      <c r="QJI279" s="445"/>
      <c r="QJJ279" s="414"/>
      <c r="QJM279" s="445"/>
      <c r="QJN279" s="414"/>
      <c r="QJQ279" s="445"/>
      <c r="QJR279" s="414"/>
      <c r="QJU279" s="445"/>
      <c r="QJV279" s="414"/>
      <c r="QJY279" s="445"/>
      <c r="QJZ279" s="414"/>
      <c r="QKC279" s="445"/>
      <c r="QKD279" s="414"/>
      <c r="QKG279" s="445"/>
      <c r="QKH279" s="414"/>
      <c r="QKK279" s="445"/>
      <c r="QKL279" s="414"/>
      <c r="QKO279" s="445"/>
      <c r="QKP279" s="414"/>
      <c r="QKS279" s="445"/>
      <c r="QKT279" s="414"/>
      <c r="QKW279" s="445"/>
      <c r="QKX279" s="414"/>
      <c r="QLA279" s="445"/>
      <c r="QLB279" s="414"/>
      <c r="QLE279" s="445"/>
      <c r="QLF279" s="414"/>
      <c r="QLI279" s="445"/>
      <c r="QLJ279" s="414"/>
      <c r="QLM279" s="445"/>
      <c r="QLN279" s="414"/>
      <c r="QLQ279" s="445"/>
      <c r="QLR279" s="414"/>
      <c r="QLU279" s="445"/>
      <c r="QLV279" s="414"/>
      <c r="QLY279" s="445"/>
      <c r="QLZ279" s="414"/>
      <c r="QMC279" s="445"/>
      <c r="QMD279" s="414"/>
      <c r="QMG279" s="445"/>
      <c r="QMH279" s="414"/>
      <c r="QMK279" s="445"/>
      <c r="QML279" s="414"/>
      <c r="QMO279" s="445"/>
      <c r="QMP279" s="414"/>
      <c r="QMS279" s="445"/>
      <c r="QMT279" s="414"/>
      <c r="QMW279" s="445"/>
      <c r="QMX279" s="414"/>
      <c r="QNA279" s="445"/>
      <c r="QNB279" s="414"/>
      <c r="QNE279" s="445"/>
      <c r="QNF279" s="414"/>
      <c r="QNI279" s="445"/>
      <c r="QNJ279" s="414"/>
      <c r="QNM279" s="445"/>
      <c r="QNN279" s="414"/>
      <c r="QNQ279" s="445"/>
      <c r="QNR279" s="414"/>
      <c r="QNU279" s="445"/>
      <c r="QNV279" s="414"/>
      <c r="QNY279" s="445"/>
      <c r="QNZ279" s="414"/>
      <c r="QOC279" s="445"/>
      <c r="QOD279" s="414"/>
      <c r="QOG279" s="445"/>
      <c r="QOH279" s="414"/>
      <c r="QOK279" s="445"/>
      <c r="QOL279" s="414"/>
      <c r="QOO279" s="445"/>
      <c r="QOP279" s="414"/>
      <c r="QOS279" s="445"/>
      <c r="QOT279" s="414"/>
      <c r="QOW279" s="445"/>
      <c r="QOX279" s="414"/>
      <c r="QPA279" s="445"/>
      <c r="QPB279" s="414"/>
      <c r="QPE279" s="445"/>
      <c r="QPF279" s="414"/>
      <c r="QPI279" s="445"/>
      <c r="QPJ279" s="414"/>
      <c r="QPM279" s="445"/>
      <c r="QPN279" s="414"/>
      <c r="QPQ279" s="445"/>
      <c r="QPR279" s="414"/>
      <c r="QPU279" s="445"/>
      <c r="QPV279" s="414"/>
      <c r="QPY279" s="445"/>
      <c r="QPZ279" s="414"/>
      <c r="QQC279" s="445"/>
      <c r="QQD279" s="414"/>
      <c r="QQG279" s="445"/>
      <c r="QQH279" s="414"/>
      <c r="QQK279" s="445"/>
      <c r="QQL279" s="414"/>
      <c r="QQO279" s="445"/>
      <c r="QQP279" s="414"/>
      <c r="QQS279" s="445"/>
      <c r="QQT279" s="414"/>
      <c r="QQW279" s="445"/>
      <c r="QQX279" s="414"/>
      <c r="QRA279" s="445"/>
      <c r="QRB279" s="414"/>
      <c r="QRE279" s="445"/>
      <c r="QRF279" s="414"/>
      <c r="QRI279" s="445"/>
      <c r="QRJ279" s="414"/>
      <c r="QRM279" s="445"/>
      <c r="QRN279" s="414"/>
      <c r="QRQ279" s="445"/>
      <c r="QRR279" s="414"/>
      <c r="QRU279" s="445"/>
      <c r="QRV279" s="414"/>
      <c r="QRY279" s="445"/>
      <c r="QRZ279" s="414"/>
      <c r="QSC279" s="445"/>
      <c r="QSD279" s="414"/>
      <c r="QSG279" s="445"/>
      <c r="QSH279" s="414"/>
      <c r="QSK279" s="445"/>
      <c r="QSL279" s="414"/>
      <c r="QSO279" s="445"/>
      <c r="QSP279" s="414"/>
      <c r="QSS279" s="445"/>
      <c r="QST279" s="414"/>
      <c r="QSW279" s="445"/>
      <c r="QSX279" s="414"/>
      <c r="QTA279" s="445"/>
      <c r="QTB279" s="414"/>
      <c r="QTE279" s="445"/>
      <c r="QTF279" s="414"/>
      <c r="QTI279" s="445"/>
      <c r="QTJ279" s="414"/>
      <c r="QTM279" s="445"/>
      <c r="QTN279" s="414"/>
      <c r="QTQ279" s="445"/>
      <c r="QTR279" s="414"/>
      <c r="QTU279" s="445"/>
      <c r="QTV279" s="414"/>
      <c r="QTY279" s="445"/>
      <c r="QTZ279" s="414"/>
      <c r="QUC279" s="445"/>
      <c r="QUD279" s="414"/>
      <c r="QUG279" s="445"/>
      <c r="QUH279" s="414"/>
      <c r="QUK279" s="445"/>
      <c r="QUL279" s="414"/>
      <c r="QUO279" s="445"/>
      <c r="QUP279" s="414"/>
      <c r="QUS279" s="445"/>
      <c r="QUT279" s="414"/>
      <c r="QUW279" s="445"/>
      <c r="QUX279" s="414"/>
      <c r="QVA279" s="445"/>
      <c r="QVB279" s="414"/>
      <c r="QVE279" s="445"/>
      <c r="QVF279" s="414"/>
      <c r="QVI279" s="445"/>
      <c r="QVJ279" s="414"/>
      <c r="QVM279" s="445"/>
      <c r="QVN279" s="414"/>
      <c r="QVQ279" s="445"/>
      <c r="QVR279" s="414"/>
      <c r="QVU279" s="445"/>
      <c r="QVV279" s="414"/>
      <c r="QVY279" s="445"/>
      <c r="QVZ279" s="414"/>
      <c r="QWC279" s="445"/>
      <c r="QWD279" s="414"/>
      <c r="QWG279" s="445"/>
      <c r="QWH279" s="414"/>
      <c r="QWK279" s="445"/>
      <c r="QWL279" s="414"/>
      <c r="QWO279" s="445"/>
      <c r="QWP279" s="414"/>
      <c r="QWS279" s="445"/>
      <c r="QWT279" s="414"/>
      <c r="QWW279" s="445"/>
      <c r="QWX279" s="414"/>
      <c r="QXA279" s="445"/>
      <c r="QXB279" s="414"/>
      <c r="QXE279" s="445"/>
      <c r="QXF279" s="414"/>
      <c r="QXI279" s="445"/>
      <c r="QXJ279" s="414"/>
      <c r="QXM279" s="445"/>
      <c r="QXN279" s="414"/>
      <c r="QXQ279" s="445"/>
      <c r="QXR279" s="414"/>
      <c r="QXU279" s="445"/>
      <c r="QXV279" s="414"/>
      <c r="QXY279" s="445"/>
      <c r="QXZ279" s="414"/>
      <c r="QYC279" s="445"/>
      <c r="QYD279" s="414"/>
      <c r="QYG279" s="445"/>
      <c r="QYH279" s="414"/>
      <c r="QYK279" s="445"/>
      <c r="QYL279" s="414"/>
      <c r="QYO279" s="445"/>
      <c r="QYP279" s="414"/>
      <c r="QYS279" s="445"/>
      <c r="QYT279" s="414"/>
      <c r="QYW279" s="445"/>
      <c r="QYX279" s="414"/>
      <c r="QZA279" s="445"/>
      <c r="QZB279" s="414"/>
      <c r="QZE279" s="445"/>
      <c r="QZF279" s="414"/>
      <c r="QZI279" s="445"/>
      <c r="QZJ279" s="414"/>
      <c r="QZM279" s="445"/>
      <c r="QZN279" s="414"/>
      <c r="QZQ279" s="445"/>
      <c r="QZR279" s="414"/>
      <c r="QZU279" s="445"/>
      <c r="QZV279" s="414"/>
      <c r="QZY279" s="445"/>
      <c r="QZZ279" s="414"/>
      <c r="RAC279" s="445"/>
      <c r="RAD279" s="414"/>
      <c r="RAG279" s="445"/>
      <c r="RAH279" s="414"/>
      <c r="RAK279" s="445"/>
      <c r="RAL279" s="414"/>
      <c r="RAO279" s="445"/>
      <c r="RAP279" s="414"/>
      <c r="RAS279" s="445"/>
      <c r="RAT279" s="414"/>
      <c r="RAW279" s="445"/>
      <c r="RAX279" s="414"/>
      <c r="RBA279" s="445"/>
      <c r="RBB279" s="414"/>
      <c r="RBE279" s="445"/>
      <c r="RBF279" s="414"/>
      <c r="RBI279" s="445"/>
      <c r="RBJ279" s="414"/>
      <c r="RBM279" s="445"/>
      <c r="RBN279" s="414"/>
      <c r="RBQ279" s="445"/>
      <c r="RBR279" s="414"/>
      <c r="RBU279" s="445"/>
      <c r="RBV279" s="414"/>
      <c r="RBY279" s="445"/>
      <c r="RBZ279" s="414"/>
      <c r="RCC279" s="445"/>
      <c r="RCD279" s="414"/>
      <c r="RCG279" s="445"/>
      <c r="RCH279" s="414"/>
      <c r="RCK279" s="445"/>
      <c r="RCL279" s="414"/>
      <c r="RCO279" s="445"/>
      <c r="RCP279" s="414"/>
      <c r="RCS279" s="445"/>
      <c r="RCT279" s="414"/>
      <c r="RCW279" s="445"/>
      <c r="RCX279" s="414"/>
      <c r="RDA279" s="445"/>
      <c r="RDB279" s="414"/>
      <c r="RDE279" s="445"/>
      <c r="RDF279" s="414"/>
      <c r="RDI279" s="445"/>
      <c r="RDJ279" s="414"/>
      <c r="RDM279" s="445"/>
      <c r="RDN279" s="414"/>
      <c r="RDQ279" s="445"/>
      <c r="RDR279" s="414"/>
      <c r="RDU279" s="445"/>
      <c r="RDV279" s="414"/>
      <c r="RDY279" s="445"/>
      <c r="RDZ279" s="414"/>
      <c r="REC279" s="445"/>
      <c r="RED279" s="414"/>
      <c r="REG279" s="445"/>
      <c r="REH279" s="414"/>
      <c r="REK279" s="445"/>
      <c r="REL279" s="414"/>
      <c r="REO279" s="445"/>
      <c r="REP279" s="414"/>
      <c r="RES279" s="445"/>
      <c r="RET279" s="414"/>
      <c r="REW279" s="445"/>
      <c r="REX279" s="414"/>
      <c r="RFA279" s="445"/>
      <c r="RFB279" s="414"/>
      <c r="RFE279" s="445"/>
      <c r="RFF279" s="414"/>
      <c r="RFI279" s="445"/>
      <c r="RFJ279" s="414"/>
      <c r="RFM279" s="445"/>
      <c r="RFN279" s="414"/>
      <c r="RFQ279" s="445"/>
      <c r="RFR279" s="414"/>
      <c r="RFU279" s="445"/>
      <c r="RFV279" s="414"/>
      <c r="RFY279" s="445"/>
      <c r="RFZ279" s="414"/>
      <c r="RGC279" s="445"/>
      <c r="RGD279" s="414"/>
      <c r="RGG279" s="445"/>
      <c r="RGH279" s="414"/>
      <c r="RGK279" s="445"/>
      <c r="RGL279" s="414"/>
      <c r="RGO279" s="445"/>
      <c r="RGP279" s="414"/>
      <c r="RGS279" s="445"/>
      <c r="RGT279" s="414"/>
      <c r="RGW279" s="445"/>
      <c r="RGX279" s="414"/>
      <c r="RHA279" s="445"/>
      <c r="RHB279" s="414"/>
      <c r="RHE279" s="445"/>
      <c r="RHF279" s="414"/>
      <c r="RHI279" s="445"/>
      <c r="RHJ279" s="414"/>
      <c r="RHM279" s="445"/>
      <c r="RHN279" s="414"/>
      <c r="RHQ279" s="445"/>
      <c r="RHR279" s="414"/>
      <c r="RHU279" s="445"/>
      <c r="RHV279" s="414"/>
      <c r="RHY279" s="445"/>
      <c r="RHZ279" s="414"/>
      <c r="RIC279" s="445"/>
      <c r="RID279" s="414"/>
      <c r="RIG279" s="445"/>
      <c r="RIH279" s="414"/>
      <c r="RIK279" s="445"/>
      <c r="RIL279" s="414"/>
      <c r="RIO279" s="445"/>
      <c r="RIP279" s="414"/>
      <c r="RIS279" s="445"/>
      <c r="RIT279" s="414"/>
      <c r="RIW279" s="445"/>
      <c r="RIX279" s="414"/>
      <c r="RJA279" s="445"/>
      <c r="RJB279" s="414"/>
      <c r="RJE279" s="445"/>
      <c r="RJF279" s="414"/>
      <c r="RJI279" s="445"/>
      <c r="RJJ279" s="414"/>
      <c r="RJM279" s="445"/>
      <c r="RJN279" s="414"/>
      <c r="RJQ279" s="445"/>
      <c r="RJR279" s="414"/>
      <c r="RJU279" s="445"/>
      <c r="RJV279" s="414"/>
      <c r="RJY279" s="445"/>
      <c r="RJZ279" s="414"/>
      <c r="RKC279" s="445"/>
      <c r="RKD279" s="414"/>
      <c r="RKG279" s="445"/>
      <c r="RKH279" s="414"/>
      <c r="RKK279" s="445"/>
      <c r="RKL279" s="414"/>
      <c r="RKO279" s="445"/>
      <c r="RKP279" s="414"/>
      <c r="RKS279" s="445"/>
      <c r="RKT279" s="414"/>
      <c r="RKW279" s="445"/>
      <c r="RKX279" s="414"/>
      <c r="RLA279" s="445"/>
      <c r="RLB279" s="414"/>
      <c r="RLE279" s="445"/>
      <c r="RLF279" s="414"/>
      <c r="RLI279" s="445"/>
      <c r="RLJ279" s="414"/>
      <c r="RLM279" s="445"/>
      <c r="RLN279" s="414"/>
      <c r="RLQ279" s="445"/>
      <c r="RLR279" s="414"/>
      <c r="RLU279" s="445"/>
      <c r="RLV279" s="414"/>
      <c r="RLY279" s="445"/>
      <c r="RLZ279" s="414"/>
      <c r="RMC279" s="445"/>
      <c r="RMD279" s="414"/>
      <c r="RMG279" s="445"/>
      <c r="RMH279" s="414"/>
      <c r="RMK279" s="445"/>
      <c r="RML279" s="414"/>
      <c r="RMO279" s="445"/>
      <c r="RMP279" s="414"/>
      <c r="RMS279" s="445"/>
      <c r="RMT279" s="414"/>
      <c r="RMW279" s="445"/>
      <c r="RMX279" s="414"/>
      <c r="RNA279" s="445"/>
      <c r="RNB279" s="414"/>
      <c r="RNE279" s="445"/>
      <c r="RNF279" s="414"/>
      <c r="RNI279" s="445"/>
      <c r="RNJ279" s="414"/>
      <c r="RNM279" s="445"/>
      <c r="RNN279" s="414"/>
      <c r="RNQ279" s="445"/>
      <c r="RNR279" s="414"/>
      <c r="RNU279" s="445"/>
      <c r="RNV279" s="414"/>
      <c r="RNY279" s="445"/>
      <c r="RNZ279" s="414"/>
      <c r="ROC279" s="445"/>
      <c r="ROD279" s="414"/>
      <c r="ROG279" s="445"/>
      <c r="ROH279" s="414"/>
      <c r="ROK279" s="445"/>
      <c r="ROL279" s="414"/>
      <c r="ROO279" s="445"/>
      <c r="ROP279" s="414"/>
      <c r="ROS279" s="445"/>
      <c r="ROT279" s="414"/>
      <c r="ROW279" s="445"/>
      <c r="ROX279" s="414"/>
      <c r="RPA279" s="445"/>
      <c r="RPB279" s="414"/>
      <c r="RPE279" s="445"/>
      <c r="RPF279" s="414"/>
      <c r="RPI279" s="445"/>
      <c r="RPJ279" s="414"/>
      <c r="RPM279" s="445"/>
      <c r="RPN279" s="414"/>
      <c r="RPQ279" s="445"/>
      <c r="RPR279" s="414"/>
      <c r="RPU279" s="445"/>
      <c r="RPV279" s="414"/>
      <c r="RPY279" s="445"/>
      <c r="RPZ279" s="414"/>
      <c r="RQC279" s="445"/>
      <c r="RQD279" s="414"/>
      <c r="RQG279" s="445"/>
      <c r="RQH279" s="414"/>
      <c r="RQK279" s="445"/>
      <c r="RQL279" s="414"/>
      <c r="RQO279" s="445"/>
      <c r="RQP279" s="414"/>
      <c r="RQS279" s="445"/>
      <c r="RQT279" s="414"/>
      <c r="RQW279" s="445"/>
      <c r="RQX279" s="414"/>
      <c r="RRA279" s="445"/>
      <c r="RRB279" s="414"/>
      <c r="RRE279" s="445"/>
      <c r="RRF279" s="414"/>
      <c r="RRI279" s="445"/>
      <c r="RRJ279" s="414"/>
      <c r="RRM279" s="445"/>
      <c r="RRN279" s="414"/>
      <c r="RRQ279" s="445"/>
      <c r="RRR279" s="414"/>
      <c r="RRU279" s="445"/>
      <c r="RRV279" s="414"/>
      <c r="RRY279" s="445"/>
      <c r="RRZ279" s="414"/>
      <c r="RSC279" s="445"/>
      <c r="RSD279" s="414"/>
      <c r="RSG279" s="445"/>
      <c r="RSH279" s="414"/>
      <c r="RSK279" s="445"/>
      <c r="RSL279" s="414"/>
      <c r="RSO279" s="445"/>
      <c r="RSP279" s="414"/>
      <c r="RSS279" s="445"/>
      <c r="RST279" s="414"/>
      <c r="RSW279" s="445"/>
      <c r="RSX279" s="414"/>
      <c r="RTA279" s="445"/>
      <c r="RTB279" s="414"/>
      <c r="RTE279" s="445"/>
      <c r="RTF279" s="414"/>
      <c r="RTI279" s="445"/>
      <c r="RTJ279" s="414"/>
      <c r="RTM279" s="445"/>
      <c r="RTN279" s="414"/>
      <c r="RTQ279" s="445"/>
      <c r="RTR279" s="414"/>
      <c r="RTU279" s="445"/>
      <c r="RTV279" s="414"/>
      <c r="RTY279" s="445"/>
      <c r="RTZ279" s="414"/>
      <c r="RUC279" s="445"/>
      <c r="RUD279" s="414"/>
      <c r="RUG279" s="445"/>
      <c r="RUH279" s="414"/>
      <c r="RUK279" s="445"/>
      <c r="RUL279" s="414"/>
      <c r="RUO279" s="445"/>
      <c r="RUP279" s="414"/>
      <c r="RUS279" s="445"/>
      <c r="RUT279" s="414"/>
      <c r="RUW279" s="445"/>
      <c r="RUX279" s="414"/>
      <c r="RVA279" s="445"/>
      <c r="RVB279" s="414"/>
      <c r="RVE279" s="445"/>
      <c r="RVF279" s="414"/>
      <c r="RVI279" s="445"/>
      <c r="RVJ279" s="414"/>
      <c r="RVM279" s="445"/>
      <c r="RVN279" s="414"/>
      <c r="RVQ279" s="445"/>
      <c r="RVR279" s="414"/>
      <c r="RVU279" s="445"/>
      <c r="RVV279" s="414"/>
      <c r="RVY279" s="445"/>
      <c r="RVZ279" s="414"/>
      <c r="RWC279" s="445"/>
      <c r="RWD279" s="414"/>
      <c r="RWG279" s="445"/>
      <c r="RWH279" s="414"/>
      <c r="RWK279" s="445"/>
      <c r="RWL279" s="414"/>
      <c r="RWO279" s="445"/>
      <c r="RWP279" s="414"/>
      <c r="RWS279" s="445"/>
      <c r="RWT279" s="414"/>
      <c r="RWW279" s="445"/>
      <c r="RWX279" s="414"/>
      <c r="RXA279" s="445"/>
      <c r="RXB279" s="414"/>
      <c r="RXE279" s="445"/>
      <c r="RXF279" s="414"/>
      <c r="RXI279" s="445"/>
      <c r="RXJ279" s="414"/>
      <c r="RXM279" s="445"/>
      <c r="RXN279" s="414"/>
      <c r="RXQ279" s="445"/>
      <c r="RXR279" s="414"/>
      <c r="RXU279" s="445"/>
      <c r="RXV279" s="414"/>
      <c r="RXY279" s="445"/>
      <c r="RXZ279" s="414"/>
      <c r="RYC279" s="445"/>
      <c r="RYD279" s="414"/>
      <c r="RYG279" s="445"/>
      <c r="RYH279" s="414"/>
      <c r="RYK279" s="445"/>
      <c r="RYL279" s="414"/>
      <c r="RYO279" s="445"/>
      <c r="RYP279" s="414"/>
      <c r="RYS279" s="445"/>
      <c r="RYT279" s="414"/>
      <c r="RYW279" s="445"/>
      <c r="RYX279" s="414"/>
      <c r="RZA279" s="445"/>
      <c r="RZB279" s="414"/>
      <c r="RZE279" s="445"/>
      <c r="RZF279" s="414"/>
      <c r="RZI279" s="445"/>
      <c r="RZJ279" s="414"/>
      <c r="RZM279" s="445"/>
      <c r="RZN279" s="414"/>
      <c r="RZQ279" s="445"/>
      <c r="RZR279" s="414"/>
      <c r="RZU279" s="445"/>
      <c r="RZV279" s="414"/>
      <c r="RZY279" s="445"/>
      <c r="RZZ279" s="414"/>
      <c r="SAC279" s="445"/>
      <c r="SAD279" s="414"/>
      <c r="SAG279" s="445"/>
      <c r="SAH279" s="414"/>
      <c r="SAK279" s="445"/>
      <c r="SAL279" s="414"/>
      <c r="SAO279" s="445"/>
      <c r="SAP279" s="414"/>
      <c r="SAS279" s="445"/>
      <c r="SAT279" s="414"/>
      <c r="SAW279" s="445"/>
      <c r="SAX279" s="414"/>
      <c r="SBA279" s="445"/>
      <c r="SBB279" s="414"/>
      <c r="SBE279" s="445"/>
      <c r="SBF279" s="414"/>
      <c r="SBI279" s="445"/>
      <c r="SBJ279" s="414"/>
      <c r="SBM279" s="445"/>
      <c r="SBN279" s="414"/>
      <c r="SBQ279" s="445"/>
      <c r="SBR279" s="414"/>
      <c r="SBU279" s="445"/>
      <c r="SBV279" s="414"/>
      <c r="SBY279" s="445"/>
      <c r="SBZ279" s="414"/>
      <c r="SCC279" s="445"/>
      <c r="SCD279" s="414"/>
      <c r="SCG279" s="445"/>
      <c r="SCH279" s="414"/>
      <c r="SCK279" s="445"/>
      <c r="SCL279" s="414"/>
      <c r="SCO279" s="445"/>
      <c r="SCP279" s="414"/>
      <c r="SCS279" s="445"/>
      <c r="SCT279" s="414"/>
      <c r="SCW279" s="445"/>
      <c r="SCX279" s="414"/>
      <c r="SDA279" s="445"/>
      <c r="SDB279" s="414"/>
      <c r="SDE279" s="445"/>
      <c r="SDF279" s="414"/>
      <c r="SDI279" s="445"/>
      <c r="SDJ279" s="414"/>
      <c r="SDM279" s="445"/>
      <c r="SDN279" s="414"/>
      <c r="SDQ279" s="445"/>
      <c r="SDR279" s="414"/>
      <c r="SDU279" s="445"/>
      <c r="SDV279" s="414"/>
      <c r="SDY279" s="445"/>
      <c r="SDZ279" s="414"/>
      <c r="SEC279" s="445"/>
      <c r="SED279" s="414"/>
      <c r="SEG279" s="445"/>
      <c r="SEH279" s="414"/>
      <c r="SEK279" s="445"/>
      <c r="SEL279" s="414"/>
      <c r="SEO279" s="445"/>
      <c r="SEP279" s="414"/>
      <c r="SES279" s="445"/>
      <c r="SET279" s="414"/>
      <c r="SEW279" s="445"/>
      <c r="SEX279" s="414"/>
      <c r="SFA279" s="445"/>
      <c r="SFB279" s="414"/>
      <c r="SFE279" s="445"/>
      <c r="SFF279" s="414"/>
      <c r="SFI279" s="445"/>
      <c r="SFJ279" s="414"/>
      <c r="SFM279" s="445"/>
      <c r="SFN279" s="414"/>
      <c r="SFQ279" s="445"/>
      <c r="SFR279" s="414"/>
      <c r="SFU279" s="445"/>
      <c r="SFV279" s="414"/>
      <c r="SFY279" s="445"/>
      <c r="SFZ279" s="414"/>
      <c r="SGC279" s="445"/>
      <c r="SGD279" s="414"/>
      <c r="SGG279" s="445"/>
      <c r="SGH279" s="414"/>
      <c r="SGK279" s="445"/>
      <c r="SGL279" s="414"/>
      <c r="SGO279" s="445"/>
      <c r="SGP279" s="414"/>
      <c r="SGS279" s="445"/>
      <c r="SGT279" s="414"/>
      <c r="SGW279" s="445"/>
      <c r="SGX279" s="414"/>
      <c r="SHA279" s="445"/>
      <c r="SHB279" s="414"/>
      <c r="SHE279" s="445"/>
      <c r="SHF279" s="414"/>
      <c r="SHI279" s="445"/>
      <c r="SHJ279" s="414"/>
      <c r="SHM279" s="445"/>
      <c r="SHN279" s="414"/>
      <c r="SHQ279" s="445"/>
      <c r="SHR279" s="414"/>
      <c r="SHU279" s="445"/>
      <c r="SHV279" s="414"/>
      <c r="SHY279" s="445"/>
      <c r="SHZ279" s="414"/>
      <c r="SIC279" s="445"/>
      <c r="SID279" s="414"/>
      <c r="SIG279" s="445"/>
      <c r="SIH279" s="414"/>
      <c r="SIK279" s="445"/>
      <c r="SIL279" s="414"/>
      <c r="SIO279" s="445"/>
      <c r="SIP279" s="414"/>
      <c r="SIS279" s="445"/>
      <c r="SIT279" s="414"/>
      <c r="SIW279" s="445"/>
      <c r="SIX279" s="414"/>
      <c r="SJA279" s="445"/>
      <c r="SJB279" s="414"/>
      <c r="SJE279" s="445"/>
      <c r="SJF279" s="414"/>
      <c r="SJI279" s="445"/>
      <c r="SJJ279" s="414"/>
      <c r="SJM279" s="445"/>
      <c r="SJN279" s="414"/>
      <c r="SJQ279" s="445"/>
      <c r="SJR279" s="414"/>
      <c r="SJU279" s="445"/>
      <c r="SJV279" s="414"/>
      <c r="SJY279" s="445"/>
      <c r="SJZ279" s="414"/>
      <c r="SKC279" s="445"/>
      <c r="SKD279" s="414"/>
      <c r="SKG279" s="445"/>
      <c r="SKH279" s="414"/>
      <c r="SKK279" s="445"/>
      <c r="SKL279" s="414"/>
      <c r="SKO279" s="445"/>
      <c r="SKP279" s="414"/>
      <c r="SKS279" s="445"/>
      <c r="SKT279" s="414"/>
      <c r="SKW279" s="445"/>
      <c r="SKX279" s="414"/>
      <c r="SLA279" s="445"/>
      <c r="SLB279" s="414"/>
      <c r="SLE279" s="445"/>
      <c r="SLF279" s="414"/>
      <c r="SLI279" s="445"/>
      <c r="SLJ279" s="414"/>
      <c r="SLM279" s="445"/>
      <c r="SLN279" s="414"/>
      <c r="SLQ279" s="445"/>
      <c r="SLR279" s="414"/>
      <c r="SLU279" s="445"/>
      <c r="SLV279" s="414"/>
      <c r="SLY279" s="445"/>
      <c r="SLZ279" s="414"/>
      <c r="SMC279" s="445"/>
      <c r="SMD279" s="414"/>
      <c r="SMG279" s="445"/>
      <c r="SMH279" s="414"/>
      <c r="SMK279" s="445"/>
      <c r="SML279" s="414"/>
      <c r="SMO279" s="445"/>
      <c r="SMP279" s="414"/>
      <c r="SMS279" s="445"/>
      <c r="SMT279" s="414"/>
      <c r="SMW279" s="445"/>
      <c r="SMX279" s="414"/>
      <c r="SNA279" s="445"/>
      <c r="SNB279" s="414"/>
      <c r="SNE279" s="445"/>
      <c r="SNF279" s="414"/>
      <c r="SNI279" s="445"/>
      <c r="SNJ279" s="414"/>
      <c r="SNM279" s="445"/>
      <c r="SNN279" s="414"/>
      <c r="SNQ279" s="445"/>
      <c r="SNR279" s="414"/>
      <c r="SNU279" s="445"/>
      <c r="SNV279" s="414"/>
      <c r="SNY279" s="445"/>
      <c r="SNZ279" s="414"/>
      <c r="SOC279" s="445"/>
      <c r="SOD279" s="414"/>
      <c r="SOG279" s="445"/>
      <c r="SOH279" s="414"/>
      <c r="SOK279" s="445"/>
      <c r="SOL279" s="414"/>
      <c r="SOO279" s="445"/>
      <c r="SOP279" s="414"/>
      <c r="SOS279" s="445"/>
      <c r="SOT279" s="414"/>
      <c r="SOW279" s="445"/>
      <c r="SOX279" s="414"/>
      <c r="SPA279" s="445"/>
      <c r="SPB279" s="414"/>
      <c r="SPE279" s="445"/>
      <c r="SPF279" s="414"/>
      <c r="SPI279" s="445"/>
      <c r="SPJ279" s="414"/>
      <c r="SPM279" s="445"/>
      <c r="SPN279" s="414"/>
      <c r="SPQ279" s="445"/>
      <c r="SPR279" s="414"/>
      <c r="SPU279" s="445"/>
      <c r="SPV279" s="414"/>
      <c r="SPY279" s="445"/>
      <c r="SPZ279" s="414"/>
      <c r="SQC279" s="445"/>
      <c r="SQD279" s="414"/>
      <c r="SQG279" s="445"/>
      <c r="SQH279" s="414"/>
      <c r="SQK279" s="445"/>
      <c r="SQL279" s="414"/>
      <c r="SQO279" s="445"/>
      <c r="SQP279" s="414"/>
      <c r="SQS279" s="445"/>
      <c r="SQT279" s="414"/>
      <c r="SQW279" s="445"/>
      <c r="SQX279" s="414"/>
      <c r="SRA279" s="445"/>
      <c r="SRB279" s="414"/>
      <c r="SRE279" s="445"/>
      <c r="SRF279" s="414"/>
      <c r="SRI279" s="445"/>
      <c r="SRJ279" s="414"/>
      <c r="SRM279" s="445"/>
      <c r="SRN279" s="414"/>
      <c r="SRQ279" s="445"/>
      <c r="SRR279" s="414"/>
      <c r="SRU279" s="445"/>
      <c r="SRV279" s="414"/>
      <c r="SRY279" s="445"/>
      <c r="SRZ279" s="414"/>
      <c r="SSC279" s="445"/>
      <c r="SSD279" s="414"/>
      <c r="SSG279" s="445"/>
      <c r="SSH279" s="414"/>
      <c r="SSK279" s="445"/>
      <c r="SSL279" s="414"/>
      <c r="SSO279" s="445"/>
      <c r="SSP279" s="414"/>
      <c r="SSS279" s="445"/>
      <c r="SST279" s="414"/>
      <c r="SSW279" s="445"/>
      <c r="SSX279" s="414"/>
      <c r="STA279" s="445"/>
      <c r="STB279" s="414"/>
      <c r="STE279" s="445"/>
      <c r="STF279" s="414"/>
      <c r="STI279" s="445"/>
      <c r="STJ279" s="414"/>
      <c r="STM279" s="445"/>
      <c r="STN279" s="414"/>
      <c r="STQ279" s="445"/>
      <c r="STR279" s="414"/>
      <c r="STU279" s="445"/>
      <c r="STV279" s="414"/>
      <c r="STY279" s="445"/>
      <c r="STZ279" s="414"/>
      <c r="SUC279" s="445"/>
      <c r="SUD279" s="414"/>
      <c r="SUG279" s="445"/>
      <c r="SUH279" s="414"/>
      <c r="SUK279" s="445"/>
      <c r="SUL279" s="414"/>
      <c r="SUO279" s="445"/>
      <c r="SUP279" s="414"/>
      <c r="SUS279" s="445"/>
      <c r="SUT279" s="414"/>
      <c r="SUW279" s="445"/>
      <c r="SUX279" s="414"/>
      <c r="SVA279" s="445"/>
      <c r="SVB279" s="414"/>
      <c r="SVE279" s="445"/>
      <c r="SVF279" s="414"/>
      <c r="SVI279" s="445"/>
      <c r="SVJ279" s="414"/>
      <c r="SVM279" s="445"/>
      <c r="SVN279" s="414"/>
      <c r="SVQ279" s="445"/>
      <c r="SVR279" s="414"/>
      <c r="SVU279" s="445"/>
      <c r="SVV279" s="414"/>
      <c r="SVY279" s="445"/>
      <c r="SVZ279" s="414"/>
      <c r="SWC279" s="445"/>
      <c r="SWD279" s="414"/>
      <c r="SWG279" s="445"/>
      <c r="SWH279" s="414"/>
      <c r="SWK279" s="445"/>
      <c r="SWL279" s="414"/>
      <c r="SWO279" s="445"/>
      <c r="SWP279" s="414"/>
      <c r="SWS279" s="445"/>
      <c r="SWT279" s="414"/>
      <c r="SWW279" s="445"/>
      <c r="SWX279" s="414"/>
      <c r="SXA279" s="445"/>
      <c r="SXB279" s="414"/>
      <c r="SXE279" s="445"/>
      <c r="SXF279" s="414"/>
      <c r="SXI279" s="445"/>
      <c r="SXJ279" s="414"/>
      <c r="SXM279" s="445"/>
      <c r="SXN279" s="414"/>
      <c r="SXQ279" s="445"/>
      <c r="SXR279" s="414"/>
      <c r="SXU279" s="445"/>
      <c r="SXV279" s="414"/>
      <c r="SXY279" s="445"/>
      <c r="SXZ279" s="414"/>
      <c r="SYC279" s="445"/>
      <c r="SYD279" s="414"/>
      <c r="SYG279" s="445"/>
      <c r="SYH279" s="414"/>
      <c r="SYK279" s="445"/>
      <c r="SYL279" s="414"/>
      <c r="SYO279" s="445"/>
      <c r="SYP279" s="414"/>
      <c r="SYS279" s="445"/>
      <c r="SYT279" s="414"/>
      <c r="SYW279" s="445"/>
      <c r="SYX279" s="414"/>
      <c r="SZA279" s="445"/>
      <c r="SZB279" s="414"/>
      <c r="SZE279" s="445"/>
      <c r="SZF279" s="414"/>
      <c r="SZI279" s="445"/>
      <c r="SZJ279" s="414"/>
      <c r="SZM279" s="445"/>
      <c r="SZN279" s="414"/>
      <c r="SZQ279" s="445"/>
      <c r="SZR279" s="414"/>
      <c r="SZU279" s="445"/>
      <c r="SZV279" s="414"/>
      <c r="SZY279" s="445"/>
      <c r="SZZ279" s="414"/>
      <c r="TAC279" s="445"/>
      <c r="TAD279" s="414"/>
      <c r="TAG279" s="445"/>
      <c r="TAH279" s="414"/>
      <c r="TAK279" s="445"/>
      <c r="TAL279" s="414"/>
      <c r="TAO279" s="445"/>
      <c r="TAP279" s="414"/>
      <c r="TAS279" s="445"/>
      <c r="TAT279" s="414"/>
      <c r="TAW279" s="445"/>
      <c r="TAX279" s="414"/>
      <c r="TBA279" s="445"/>
      <c r="TBB279" s="414"/>
      <c r="TBE279" s="445"/>
      <c r="TBF279" s="414"/>
      <c r="TBI279" s="445"/>
      <c r="TBJ279" s="414"/>
      <c r="TBM279" s="445"/>
      <c r="TBN279" s="414"/>
      <c r="TBQ279" s="445"/>
      <c r="TBR279" s="414"/>
      <c r="TBU279" s="445"/>
      <c r="TBV279" s="414"/>
      <c r="TBY279" s="445"/>
      <c r="TBZ279" s="414"/>
      <c r="TCC279" s="445"/>
      <c r="TCD279" s="414"/>
      <c r="TCG279" s="445"/>
      <c r="TCH279" s="414"/>
      <c r="TCK279" s="445"/>
      <c r="TCL279" s="414"/>
      <c r="TCO279" s="445"/>
      <c r="TCP279" s="414"/>
      <c r="TCS279" s="445"/>
      <c r="TCT279" s="414"/>
      <c r="TCW279" s="445"/>
      <c r="TCX279" s="414"/>
      <c r="TDA279" s="445"/>
      <c r="TDB279" s="414"/>
      <c r="TDE279" s="445"/>
      <c r="TDF279" s="414"/>
      <c r="TDI279" s="445"/>
      <c r="TDJ279" s="414"/>
      <c r="TDM279" s="445"/>
      <c r="TDN279" s="414"/>
      <c r="TDQ279" s="445"/>
      <c r="TDR279" s="414"/>
      <c r="TDU279" s="445"/>
      <c r="TDV279" s="414"/>
      <c r="TDY279" s="445"/>
      <c r="TDZ279" s="414"/>
      <c r="TEC279" s="445"/>
      <c r="TED279" s="414"/>
      <c r="TEG279" s="445"/>
      <c r="TEH279" s="414"/>
      <c r="TEK279" s="445"/>
      <c r="TEL279" s="414"/>
      <c r="TEO279" s="445"/>
      <c r="TEP279" s="414"/>
      <c r="TES279" s="445"/>
      <c r="TET279" s="414"/>
      <c r="TEW279" s="445"/>
      <c r="TEX279" s="414"/>
      <c r="TFA279" s="445"/>
      <c r="TFB279" s="414"/>
      <c r="TFE279" s="445"/>
      <c r="TFF279" s="414"/>
      <c r="TFI279" s="445"/>
      <c r="TFJ279" s="414"/>
      <c r="TFM279" s="445"/>
      <c r="TFN279" s="414"/>
      <c r="TFQ279" s="445"/>
      <c r="TFR279" s="414"/>
      <c r="TFU279" s="445"/>
      <c r="TFV279" s="414"/>
      <c r="TFY279" s="445"/>
      <c r="TFZ279" s="414"/>
      <c r="TGC279" s="445"/>
      <c r="TGD279" s="414"/>
      <c r="TGG279" s="445"/>
      <c r="TGH279" s="414"/>
      <c r="TGK279" s="445"/>
      <c r="TGL279" s="414"/>
      <c r="TGO279" s="445"/>
      <c r="TGP279" s="414"/>
      <c r="TGS279" s="445"/>
      <c r="TGT279" s="414"/>
      <c r="TGW279" s="445"/>
      <c r="TGX279" s="414"/>
      <c r="THA279" s="445"/>
      <c r="THB279" s="414"/>
      <c r="THE279" s="445"/>
      <c r="THF279" s="414"/>
      <c r="THI279" s="445"/>
      <c r="THJ279" s="414"/>
      <c r="THM279" s="445"/>
      <c r="THN279" s="414"/>
      <c r="THQ279" s="445"/>
      <c r="THR279" s="414"/>
      <c r="THU279" s="445"/>
      <c r="THV279" s="414"/>
      <c r="THY279" s="445"/>
      <c r="THZ279" s="414"/>
      <c r="TIC279" s="445"/>
      <c r="TID279" s="414"/>
      <c r="TIG279" s="445"/>
      <c r="TIH279" s="414"/>
      <c r="TIK279" s="445"/>
      <c r="TIL279" s="414"/>
      <c r="TIO279" s="445"/>
      <c r="TIP279" s="414"/>
      <c r="TIS279" s="445"/>
      <c r="TIT279" s="414"/>
      <c r="TIW279" s="445"/>
      <c r="TIX279" s="414"/>
      <c r="TJA279" s="445"/>
      <c r="TJB279" s="414"/>
      <c r="TJE279" s="445"/>
      <c r="TJF279" s="414"/>
      <c r="TJI279" s="445"/>
      <c r="TJJ279" s="414"/>
      <c r="TJM279" s="445"/>
      <c r="TJN279" s="414"/>
      <c r="TJQ279" s="445"/>
      <c r="TJR279" s="414"/>
      <c r="TJU279" s="445"/>
      <c r="TJV279" s="414"/>
      <c r="TJY279" s="445"/>
      <c r="TJZ279" s="414"/>
      <c r="TKC279" s="445"/>
      <c r="TKD279" s="414"/>
      <c r="TKG279" s="445"/>
      <c r="TKH279" s="414"/>
      <c r="TKK279" s="445"/>
      <c r="TKL279" s="414"/>
      <c r="TKO279" s="445"/>
      <c r="TKP279" s="414"/>
      <c r="TKS279" s="445"/>
      <c r="TKT279" s="414"/>
      <c r="TKW279" s="445"/>
      <c r="TKX279" s="414"/>
      <c r="TLA279" s="445"/>
      <c r="TLB279" s="414"/>
      <c r="TLE279" s="445"/>
      <c r="TLF279" s="414"/>
      <c r="TLI279" s="445"/>
      <c r="TLJ279" s="414"/>
      <c r="TLM279" s="445"/>
      <c r="TLN279" s="414"/>
      <c r="TLQ279" s="445"/>
      <c r="TLR279" s="414"/>
      <c r="TLU279" s="445"/>
      <c r="TLV279" s="414"/>
      <c r="TLY279" s="445"/>
      <c r="TLZ279" s="414"/>
      <c r="TMC279" s="445"/>
      <c r="TMD279" s="414"/>
      <c r="TMG279" s="445"/>
      <c r="TMH279" s="414"/>
      <c r="TMK279" s="445"/>
      <c r="TML279" s="414"/>
      <c r="TMO279" s="445"/>
      <c r="TMP279" s="414"/>
      <c r="TMS279" s="445"/>
      <c r="TMT279" s="414"/>
      <c r="TMW279" s="445"/>
      <c r="TMX279" s="414"/>
      <c r="TNA279" s="445"/>
      <c r="TNB279" s="414"/>
      <c r="TNE279" s="445"/>
      <c r="TNF279" s="414"/>
      <c r="TNI279" s="445"/>
      <c r="TNJ279" s="414"/>
      <c r="TNM279" s="445"/>
      <c r="TNN279" s="414"/>
      <c r="TNQ279" s="445"/>
      <c r="TNR279" s="414"/>
      <c r="TNU279" s="445"/>
      <c r="TNV279" s="414"/>
      <c r="TNY279" s="445"/>
      <c r="TNZ279" s="414"/>
      <c r="TOC279" s="445"/>
      <c r="TOD279" s="414"/>
      <c r="TOG279" s="445"/>
      <c r="TOH279" s="414"/>
      <c r="TOK279" s="445"/>
      <c r="TOL279" s="414"/>
      <c r="TOO279" s="445"/>
      <c r="TOP279" s="414"/>
      <c r="TOS279" s="445"/>
      <c r="TOT279" s="414"/>
      <c r="TOW279" s="445"/>
      <c r="TOX279" s="414"/>
      <c r="TPA279" s="445"/>
      <c r="TPB279" s="414"/>
      <c r="TPE279" s="445"/>
      <c r="TPF279" s="414"/>
      <c r="TPI279" s="445"/>
      <c r="TPJ279" s="414"/>
      <c r="TPM279" s="445"/>
      <c r="TPN279" s="414"/>
      <c r="TPQ279" s="445"/>
      <c r="TPR279" s="414"/>
      <c r="TPU279" s="445"/>
      <c r="TPV279" s="414"/>
      <c r="TPY279" s="445"/>
      <c r="TPZ279" s="414"/>
      <c r="TQC279" s="445"/>
      <c r="TQD279" s="414"/>
      <c r="TQG279" s="445"/>
      <c r="TQH279" s="414"/>
      <c r="TQK279" s="445"/>
      <c r="TQL279" s="414"/>
      <c r="TQO279" s="445"/>
      <c r="TQP279" s="414"/>
      <c r="TQS279" s="445"/>
      <c r="TQT279" s="414"/>
      <c r="TQW279" s="445"/>
      <c r="TQX279" s="414"/>
      <c r="TRA279" s="445"/>
      <c r="TRB279" s="414"/>
      <c r="TRE279" s="445"/>
      <c r="TRF279" s="414"/>
      <c r="TRI279" s="445"/>
      <c r="TRJ279" s="414"/>
      <c r="TRM279" s="445"/>
      <c r="TRN279" s="414"/>
      <c r="TRQ279" s="445"/>
      <c r="TRR279" s="414"/>
      <c r="TRU279" s="445"/>
      <c r="TRV279" s="414"/>
      <c r="TRY279" s="445"/>
      <c r="TRZ279" s="414"/>
      <c r="TSC279" s="445"/>
      <c r="TSD279" s="414"/>
      <c r="TSG279" s="445"/>
      <c r="TSH279" s="414"/>
      <c r="TSK279" s="445"/>
      <c r="TSL279" s="414"/>
      <c r="TSO279" s="445"/>
      <c r="TSP279" s="414"/>
      <c r="TSS279" s="445"/>
      <c r="TST279" s="414"/>
      <c r="TSW279" s="445"/>
      <c r="TSX279" s="414"/>
      <c r="TTA279" s="445"/>
      <c r="TTB279" s="414"/>
      <c r="TTE279" s="445"/>
      <c r="TTF279" s="414"/>
      <c r="TTI279" s="445"/>
      <c r="TTJ279" s="414"/>
      <c r="TTM279" s="445"/>
      <c r="TTN279" s="414"/>
      <c r="TTQ279" s="445"/>
      <c r="TTR279" s="414"/>
      <c r="TTU279" s="445"/>
      <c r="TTV279" s="414"/>
      <c r="TTY279" s="445"/>
      <c r="TTZ279" s="414"/>
      <c r="TUC279" s="445"/>
      <c r="TUD279" s="414"/>
      <c r="TUG279" s="445"/>
      <c r="TUH279" s="414"/>
      <c r="TUK279" s="445"/>
      <c r="TUL279" s="414"/>
      <c r="TUO279" s="445"/>
      <c r="TUP279" s="414"/>
      <c r="TUS279" s="445"/>
      <c r="TUT279" s="414"/>
      <c r="TUW279" s="445"/>
      <c r="TUX279" s="414"/>
      <c r="TVA279" s="445"/>
      <c r="TVB279" s="414"/>
      <c r="TVE279" s="445"/>
      <c r="TVF279" s="414"/>
      <c r="TVI279" s="445"/>
      <c r="TVJ279" s="414"/>
      <c r="TVM279" s="445"/>
      <c r="TVN279" s="414"/>
      <c r="TVQ279" s="445"/>
      <c r="TVR279" s="414"/>
      <c r="TVU279" s="445"/>
      <c r="TVV279" s="414"/>
      <c r="TVY279" s="445"/>
      <c r="TVZ279" s="414"/>
      <c r="TWC279" s="445"/>
      <c r="TWD279" s="414"/>
      <c r="TWG279" s="445"/>
      <c r="TWH279" s="414"/>
      <c r="TWK279" s="445"/>
      <c r="TWL279" s="414"/>
      <c r="TWO279" s="445"/>
      <c r="TWP279" s="414"/>
      <c r="TWS279" s="445"/>
      <c r="TWT279" s="414"/>
      <c r="TWW279" s="445"/>
      <c r="TWX279" s="414"/>
      <c r="TXA279" s="445"/>
      <c r="TXB279" s="414"/>
      <c r="TXE279" s="445"/>
      <c r="TXF279" s="414"/>
      <c r="TXI279" s="445"/>
      <c r="TXJ279" s="414"/>
      <c r="TXM279" s="445"/>
      <c r="TXN279" s="414"/>
      <c r="TXQ279" s="445"/>
      <c r="TXR279" s="414"/>
      <c r="TXU279" s="445"/>
      <c r="TXV279" s="414"/>
      <c r="TXY279" s="445"/>
      <c r="TXZ279" s="414"/>
      <c r="TYC279" s="445"/>
      <c r="TYD279" s="414"/>
      <c r="TYG279" s="445"/>
      <c r="TYH279" s="414"/>
      <c r="TYK279" s="445"/>
      <c r="TYL279" s="414"/>
      <c r="TYO279" s="445"/>
      <c r="TYP279" s="414"/>
      <c r="TYS279" s="445"/>
      <c r="TYT279" s="414"/>
      <c r="TYW279" s="445"/>
      <c r="TYX279" s="414"/>
      <c r="TZA279" s="445"/>
      <c r="TZB279" s="414"/>
      <c r="TZE279" s="445"/>
      <c r="TZF279" s="414"/>
      <c r="TZI279" s="445"/>
      <c r="TZJ279" s="414"/>
      <c r="TZM279" s="445"/>
      <c r="TZN279" s="414"/>
      <c r="TZQ279" s="445"/>
      <c r="TZR279" s="414"/>
      <c r="TZU279" s="445"/>
      <c r="TZV279" s="414"/>
      <c r="TZY279" s="445"/>
      <c r="TZZ279" s="414"/>
      <c r="UAC279" s="445"/>
      <c r="UAD279" s="414"/>
      <c r="UAG279" s="445"/>
      <c r="UAH279" s="414"/>
      <c r="UAK279" s="445"/>
      <c r="UAL279" s="414"/>
      <c r="UAO279" s="445"/>
      <c r="UAP279" s="414"/>
      <c r="UAS279" s="445"/>
      <c r="UAT279" s="414"/>
      <c r="UAW279" s="445"/>
      <c r="UAX279" s="414"/>
      <c r="UBA279" s="445"/>
      <c r="UBB279" s="414"/>
      <c r="UBE279" s="445"/>
      <c r="UBF279" s="414"/>
      <c r="UBI279" s="445"/>
      <c r="UBJ279" s="414"/>
      <c r="UBM279" s="445"/>
      <c r="UBN279" s="414"/>
      <c r="UBQ279" s="445"/>
      <c r="UBR279" s="414"/>
      <c r="UBU279" s="445"/>
      <c r="UBV279" s="414"/>
      <c r="UBY279" s="445"/>
      <c r="UBZ279" s="414"/>
      <c r="UCC279" s="445"/>
      <c r="UCD279" s="414"/>
      <c r="UCG279" s="445"/>
      <c r="UCH279" s="414"/>
      <c r="UCK279" s="445"/>
      <c r="UCL279" s="414"/>
      <c r="UCO279" s="445"/>
      <c r="UCP279" s="414"/>
      <c r="UCS279" s="445"/>
      <c r="UCT279" s="414"/>
      <c r="UCW279" s="445"/>
      <c r="UCX279" s="414"/>
      <c r="UDA279" s="445"/>
      <c r="UDB279" s="414"/>
      <c r="UDE279" s="445"/>
      <c r="UDF279" s="414"/>
      <c r="UDI279" s="445"/>
      <c r="UDJ279" s="414"/>
      <c r="UDM279" s="445"/>
      <c r="UDN279" s="414"/>
      <c r="UDQ279" s="445"/>
      <c r="UDR279" s="414"/>
      <c r="UDU279" s="445"/>
      <c r="UDV279" s="414"/>
      <c r="UDY279" s="445"/>
      <c r="UDZ279" s="414"/>
      <c r="UEC279" s="445"/>
      <c r="UED279" s="414"/>
      <c r="UEG279" s="445"/>
      <c r="UEH279" s="414"/>
      <c r="UEK279" s="445"/>
      <c r="UEL279" s="414"/>
      <c r="UEO279" s="445"/>
      <c r="UEP279" s="414"/>
      <c r="UES279" s="445"/>
      <c r="UET279" s="414"/>
      <c r="UEW279" s="445"/>
      <c r="UEX279" s="414"/>
      <c r="UFA279" s="445"/>
      <c r="UFB279" s="414"/>
      <c r="UFE279" s="445"/>
      <c r="UFF279" s="414"/>
      <c r="UFI279" s="445"/>
      <c r="UFJ279" s="414"/>
      <c r="UFM279" s="445"/>
      <c r="UFN279" s="414"/>
      <c r="UFQ279" s="445"/>
      <c r="UFR279" s="414"/>
      <c r="UFU279" s="445"/>
      <c r="UFV279" s="414"/>
      <c r="UFY279" s="445"/>
      <c r="UFZ279" s="414"/>
      <c r="UGC279" s="445"/>
      <c r="UGD279" s="414"/>
      <c r="UGG279" s="445"/>
      <c r="UGH279" s="414"/>
      <c r="UGK279" s="445"/>
      <c r="UGL279" s="414"/>
      <c r="UGO279" s="445"/>
      <c r="UGP279" s="414"/>
      <c r="UGS279" s="445"/>
      <c r="UGT279" s="414"/>
      <c r="UGW279" s="445"/>
      <c r="UGX279" s="414"/>
      <c r="UHA279" s="445"/>
      <c r="UHB279" s="414"/>
      <c r="UHE279" s="445"/>
      <c r="UHF279" s="414"/>
      <c r="UHI279" s="445"/>
      <c r="UHJ279" s="414"/>
      <c r="UHM279" s="445"/>
      <c r="UHN279" s="414"/>
      <c r="UHQ279" s="445"/>
      <c r="UHR279" s="414"/>
      <c r="UHU279" s="445"/>
      <c r="UHV279" s="414"/>
      <c r="UHY279" s="445"/>
      <c r="UHZ279" s="414"/>
      <c r="UIC279" s="445"/>
      <c r="UID279" s="414"/>
      <c r="UIG279" s="445"/>
      <c r="UIH279" s="414"/>
      <c r="UIK279" s="445"/>
      <c r="UIL279" s="414"/>
      <c r="UIO279" s="445"/>
      <c r="UIP279" s="414"/>
      <c r="UIS279" s="445"/>
      <c r="UIT279" s="414"/>
      <c r="UIW279" s="445"/>
      <c r="UIX279" s="414"/>
      <c r="UJA279" s="445"/>
      <c r="UJB279" s="414"/>
      <c r="UJE279" s="445"/>
      <c r="UJF279" s="414"/>
      <c r="UJI279" s="445"/>
      <c r="UJJ279" s="414"/>
      <c r="UJM279" s="445"/>
      <c r="UJN279" s="414"/>
      <c r="UJQ279" s="445"/>
      <c r="UJR279" s="414"/>
      <c r="UJU279" s="445"/>
      <c r="UJV279" s="414"/>
      <c r="UJY279" s="445"/>
      <c r="UJZ279" s="414"/>
      <c r="UKC279" s="445"/>
      <c r="UKD279" s="414"/>
      <c r="UKG279" s="445"/>
      <c r="UKH279" s="414"/>
      <c r="UKK279" s="445"/>
      <c r="UKL279" s="414"/>
      <c r="UKO279" s="445"/>
      <c r="UKP279" s="414"/>
      <c r="UKS279" s="445"/>
      <c r="UKT279" s="414"/>
      <c r="UKW279" s="445"/>
      <c r="UKX279" s="414"/>
      <c r="ULA279" s="445"/>
      <c r="ULB279" s="414"/>
      <c r="ULE279" s="445"/>
      <c r="ULF279" s="414"/>
      <c r="ULI279" s="445"/>
      <c r="ULJ279" s="414"/>
      <c r="ULM279" s="445"/>
      <c r="ULN279" s="414"/>
      <c r="ULQ279" s="445"/>
      <c r="ULR279" s="414"/>
      <c r="ULU279" s="445"/>
      <c r="ULV279" s="414"/>
      <c r="ULY279" s="445"/>
      <c r="ULZ279" s="414"/>
      <c r="UMC279" s="445"/>
      <c r="UMD279" s="414"/>
      <c r="UMG279" s="445"/>
      <c r="UMH279" s="414"/>
      <c r="UMK279" s="445"/>
      <c r="UML279" s="414"/>
      <c r="UMO279" s="445"/>
      <c r="UMP279" s="414"/>
      <c r="UMS279" s="445"/>
      <c r="UMT279" s="414"/>
      <c r="UMW279" s="445"/>
      <c r="UMX279" s="414"/>
      <c r="UNA279" s="445"/>
      <c r="UNB279" s="414"/>
      <c r="UNE279" s="445"/>
      <c r="UNF279" s="414"/>
      <c r="UNI279" s="445"/>
      <c r="UNJ279" s="414"/>
      <c r="UNM279" s="445"/>
      <c r="UNN279" s="414"/>
      <c r="UNQ279" s="445"/>
      <c r="UNR279" s="414"/>
      <c r="UNU279" s="445"/>
      <c r="UNV279" s="414"/>
      <c r="UNY279" s="445"/>
      <c r="UNZ279" s="414"/>
      <c r="UOC279" s="445"/>
      <c r="UOD279" s="414"/>
      <c r="UOG279" s="445"/>
      <c r="UOH279" s="414"/>
      <c r="UOK279" s="445"/>
      <c r="UOL279" s="414"/>
      <c r="UOO279" s="445"/>
      <c r="UOP279" s="414"/>
      <c r="UOS279" s="445"/>
      <c r="UOT279" s="414"/>
      <c r="UOW279" s="445"/>
      <c r="UOX279" s="414"/>
      <c r="UPA279" s="445"/>
      <c r="UPB279" s="414"/>
      <c r="UPE279" s="445"/>
      <c r="UPF279" s="414"/>
      <c r="UPI279" s="445"/>
      <c r="UPJ279" s="414"/>
      <c r="UPM279" s="445"/>
      <c r="UPN279" s="414"/>
      <c r="UPQ279" s="445"/>
      <c r="UPR279" s="414"/>
      <c r="UPU279" s="445"/>
      <c r="UPV279" s="414"/>
      <c r="UPY279" s="445"/>
      <c r="UPZ279" s="414"/>
      <c r="UQC279" s="445"/>
      <c r="UQD279" s="414"/>
      <c r="UQG279" s="445"/>
      <c r="UQH279" s="414"/>
      <c r="UQK279" s="445"/>
      <c r="UQL279" s="414"/>
      <c r="UQO279" s="445"/>
      <c r="UQP279" s="414"/>
      <c r="UQS279" s="445"/>
      <c r="UQT279" s="414"/>
      <c r="UQW279" s="445"/>
      <c r="UQX279" s="414"/>
      <c r="URA279" s="445"/>
      <c r="URB279" s="414"/>
      <c r="URE279" s="445"/>
      <c r="URF279" s="414"/>
      <c r="URI279" s="445"/>
      <c r="URJ279" s="414"/>
      <c r="URM279" s="445"/>
      <c r="URN279" s="414"/>
      <c r="URQ279" s="445"/>
      <c r="URR279" s="414"/>
      <c r="URU279" s="445"/>
      <c r="URV279" s="414"/>
      <c r="URY279" s="445"/>
      <c r="URZ279" s="414"/>
      <c r="USC279" s="445"/>
      <c r="USD279" s="414"/>
      <c r="USG279" s="445"/>
      <c r="USH279" s="414"/>
      <c r="USK279" s="445"/>
      <c r="USL279" s="414"/>
      <c r="USO279" s="445"/>
      <c r="USP279" s="414"/>
      <c r="USS279" s="445"/>
      <c r="UST279" s="414"/>
      <c r="USW279" s="445"/>
      <c r="USX279" s="414"/>
      <c r="UTA279" s="445"/>
      <c r="UTB279" s="414"/>
      <c r="UTE279" s="445"/>
      <c r="UTF279" s="414"/>
      <c r="UTI279" s="445"/>
      <c r="UTJ279" s="414"/>
      <c r="UTM279" s="445"/>
      <c r="UTN279" s="414"/>
      <c r="UTQ279" s="445"/>
      <c r="UTR279" s="414"/>
      <c r="UTU279" s="445"/>
      <c r="UTV279" s="414"/>
      <c r="UTY279" s="445"/>
      <c r="UTZ279" s="414"/>
      <c r="UUC279" s="445"/>
      <c r="UUD279" s="414"/>
      <c r="UUG279" s="445"/>
      <c r="UUH279" s="414"/>
      <c r="UUK279" s="445"/>
      <c r="UUL279" s="414"/>
      <c r="UUO279" s="445"/>
      <c r="UUP279" s="414"/>
      <c r="UUS279" s="445"/>
      <c r="UUT279" s="414"/>
      <c r="UUW279" s="445"/>
      <c r="UUX279" s="414"/>
      <c r="UVA279" s="445"/>
      <c r="UVB279" s="414"/>
      <c r="UVE279" s="445"/>
      <c r="UVF279" s="414"/>
      <c r="UVI279" s="445"/>
      <c r="UVJ279" s="414"/>
      <c r="UVM279" s="445"/>
      <c r="UVN279" s="414"/>
      <c r="UVQ279" s="445"/>
      <c r="UVR279" s="414"/>
      <c r="UVU279" s="445"/>
      <c r="UVV279" s="414"/>
      <c r="UVY279" s="445"/>
      <c r="UVZ279" s="414"/>
      <c r="UWC279" s="445"/>
      <c r="UWD279" s="414"/>
      <c r="UWG279" s="445"/>
      <c r="UWH279" s="414"/>
      <c r="UWK279" s="445"/>
      <c r="UWL279" s="414"/>
      <c r="UWO279" s="445"/>
      <c r="UWP279" s="414"/>
      <c r="UWS279" s="445"/>
      <c r="UWT279" s="414"/>
      <c r="UWW279" s="445"/>
      <c r="UWX279" s="414"/>
      <c r="UXA279" s="445"/>
      <c r="UXB279" s="414"/>
      <c r="UXE279" s="445"/>
      <c r="UXF279" s="414"/>
      <c r="UXI279" s="445"/>
      <c r="UXJ279" s="414"/>
      <c r="UXM279" s="445"/>
      <c r="UXN279" s="414"/>
      <c r="UXQ279" s="445"/>
      <c r="UXR279" s="414"/>
      <c r="UXU279" s="445"/>
      <c r="UXV279" s="414"/>
      <c r="UXY279" s="445"/>
      <c r="UXZ279" s="414"/>
      <c r="UYC279" s="445"/>
      <c r="UYD279" s="414"/>
      <c r="UYG279" s="445"/>
      <c r="UYH279" s="414"/>
      <c r="UYK279" s="445"/>
      <c r="UYL279" s="414"/>
      <c r="UYO279" s="445"/>
      <c r="UYP279" s="414"/>
      <c r="UYS279" s="445"/>
      <c r="UYT279" s="414"/>
      <c r="UYW279" s="445"/>
      <c r="UYX279" s="414"/>
      <c r="UZA279" s="445"/>
      <c r="UZB279" s="414"/>
      <c r="UZE279" s="445"/>
      <c r="UZF279" s="414"/>
      <c r="UZI279" s="445"/>
      <c r="UZJ279" s="414"/>
      <c r="UZM279" s="445"/>
      <c r="UZN279" s="414"/>
      <c r="UZQ279" s="445"/>
      <c r="UZR279" s="414"/>
      <c r="UZU279" s="445"/>
      <c r="UZV279" s="414"/>
      <c r="UZY279" s="445"/>
      <c r="UZZ279" s="414"/>
      <c r="VAC279" s="445"/>
      <c r="VAD279" s="414"/>
      <c r="VAG279" s="445"/>
      <c r="VAH279" s="414"/>
      <c r="VAK279" s="445"/>
      <c r="VAL279" s="414"/>
      <c r="VAO279" s="445"/>
      <c r="VAP279" s="414"/>
      <c r="VAS279" s="445"/>
      <c r="VAT279" s="414"/>
      <c r="VAW279" s="445"/>
      <c r="VAX279" s="414"/>
      <c r="VBA279" s="445"/>
      <c r="VBB279" s="414"/>
      <c r="VBE279" s="445"/>
      <c r="VBF279" s="414"/>
      <c r="VBI279" s="445"/>
      <c r="VBJ279" s="414"/>
      <c r="VBM279" s="445"/>
      <c r="VBN279" s="414"/>
      <c r="VBQ279" s="445"/>
      <c r="VBR279" s="414"/>
      <c r="VBU279" s="445"/>
      <c r="VBV279" s="414"/>
      <c r="VBY279" s="445"/>
      <c r="VBZ279" s="414"/>
      <c r="VCC279" s="445"/>
      <c r="VCD279" s="414"/>
      <c r="VCG279" s="445"/>
      <c r="VCH279" s="414"/>
      <c r="VCK279" s="445"/>
      <c r="VCL279" s="414"/>
      <c r="VCO279" s="445"/>
      <c r="VCP279" s="414"/>
      <c r="VCS279" s="445"/>
      <c r="VCT279" s="414"/>
      <c r="VCW279" s="445"/>
      <c r="VCX279" s="414"/>
      <c r="VDA279" s="445"/>
      <c r="VDB279" s="414"/>
      <c r="VDE279" s="445"/>
      <c r="VDF279" s="414"/>
      <c r="VDI279" s="445"/>
      <c r="VDJ279" s="414"/>
      <c r="VDM279" s="445"/>
      <c r="VDN279" s="414"/>
      <c r="VDQ279" s="445"/>
      <c r="VDR279" s="414"/>
      <c r="VDU279" s="445"/>
      <c r="VDV279" s="414"/>
      <c r="VDY279" s="445"/>
      <c r="VDZ279" s="414"/>
      <c r="VEC279" s="445"/>
      <c r="VED279" s="414"/>
      <c r="VEG279" s="445"/>
      <c r="VEH279" s="414"/>
      <c r="VEK279" s="445"/>
      <c r="VEL279" s="414"/>
      <c r="VEO279" s="445"/>
      <c r="VEP279" s="414"/>
      <c r="VES279" s="445"/>
      <c r="VET279" s="414"/>
      <c r="VEW279" s="445"/>
      <c r="VEX279" s="414"/>
      <c r="VFA279" s="445"/>
      <c r="VFB279" s="414"/>
      <c r="VFE279" s="445"/>
      <c r="VFF279" s="414"/>
      <c r="VFI279" s="445"/>
      <c r="VFJ279" s="414"/>
      <c r="VFM279" s="445"/>
      <c r="VFN279" s="414"/>
      <c r="VFQ279" s="445"/>
      <c r="VFR279" s="414"/>
      <c r="VFU279" s="445"/>
      <c r="VFV279" s="414"/>
      <c r="VFY279" s="445"/>
      <c r="VFZ279" s="414"/>
      <c r="VGC279" s="445"/>
      <c r="VGD279" s="414"/>
      <c r="VGG279" s="445"/>
      <c r="VGH279" s="414"/>
      <c r="VGK279" s="445"/>
      <c r="VGL279" s="414"/>
      <c r="VGO279" s="445"/>
      <c r="VGP279" s="414"/>
      <c r="VGS279" s="445"/>
      <c r="VGT279" s="414"/>
      <c r="VGW279" s="445"/>
      <c r="VGX279" s="414"/>
      <c r="VHA279" s="445"/>
      <c r="VHB279" s="414"/>
      <c r="VHE279" s="445"/>
      <c r="VHF279" s="414"/>
      <c r="VHI279" s="445"/>
      <c r="VHJ279" s="414"/>
      <c r="VHM279" s="445"/>
      <c r="VHN279" s="414"/>
      <c r="VHQ279" s="445"/>
      <c r="VHR279" s="414"/>
      <c r="VHU279" s="445"/>
      <c r="VHV279" s="414"/>
      <c r="VHY279" s="445"/>
      <c r="VHZ279" s="414"/>
      <c r="VIC279" s="445"/>
      <c r="VID279" s="414"/>
      <c r="VIG279" s="445"/>
      <c r="VIH279" s="414"/>
      <c r="VIK279" s="445"/>
      <c r="VIL279" s="414"/>
      <c r="VIO279" s="445"/>
      <c r="VIP279" s="414"/>
      <c r="VIS279" s="445"/>
      <c r="VIT279" s="414"/>
      <c r="VIW279" s="445"/>
      <c r="VIX279" s="414"/>
      <c r="VJA279" s="445"/>
      <c r="VJB279" s="414"/>
      <c r="VJE279" s="445"/>
      <c r="VJF279" s="414"/>
      <c r="VJI279" s="445"/>
      <c r="VJJ279" s="414"/>
      <c r="VJM279" s="445"/>
      <c r="VJN279" s="414"/>
      <c r="VJQ279" s="445"/>
      <c r="VJR279" s="414"/>
      <c r="VJU279" s="445"/>
      <c r="VJV279" s="414"/>
      <c r="VJY279" s="445"/>
      <c r="VJZ279" s="414"/>
      <c r="VKC279" s="445"/>
      <c r="VKD279" s="414"/>
      <c r="VKG279" s="445"/>
      <c r="VKH279" s="414"/>
      <c r="VKK279" s="445"/>
      <c r="VKL279" s="414"/>
      <c r="VKO279" s="445"/>
      <c r="VKP279" s="414"/>
      <c r="VKS279" s="445"/>
      <c r="VKT279" s="414"/>
      <c r="VKW279" s="445"/>
      <c r="VKX279" s="414"/>
      <c r="VLA279" s="445"/>
      <c r="VLB279" s="414"/>
      <c r="VLE279" s="445"/>
      <c r="VLF279" s="414"/>
      <c r="VLI279" s="445"/>
      <c r="VLJ279" s="414"/>
      <c r="VLM279" s="445"/>
      <c r="VLN279" s="414"/>
      <c r="VLQ279" s="445"/>
      <c r="VLR279" s="414"/>
      <c r="VLU279" s="445"/>
      <c r="VLV279" s="414"/>
      <c r="VLY279" s="445"/>
      <c r="VLZ279" s="414"/>
      <c r="VMC279" s="445"/>
      <c r="VMD279" s="414"/>
      <c r="VMG279" s="445"/>
      <c r="VMH279" s="414"/>
      <c r="VMK279" s="445"/>
      <c r="VML279" s="414"/>
      <c r="VMO279" s="445"/>
      <c r="VMP279" s="414"/>
      <c r="VMS279" s="445"/>
      <c r="VMT279" s="414"/>
      <c r="VMW279" s="445"/>
      <c r="VMX279" s="414"/>
      <c r="VNA279" s="445"/>
      <c r="VNB279" s="414"/>
      <c r="VNE279" s="445"/>
      <c r="VNF279" s="414"/>
      <c r="VNI279" s="445"/>
      <c r="VNJ279" s="414"/>
      <c r="VNM279" s="445"/>
      <c r="VNN279" s="414"/>
      <c r="VNQ279" s="445"/>
      <c r="VNR279" s="414"/>
      <c r="VNU279" s="445"/>
      <c r="VNV279" s="414"/>
      <c r="VNY279" s="445"/>
      <c r="VNZ279" s="414"/>
      <c r="VOC279" s="445"/>
      <c r="VOD279" s="414"/>
      <c r="VOG279" s="445"/>
      <c r="VOH279" s="414"/>
      <c r="VOK279" s="445"/>
      <c r="VOL279" s="414"/>
      <c r="VOO279" s="445"/>
      <c r="VOP279" s="414"/>
      <c r="VOS279" s="445"/>
      <c r="VOT279" s="414"/>
      <c r="VOW279" s="445"/>
      <c r="VOX279" s="414"/>
      <c r="VPA279" s="445"/>
      <c r="VPB279" s="414"/>
      <c r="VPE279" s="445"/>
      <c r="VPF279" s="414"/>
      <c r="VPI279" s="445"/>
      <c r="VPJ279" s="414"/>
      <c r="VPM279" s="445"/>
      <c r="VPN279" s="414"/>
      <c r="VPQ279" s="445"/>
      <c r="VPR279" s="414"/>
      <c r="VPU279" s="445"/>
      <c r="VPV279" s="414"/>
      <c r="VPY279" s="445"/>
      <c r="VPZ279" s="414"/>
      <c r="VQC279" s="445"/>
      <c r="VQD279" s="414"/>
      <c r="VQG279" s="445"/>
      <c r="VQH279" s="414"/>
      <c r="VQK279" s="445"/>
      <c r="VQL279" s="414"/>
      <c r="VQO279" s="445"/>
      <c r="VQP279" s="414"/>
      <c r="VQS279" s="445"/>
      <c r="VQT279" s="414"/>
      <c r="VQW279" s="445"/>
      <c r="VQX279" s="414"/>
      <c r="VRA279" s="445"/>
      <c r="VRB279" s="414"/>
      <c r="VRE279" s="445"/>
      <c r="VRF279" s="414"/>
      <c r="VRI279" s="445"/>
      <c r="VRJ279" s="414"/>
      <c r="VRM279" s="445"/>
      <c r="VRN279" s="414"/>
      <c r="VRQ279" s="445"/>
      <c r="VRR279" s="414"/>
      <c r="VRU279" s="445"/>
      <c r="VRV279" s="414"/>
      <c r="VRY279" s="445"/>
      <c r="VRZ279" s="414"/>
      <c r="VSC279" s="445"/>
      <c r="VSD279" s="414"/>
      <c r="VSG279" s="445"/>
      <c r="VSH279" s="414"/>
      <c r="VSK279" s="445"/>
      <c r="VSL279" s="414"/>
      <c r="VSO279" s="445"/>
      <c r="VSP279" s="414"/>
      <c r="VSS279" s="445"/>
      <c r="VST279" s="414"/>
      <c r="VSW279" s="445"/>
      <c r="VSX279" s="414"/>
      <c r="VTA279" s="445"/>
      <c r="VTB279" s="414"/>
      <c r="VTE279" s="445"/>
      <c r="VTF279" s="414"/>
      <c r="VTI279" s="445"/>
      <c r="VTJ279" s="414"/>
      <c r="VTM279" s="445"/>
      <c r="VTN279" s="414"/>
      <c r="VTQ279" s="445"/>
      <c r="VTR279" s="414"/>
      <c r="VTU279" s="445"/>
      <c r="VTV279" s="414"/>
      <c r="VTY279" s="445"/>
      <c r="VTZ279" s="414"/>
      <c r="VUC279" s="445"/>
      <c r="VUD279" s="414"/>
      <c r="VUG279" s="445"/>
      <c r="VUH279" s="414"/>
      <c r="VUK279" s="445"/>
      <c r="VUL279" s="414"/>
      <c r="VUO279" s="445"/>
      <c r="VUP279" s="414"/>
      <c r="VUS279" s="445"/>
      <c r="VUT279" s="414"/>
      <c r="VUW279" s="445"/>
      <c r="VUX279" s="414"/>
      <c r="VVA279" s="445"/>
      <c r="VVB279" s="414"/>
      <c r="VVE279" s="445"/>
      <c r="VVF279" s="414"/>
      <c r="VVI279" s="445"/>
      <c r="VVJ279" s="414"/>
      <c r="VVM279" s="445"/>
      <c r="VVN279" s="414"/>
      <c r="VVQ279" s="445"/>
      <c r="VVR279" s="414"/>
      <c r="VVU279" s="445"/>
      <c r="VVV279" s="414"/>
      <c r="VVY279" s="445"/>
      <c r="VVZ279" s="414"/>
      <c r="VWC279" s="445"/>
      <c r="VWD279" s="414"/>
      <c r="VWG279" s="445"/>
      <c r="VWH279" s="414"/>
      <c r="VWK279" s="445"/>
      <c r="VWL279" s="414"/>
      <c r="VWO279" s="445"/>
      <c r="VWP279" s="414"/>
      <c r="VWS279" s="445"/>
      <c r="VWT279" s="414"/>
      <c r="VWW279" s="445"/>
      <c r="VWX279" s="414"/>
      <c r="VXA279" s="445"/>
      <c r="VXB279" s="414"/>
      <c r="VXE279" s="445"/>
      <c r="VXF279" s="414"/>
      <c r="VXI279" s="445"/>
      <c r="VXJ279" s="414"/>
      <c r="VXM279" s="445"/>
      <c r="VXN279" s="414"/>
      <c r="VXQ279" s="445"/>
      <c r="VXR279" s="414"/>
      <c r="VXU279" s="445"/>
      <c r="VXV279" s="414"/>
      <c r="VXY279" s="445"/>
      <c r="VXZ279" s="414"/>
      <c r="VYC279" s="445"/>
      <c r="VYD279" s="414"/>
      <c r="VYG279" s="445"/>
      <c r="VYH279" s="414"/>
      <c r="VYK279" s="445"/>
      <c r="VYL279" s="414"/>
      <c r="VYO279" s="445"/>
      <c r="VYP279" s="414"/>
      <c r="VYS279" s="445"/>
      <c r="VYT279" s="414"/>
      <c r="VYW279" s="445"/>
      <c r="VYX279" s="414"/>
      <c r="VZA279" s="445"/>
      <c r="VZB279" s="414"/>
      <c r="VZE279" s="445"/>
      <c r="VZF279" s="414"/>
      <c r="VZI279" s="445"/>
      <c r="VZJ279" s="414"/>
      <c r="VZM279" s="445"/>
      <c r="VZN279" s="414"/>
      <c r="VZQ279" s="445"/>
      <c r="VZR279" s="414"/>
      <c r="VZU279" s="445"/>
      <c r="VZV279" s="414"/>
      <c r="VZY279" s="445"/>
      <c r="VZZ279" s="414"/>
      <c r="WAC279" s="445"/>
      <c r="WAD279" s="414"/>
      <c r="WAG279" s="445"/>
      <c r="WAH279" s="414"/>
      <c r="WAK279" s="445"/>
      <c r="WAL279" s="414"/>
      <c r="WAO279" s="445"/>
      <c r="WAP279" s="414"/>
      <c r="WAS279" s="445"/>
      <c r="WAT279" s="414"/>
      <c r="WAW279" s="445"/>
      <c r="WAX279" s="414"/>
      <c r="WBA279" s="445"/>
      <c r="WBB279" s="414"/>
      <c r="WBE279" s="445"/>
      <c r="WBF279" s="414"/>
      <c r="WBI279" s="445"/>
      <c r="WBJ279" s="414"/>
      <c r="WBM279" s="445"/>
      <c r="WBN279" s="414"/>
      <c r="WBQ279" s="445"/>
      <c r="WBR279" s="414"/>
      <c r="WBU279" s="445"/>
      <c r="WBV279" s="414"/>
      <c r="WBY279" s="445"/>
      <c r="WBZ279" s="414"/>
      <c r="WCC279" s="445"/>
      <c r="WCD279" s="414"/>
      <c r="WCG279" s="445"/>
      <c r="WCH279" s="414"/>
      <c r="WCK279" s="445"/>
      <c r="WCL279" s="414"/>
      <c r="WCO279" s="445"/>
      <c r="WCP279" s="414"/>
      <c r="WCS279" s="445"/>
      <c r="WCT279" s="414"/>
      <c r="WCW279" s="445"/>
      <c r="WCX279" s="414"/>
      <c r="WDA279" s="445"/>
      <c r="WDB279" s="414"/>
      <c r="WDE279" s="445"/>
      <c r="WDF279" s="414"/>
      <c r="WDI279" s="445"/>
      <c r="WDJ279" s="414"/>
      <c r="WDM279" s="445"/>
      <c r="WDN279" s="414"/>
      <c r="WDQ279" s="445"/>
      <c r="WDR279" s="414"/>
      <c r="WDU279" s="445"/>
      <c r="WDV279" s="414"/>
      <c r="WDY279" s="445"/>
      <c r="WDZ279" s="414"/>
      <c r="WEC279" s="445"/>
      <c r="WED279" s="414"/>
      <c r="WEG279" s="445"/>
      <c r="WEH279" s="414"/>
      <c r="WEK279" s="445"/>
      <c r="WEL279" s="414"/>
      <c r="WEO279" s="445"/>
      <c r="WEP279" s="414"/>
      <c r="WES279" s="445"/>
      <c r="WET279" s="414"/>
      <c r="WEW279" s="445"/>
      <c r="WEX279" s="414"/>
      <c r="WFA279" s="445"/>
      <c r="WFB279" s="414"/>
      <c r="WFE279" s="445"/>
      <c r="WFF279" s="414"/>
      <c r="WFI279" s="445"/>
      <c r="WFJ279" s="414"/>
      <c r="WFM279" s="445"/>
      <c r="WFN279" s="414"/>
      <c r="WFQ279" s="445"/>
      <c r="WFR279" s="414"/>
      <c r="WFU279" s="445"/>
      <c r="WFV279" s="414"/>
      <c r="WFY279" s="445"/>
      <c r="WFZ279" s="414"/>
      <c r="WGC279" s="445"/>
      <c r="WGD279" s="414"/>
      <c r="WGG279" s="445"/>
      <c r="WGH279" s="414"/>
      <c r="WGK279" s="445"/>
      <c r="WGL279" s="414"/>
      <c r="WGO279" s="445"/>
      <c r="WGP279" s="414"/>
      <c r="WGS279" s="445"/>
      <c r="WGT279" s="414"/>
      <c r="WGW279" s="445"/>
      <c r="WGX279" s="414"/>
      <c r="WHA279" s="445"/>
      <c r="WHB279" s="414"/>
      <c r="WHE279" s="445"/>
      <c r="WHF279" s="414"/>
      <c r="WHI279" s="445"/>
      <c r="WHJ279" s="414"/>
      <c r="WHM279" s="445"/>
      <c r="WHN279" s="414"/>
      <c r="WHQ279" s="445"/>
      <c r="WHR279" s="414"/>
      <c r="WHU279" s="445"/>
      <c r="WHV279" s="414"/>
      <c r="WHY279" s="445"/>
      <c r="WHZ279" s="414"/>
      <c r="WIC279" s="445"/>
      <c r="WID279" s="414"/>
      <c r="WIG279" s="445"/>
      <c r="WIH279" s="414"/>
      <c r="WIK279" s="445"/>
      <c r="WIL279" s="414"/>
      <c r="WIO279" s="445"/>
      <c r="WIP279" s="414"/>
      <c r="WIS279" s="445"/>
      <c r="WIT279" s="414"/>
      <c r="WIW279" s="445"/>
      <c r="WIX279" s="414"/>
      <c r="WJA279" s="445"/>
      <c r="WJB279" s="414"/>
      <c r="WJE279" s="445"/>
      <c r="WJF279" s="414"/>
      <c r="WJI279" s="445"/>
      <c r="WJJ279" s="414"/>
      <c r="WJM279" s="445"/>
      <c r="WJN279" s="414"/>
      <c r="WJQ279" s="445"/>
      <c r="WJR279" s="414"/>
      <c r="WJU279" s="445"/>
      <c r="WJV279" s="414"/>
      <c r="WJY279" s="445"/>
      <c r="WJZ279" s="414"/>
      <c r="WKC279" s="445"/>
      <c r="WKD279" s="414"/>
      <c r="WKG279" s="445"/>
      <c r="WKH279" s="414"/>
      <c r="WKK279" s="445"/>
      <c r="WKL279" s="414"/>
      <c r="WKO279" s="445"/>
      <c r="WKP279" s="414"/>
      <c r="WKS279" s="445"/>
      <c r="WKT279" s="414"/>
      <c r="WKW279" s="445"/>
      <c r="WKX279" s="414"/>
      <c r="WLA279" s="445"/>
      <c r="WLB279" s="414"/>
      <c r="WLE279" s="445"/>
      <c r="WLF279" s="414"/>
      <c r="WLI279" s="445"/>
      <c r="WLJ279" s="414"/>
      <c r="WLM279" s="445"/>
      <c r="WLN279" s="414"/>
      <c r="WLQ279" s="445"/>
      <c r="WLR279" s="414"/>
      <c r="WLU279" s="445"/>
      <c r="WLV279" s="414"/>
      <c r="WLY279" s="445"/>
      <c r="WLZ279" s="414"/>
      <c r="WMC279" s="445"/>
      <c r="WMD279" s="414"/>
      <c r="WMG279" s="445"/>
      <c r="WMH279" s="414"/>
      <c r="WMK279" s="445"/>
      <c r="WML279" s="414"/>
      <c r="WMO279" s="445"/>
      <c r="WMP279" s="414"/>
      <c r="WMS279" s="445"/>
      <c r="WMT279" s="414"/>
      <c r="WMW279" s="445"/>
      <c r="WMX279" s="414"/>
      <c r="WNA279" s="445"/>
      <c r="WNB279" s="414"/>
      <c r="WNE279" s="445"/>
      <c r="WNF279" s="414"/>
      <c r="WNI279" s="445"/>
      <c r="WNJ279" s="414"/>
      <c r="WNM279" s="445"/>
      <c r="WNN279" s="414"/>
      <c r="WNQ279" s="445"/>
      <c r="WNR279" s="414"/>
      <c r="WNU279" s="445"/>
      <c r="WNV279" s="414"/>
      <c r="WNY279" s="445"/>
      <c r="WNZ279" s="414"/>
      <c r="WOC279" s="445"/>
      <c r="WOD279" s="414"/>
      <c r="WOG279" s="445"/>
      <c r="WOH279" s="414"/>
      <c r="WOK279" s="445"/>
      <c r="WOL279" s="414"/>
      <c r="WOO279" s="445"/>
      <c r="WOP279" s="414"/>
      <c r="WOS279" s="445"/>
      <c r="WOT279" s="414"/>
      <c r="WOW279" s="445"/>
      <c r="WOX279" s="414"/>
      <c r="WPA279" s="445"/>
      <c r="WPB279" s="414"/>
      <c r="WPE279" s="445"/>
      <c r="WPF279" s="414"/>
      <c r="WPI279" s="445"/>
      <c r="WPJ279" s="414"/>
      <c r="WPM279" s="445"/>
      <c r="WPN279" s="414"/>
      <c r="WPQ279" s="445"/>
      <c r="WPR279" s="414"/>
      <c r="WPU279" s="445"/>
      <c r="WPV279" s="414"/>
      <c r="WPY279" s="445"/>
      <c r="WPZ279" s="414"/>
      <c r="WQC279" s="445"/>
      <c r="WQD279" s="414"/>
      <c r="WQG279" s="445"/>
      <c r="WQH279" s="414"/>
      <c r="WQK279" s="445"/>
      <c r="WQL279" s="414"/>
      <c r="WQO279" s="445"/>
      <c r="WQP279" s="414"/>
      <c r="WQS279" s="445"/>
      <c r="WQT279" s="414"/>
      <c r="WQW279" s="445"/>
      <c r="WQX279" s="414"/>
      <c r="WRA279" s="445"/>
      <c r="WRB279" s="414"/>
      <c r="WRE279" s="445"/>
      <c r="WRF279" s="414"/>
      <c r="WRI279" s="445"/>
      <c r="WRJ279" s="414"/>
      <c r="WRM279" s="445"/>
      <c r="WRN279" s="414"/>
      <c r="WRQ279" s="445"/>
      <c r="WRR279" s="414"/>
      <c r="WRU279" s="445"/>
      <c r="WRV279" s="414"/>
      <c r="WRY279" s="445"/>
      <c r="WRZ279" s="414"/>
      <c r="WSC279" s="445"/>
      <c r="WSD279" s="414"/>
      <c r="WSG279" s="445"/>
      <c r="WSH279" s="414"/>
      <c r="WSK279" s="445"/>
      <c r="WSL279" s="414"/>
      <c r="WSO279" s="445"/>
      <c r="WSP279" s="414"/>
      <c r="WSS279" s="445"/>
      <c r="WST279" s="414"/>
      <c r="WSW279" s="445"/>
      <c r="WSX279" s="414"/>
      <c r="WTA279" s="445"/>
      <c r="WTB279" s="414"/>
      <c r="WTE279" s="445"/>
      <c r="WTF279" s="414"/>
      <c r="WTI279" s="445"/>
      <c r="WTJ279" s="414"/>
      <c r="WTM279" s="445"/>
      <c r="WTN279" s="414"/>
      <c r="WTQ279" s="445"/>
      <c r="WTR279" s="414"/>
      <c r="WTU279" s="445"/>
      <c r="WTV279" s="414"/>
      <c r="WTY279" s="445"/>
      <c r="WTZ279" s="414"/>
      <c r="WUC279" s="445"/>
      <c r="WUD279" s="414"/>
      <c r="WUG279" s="445"/>
      <c r="WUH279" s="414"/>
      <c r="WUK279" s="445"/>
      <c r="WUL279" s="414"/>
      <c r="WUO279" s="445"/>
      <c r="WUP279" s="414"/>
      <c r="WUS279" s="445"/>
      <c r="WUT279" s="414"/>
      <c r="WUW279" s="445"/>
      <c r="WUX279" s="414"/>
      <c r="WVA279" s="445"/>
      <c r="WVB279" s="414"/>
      <c r="WVE279" s="445"/>
      <c r="WVF279" s="414"/>
      <c r="WVI279" s="445"/>
      <c r="WVJ279" s="414"/>
      <c r="WVM279" s="445"/>
      <c r="WVN279" s="414"/>
      <c r="WVQ279" s="445"/>
      <c r="WVR279" s="414"/>
      <c r="WVU279" s="445"/>
      <c r="WVV279" s="414"/>
      <c r="WVY279" s="445"/>
      <c r="WVZ279" s="414"/>
      <c r="WWC279" s="445"/>
      <c r="WWD279" s="414"/>
      <c r="WWG279" s="445"/>
      <c r="WWH279" s="414"/>
      <c r="WWK279" s="445"/>
      <c r="WWL279" s="414"/>
      <c r="WWO279" s="445"/>
      <c r="WWP279" s="414"/>
      <c r="WWS279" s="445"/>
      <c r="WWT279" s="414"/>
      <c r="WWW279" s="445"/>
      <c r="WWX279" s="414"/>
      <c r="WXA279" s="445"/>
      <c r="WXB279" s="414"/>
      <c r="WXE279" s="445"/>
      <c r="WXF279" s="414"/>
      <c r="WXI279" s="445"/>
      <c r="WXJ279" s="414"/>
      <c r="WXM279" s="445"/>
      <c r="WXN279" s="414"/>
      <c r="WXQ279" s="445"/>
      <c r="WXR279" s="414"/>
      <c r="WXU279" s="445"/>
      <c r="WXV279" s="414"/>
      <c r="WXY279" s="445"/>
      <c r="WXZ279" s="414"/>
      <c r="WYC279" s="445"/>
      <c r="WYD279" s="414"/>
      <c r="WYG279" s="445"/>
      <c r="WYH279" s="414"/>
      <c r="WYK279" s="445"/>
      <c r="WYL279" s="414"/>
      <c r="WYO279" s="445"/>
      <c r="WYP279" s="414"/>
      <c r="WYS279" s="445"/>
      <c r="WYT279" s="414"/>
      <c r="WYW279" s="445"/>
      <c r="WYX279" s="414"/>
      <c r="WZA279" s="445"/>
      <c r="WZB279" s="414"/>
      <c r="WZE279" s="445"/>
      <c r="WZF279" s="414"/>
      <c r="WZI279" s="445"/>
      <c r="WZJ279" s="414"/>
      <c r="WZM279" s="445"/>
      <c r="WZN279" s="414"/>
      <c r="WZQ279" s="445"/>
      <c r="WZR279" s="414"/>
      <c r="WZU279" s="445"/>
      <c r="WZV279" s="414"/>
      <c r="WZY279" s="445"/>
      <c r="WZZ279" s="414"/>
      <c r="XAC279" s="445"/>
      <c r="XAD279" s="414"/>
      <c r="XAG279" s="445"/>
      <c r="XAH279" s="414"/>
      <c r="XAK279" s="445"/>
      <c r="XAL279" s="414"/>
      <c r="XAO279" s="445"/>
      <c r="XAP279" s="414"/>
      <c r="XAS279" s="445"/>
      <c r="XAT279" s="414"/>
      <c r="XAW279" s="445"/>
      <c r="XAX279" s="414"/>
      <c r="XBA279" s="445"/>
      <c r="XBB279" s="414"/>
      <c r="XBE279" s="445"/>
      <c r="XBF279" s="414"/>
      <c r="XBI279" s="445"/>
      <c r="XBJ279" s="414"/>
      <c r="XBM279" s="445"/>
      <c r="XBN279" s="414"/>
      <c r="XBQ279" s="445"/>
      <c r="XBR279" s="414"/>
      <c r="XBU279" s="445"/>
      <c r="XBV279" s="414"/>
      <c r="XBY279" s="445"/>
      <c r="XBZ279" s="414"/>
      <c r="XCC279" s="445"/>
      <c r="XCD279" s="414"/>
      <c r="XCG279" s="445"/>
      <c r="XCH279" s="414"/>
      <c r="XCK279" s="445"/>
      <c r="XCL279" s="414"/>
      <c r="XCO279" s="445"/>
      <c r="XCP279" s="414"/>
      <c r="XCS279" s="445"/>
      <c r="XCT279" s="414"/>
      <c r="XCW279" s="445"/>
      <c r="XCX279" s="414"/>
      <c r="XDA279" s="445"/>
      <c r="XDB279" s="414"/>
      <c r="XDE279" s="445"/>
      <c r="XDF279" s="414"/>
      <c r="XDI279" s="445"/>
      <c r="XDJ279" s="414"/>
      <c r="XDM279" s="445"/>
      <c r="XDN279" s="414"/>
      <c r="XDQ279" s="445"/>
      <c r="XDR279" s="414"/>
      <c r="XDU279" s="445"/>
      <c r="XDV279" s="414"/>
      <c r="XDY279" s="445"/>
      <c r="XDZ279" s="414"/>
      <c r="XEC279" s="445"/>
      <c r="XED279" s="414"/>
      <c r="XEG279" s="445"/>
      <c r="XEH279" s="414"/>
      <c r="XEK279" s="445"/>
      <c r="XEL279" s="414"/>
      <c r="XEO279" s="445"/>
      <c r="XEP279" s="414"/>
      <c r="XES279" s="445"/>
      <c r="XET279" s="414"/>
      <c r="XEW279" s="445"/>
      <c r="XEX279" s="414"/>
      <c r="XFA279" s="445"/>
    </row>
    <row r="280" spans="1:1022 1025:2046 2049:3070 3073:4094 4097:5118 5121:6142 6145:7166 7169:8190 8193:9214 9217:10238 10241:11262 11265:12286 12289:13310 13313:14334 14337:15358 15361:16381">
      <c r="B280" s="443">
        <v>90</v>
      </c>
      <c r="C280" s="447"/>
      <c r="D280" s="614" t="s">
        <v>2111</v>
      </c>
      <c r="E280" s="447" t="s">
        <v>1995</v>
      </c>
      <c r="F280" s="444" t="s">
        <v>133</v>
      </c>
      <c r="G280" s="416"/>
      <c r="H280" s="687">
        <v>37199</v>
      </c>
      <c r="I280" s="432" t="s">
        <v>1996</v>
      </c>
      <c r="AW280" s="445"/>
      <c r="AX280" s="414"/>
      <c r="BA280" s="445"/>
      <c r="BB280" s="414"/>
      <c r="BE280" s="445"/>
      <c r="BF280" s="414"/>
      <c r="BI280" s="445"/>
      <c r="BJ280" s="414"/>
      <c r="BM280" s="445"/>
      <c r="BN280" s="414"/>
      <c r="BQ280" s="445"/>
      <c r="BR280" s="414"/>
      <c r="BU280" s="445"/>
      <c r="BV280" s="414"/>
      <c r="BY280" s="445"/>
      <c r="BZ280" s="414"/>
      <c r="CC280" s="445"/>
      <c r="CD280" s="414"/>
      <c r="CG280" s="445"/>
      <c r="CH280" s="414"/>
      <c r="CK280" s="445"/>
      <c r="CL280" s="414"/>
      <c r="CO280" s="445"/>
      <c r="CP280" s="414"/>
      <c r="CS280" s="445"/>
      <c r="CT280" s="414"/>
      <c r="CW280" s="445"/>
      <c r="CX280" s="414"/>
      <c r="DA280" s="445"/>
      <c r="DB280" s="414"/>
      <c r="DE280" s="445"/>
      <c r="DF280" s="414"/>
      <c r="DI280" s="445"/>
      <c r="DJ280" s="414"/>
      <c r="DM280" s="445"/>
      <c r="DN280" s="414"/>
      <c r="DQ280" s="445"/>
      <c r="DR280" s="414"/>
      <c r="DU280" s="445"/>
      <c r="DV280" s="414"/>
      <c r="DY280" s="445"/>
      <c r="DZ280" s="414"/>
      <c r="EC280" s="445"/>
      <c r="ED280" s="414"/>
      <c r="EG280" s="445"/>
      <c r="EH280" s="414"/>
      <c r="EK280" s="445"/>
      <c r="EL280" s="414"/>
      <c r="EO280" s="445"/>
      <c r="EP280" s="414"/>
      <c r="ES280" s="445"/>
      <c r="ET280" s="414"/>
      <c r="EW280" s="445"/>
      <c r="EX280" s="414"/>
      <c r="FA280" s="445"/>
      <c r="FB280" s="414"/>
      <c r="FE280" s="445"/>
      <c r="FF280" s="414"/>
      <c r="FI280" s="445"/>
      <c r="FJ280" s="414"/>
      <c r="FM280" s="445"/>
      <c r="FN280" s="414"/>
      <c r="FQ280" s="445"/>
      <c r="FR280" s="414"/>
      <c r="FU280" s="445"/>
      <c r="FV280" s="414"/>
      <c r="FY280" s="445"/>
      <c r="FZ280" s="414"/>
      <c r="GC280" s="445"/>
      <c r="GD280" s="414"/>
      <c r="GG280" s="445"/>
      <c r="GH280" s="414"/>
      <c r="GK280" s="445"/>
      <c r="GL280" s="414"/>
      <c r="GO280" s="445"/>
      <c r="GP280" s="414"/>
      <c r="GS280" s="445"/>
      <c r="GT280" s="414"/>
      <c r="GW280" s="445"/>
      <c r="GX280" s="414"/>
      <c r="HA280" s="445"/>
      <c r="HB280" s="414"/>
      <c r="HE280" s="445"/>
      <c r="HF280" s="414"/>
      <c r="HI280" s="445"/>
      <c r="HJ280" s="414"/>
      <c r="HM280" s="445"/>
      <c r="HN280" s="414"/>
      <c r="HQ280" s="445"/>
      <c r="HR280" s="414"/>
      <c r="HU280" s="445"/>
      <c r="HV280" s="414"/>
      <c r="HY280" s="445"/>
      <c r="HZ280" s="414"/>
      <c r="IC280" s="445"/>
      <c r="ID280" s="414"/>
      <c r="IG280" s="445"/>
      <c r="IH280" s="414"/>
      <c r="IK280" s="445"/>
      <c r="IL280" s="414"/>
      <c r="IO280" s="445"/>
      <c r="IP280" s="414"/>
      <c r="IS280" s="445"/>
      <c r="IT280" s="414"/>
      <c r="IW280" s="445"/>
      <c r="IX280" s="414"/>
      <c r="JA280" s="445"/>
      <c r="JB280" s="414"/>
      <c r="JE280" s="445"/>
      <c r="JF280" s="414"/>
      <c r="JI280" s="445"/>
      <c r="JJ280" s="414"/>
      <c r="JM280" s="445"/>
      <c r="JN280" s="414"/>
      <c r="JQ280" s="445"/>
      <c r="JR280" s="414"/>
      <c r="JU280" s="445"/>
      <c r="JV280" s="414"/>
      <c r="JY280" s="445"/>
      <c r="JZ280" s="414"/>
      <c r="KC280" s="445"/>
      <c r="KD280" s="414"/>
      <c r="KG280" s="445"/>
      <c r="KH280" s="414"/>
      <c r="KK280" s="445"/>
      <c r="KL280" s="414"/>
      <c r="KO280" s="445"/>
      <c r="KP280" s="414"/>
      <c r="KS280" s="445"/>
      <c r="KT280" s="414"/>
      <c r="KW280" s="445"/>
      <c r="KX280" s="414"/>
      <c r="LA280" s="445"/>
      <c r="LB280" s="414"/>
      <c r="LE280" s="445"/>
      <c r="LF280" s="414"/>
      <c r="LI280" s="445"/>
      <c r="LJ280" s="414"/>
      <c r="LM280" s="445"/>
      <c r="LN280" s="414"/>
      <c r="LQ280" s="445"/>
      <c r="LR280" s="414"/>
      <c r="LU280" s="445"/>
      <c r="LV280" s="414"/>
      <c r="LY280" s="445"/>
      <c r="LZ280" s="414"/>
      <c r="MC280" s="445"/>
      <c r="MD280" s="414"/>
      <c r="MG280" s="445"/>
      <c r="MH280" s="414"/>
      <c r="MK280" s="445"/>
      <c r="ML280" s="414"/>
      <c r="MO280" s="445"/>
      <c r="MP280" s="414"/>
      <c r="MS280" s="445"/>
      <c r="MT280" s="414"/>
      <c r="MW280" s="445"/>
      <c r="MX280" s="414"/>
      <c r="NA280" s="445"/>
      <c r="NB280" s="414"/>
      <c r="NE280" s="445"/>
      <c r="NF280" s="414"/>
      <c r="NI280" s="445"/>
      <c r="NJ280" s="414"/>
      <c r="NM280" s="445"/>
      <c r="NN280" s="414"/>
      <c r="NQ280" s="445"/>
      <c r="NR280" s="414"/>
      <c r="NU280" s="445"/>
      <c r="NV280" s="414"/>
      <c r="NY280" s="445"/>
      <c r="NZ280" s="414"/>
      <c r="OC280" s="445"/>
      <c r="OD280" s="414"/>
      <c r="OG280" s="445"/>
      <c r="OH280" s="414"/>
      <c r="OK280" s="445"/>
      <c r="OL280" s="414"/>
      <c r="OO280" s="445"/>
      <c r="OP280" s="414"/>
      <c r="OS280" s="445"/>
      <c r="OT280" s="414"/>
      <c r="OW280" s="445"/>
      <c r="OX280" s="414"/>
      <c r="PA280" s="445"/>
      <c r="PB280" s="414"/>
      <c r="PE280" s="445"/>
      <c r="PF280" s="414"/>
      <c r="PI280" s="445"/>
      <c r="PJ280" s="414"/>
      <c r="PM280" s="445"/>
      <c r="PN280" s="414"/>
      <c r="PQ280" s="445"/>
      <c r="PR280" s="414"/>
      <c r="PU280" s="445"/>
      <c r="PV280" s="414"/>
      <c r="PY280" s="445"/>
      <c r="PZ280" s="414"/>
      <c r="QC280" s="445"/>
      <c r="QD280" s="414"/>
      <c r="QG280" s="445"/>
      <c r="QH280" s="414"/>
      <c r="QK280" s="445"/>
      <c r="QL280" s="414"/>
      <c r="QO280" s="445"/>
      <c r="QP280" s="414"/>
      <c r="QS280" s="445"/>
      <c r="QT280" s="414"/>
      <c r="QW280" s="445"/>
      <c r="QX280" s="414"/>
      <c r="RA280" s="445"/>
      <c r="RB280" s="414"/>
      <c r="RE280" s="445"/>
      <c r="RF280" s="414"/>
      <c r="RI280" s="445"/>
      <c r="RJ280" s="414"/>
      <c r="RM280" s="445"/>
      <c r="RN280" s="414"/>
      <c r="RQ280" s="445"/>
      <c r="RR280" s="414"/>
      <c r="RU280" s="445"/>
      <c r="RV280" s="414"/>
      <c r="RY280" s="445"/>
      <c r="RZ280" s="414"/>
      <c r="SC280" s="445"/>
      <c r="SD280" s="414"/>
      <c r="SG280" s="445"/>
      <c r="SH280" s="414"/>
      <c r="SK280" s="445"/>
      <c r="SL280" s="414"/>
      <c r="SO280" s="445"/>
      <c r="SP280" s="414"/>
      <c r="SS280" s="445"/>
      <c r="ST280" s="414"/>
      <c r="SW280" s="445"/>
      <c r="SX280" s="414"/>
      <c r="TA280" s="445"/>
      <c r="TB280" s="414"/>
      <c r="TE280" s="445"/>
      <c r="TF280" s="414"/>
      <c r="TI280" s="445"/>
      <c r="TJ280" s="414"/>
      <c r="TM280" s="445"/>
      <c r="TN280" s="414"/>
      <c r="TQ280" s="445"/>
      <c r="TR280" s="414"/>
      <c r="TU280" s="445"/>
      <c r="TV280" s="414"/>
      <c r="TY280" s="445"/>
      <c r="TZ280" s="414"/>
      <c r="UC280" s="445"/>
      <c r="UD280" s="414"/>
      <c r="UG280" s="445"/>
      <c r="UH280" s="414"/>
      <c r="UK280" s="445"/>
      <c r="UL280" s="414"/>
      <c r="UO280" s="445"/>
      <c r="UP280" s="414"/>
      <c r="US280" s="445"/>
      <c r="UT280" s="414"/>
      <c r="UW280" s="445"/>
      <c r="UX280" s="414"/>
      <c r="VA280" s="445"/>
      <c r="VB280" s="414"/>
      <c r="VE280" s="445"/>
      <c r="VF280" s="414"/>
      <c r="VI280" s="445"/>
      <c r="VJ280" s="414"/>
      <c r="VM280" s="445"/>
      <c r="VN280" s="414"/>
      <c r="VQ280" s="445"/>
      <c r="VR280" s="414"/>
      <c r="VU280" s="445"/>
      <c r="VV280" s="414"/>
      <c r="VY280" s="445"/>
      <c r="VZ280" s="414"/>
      <c r="WC280" s="445"/>
      <c r="WD280" s="414"/>
      <c r="WG280" s="445"/>
      <c r="WH280" s="414"/>
      <c r="WK280" s="445"/>
      <c r="WL280" s="414"/>
      <c r="WO280" s="445"/>
      <c r="WP280" s="414"/>
      <c r="WS280" s="445"/>
      <c r="WT280" s="414"/>
      <c r="WW280" s="445"/>
      <c r="WX280" s="414"/>
      <c r="XA280" s="445"/>
      <c r="XB280" s="414"/>
      <c r="XE280" s="445"/>
      <c r="XF280" s="414"/>
      <c r="XI280" s="445"/>
      <c r="XJ280" s="414"/>
      <c r="XM280" s="445"/>
      <c r="XN280" s="414"/>
      <c r="XQ280" s="445"/>
      <c r="XR280" s="414"/>
      <c r="XU280" s="445"/>
      <c r="XV280" s="414"/>
      <c r="XY280" s="445"/>
      <c r="XZ280" s="414"/>
      <c r="YC280" s="445"/>
      <c r="YD280" s="414"/>
      <c r="YG280" s="445"/>
      <c r="YH280" s="414"/>
      <c r="YK280" s="445"/>
      <c r="YL280" s="414"/>
      <c r="YO280" s="445"/>
      <c r="YP280" s="414"/>
      <c r="YS280" s="445"/>
      <c r="YT280" s="414"/>
      <c r="YW280" s="445"/>
      <c r="YX280" s="414"/>
      <c r="ZA280" s="445"/>
      <c r="ZB280" s="414"/>
      <c r="ZE280" s="445"/>
      <c r="ZF280" s="414"/>
      <c r="ZI280" s="445"/>
      <c r="ZJ280" s="414"/>
      <c r="ZM280" s="445"/>
      <c r="ZN280" s="414"/>
      <c r="ZQ280" s="445"/>
      <c r="ZR280" s="414"/>
      <c r="ZU280" s="445"/>
      <c r="ZV280" s="414"/>
      <c r="ZY280" s="445"/>
      <c r="ZZ280" s="414"/>
      <c r="AAC280" s="445"/>
      <c r="AAD280" s="414"/>
      <c r="AAG280" s="445"/>
      <c r="AAH280" s="414"/>
      <c r="AAK280" s="445"/>
      <c r="AAL280" s="414"/>
      <c r="AAO280" s="445"/>
      <c r="AAP280" s="414"/>
      <c r="AAS280" s="445"/>
      <c r="AAT280" s="414"/>
      <c r="AAW280" s="445"/>
      <c r="AAX280" s="414"/>
      <c r="ABA280" s="445"/>
      <c r="ABB280" s="414"/>
      <c r="ABE280" s="445"/>
      <c r="ABF280" s="414"/>
      <c r="ABI280" s="445"/>
      <c r="ABJ280" s="414"/>
      <c r="ABM280" s="445"/>
      <c r="ABN280" s="414"/>
      <c r="ABQ280" s="445"/>
      <c r="ABR280" s="414"/>
      <c r="ABU280" s="445"/>
      <c r="ABV280" s="414"/>
      <c r="ABY280" s="445"/>
      <c r="ABZ280" s="414"/>
      <c r="ACC280" s="445"/>
      <c r="ACD280" s="414"/>
      <c r="ACG280" s="445"/>
      <c r="ACH280" s="414"/>
      <c r="ACK280" s="445"/>
      <c r="ACL280" s="414"/>
      <c r="ACO280" s="445"/>
      <c r="ACP280" s="414"/>
      <c r="ACS280" s="445"/>
      <c r="ACT280" s="414"/>
      <c r="ACW280" s="445"/>
      <c r="ACX280" s="414"/>
      <c r="ADA280" s="445"/>
      <c r="ADB280" s="414"/>
      <c r="ADE280" s="445"/>
      <c r="ADF280" s="414"/>
      <c r="ADI280" s="445"/>
      <c r="ADJ280" s="414"/>
      <c r="ADM280" s="445"/>
      <c r="ADN280" s="414"/>
      <c r="ADQ280" s="445"/>
      <c r="ADR280" s="414"/>
      <c r="ADU280" s="445"/>
      <c r="ADV280" s="414"/>
      <c r="ADY280" s="445"/>
      <c r="ADZ280" s="414"/>
      <c r="AEC280" s="445"/>
      <c r="AED280" s="414"/>
      <c r="AEG280" s="445"/>
      <c r="AEH280" s="414"/>
      <c r="AEK280" s="445"/>
      <c r="AEL280" s="414"/>
      <c r="AEO280" s="445"/>
      <c r="AEP280" s="414"/>
      <c r="AES280" s="445"/>
      <c r="AET280" s="414"/>
      <c r="AEW280" s="445"/>
      <c r="AEX280" s="414"/>
      <c r="AFA280" s="445"/>
      <c r="AFB280" s="414"/>
      <c r="AFE280" s="445"/>
      <c r="AFF280" s="414"/>
      <c r="AFI280" s="445"/>
      <c r="AFJ280" s="414"/>
      <c r="AFM280" s="445"/>
      <c r="AFN280" s="414"/>
      <c r="AFQ280" s="445"/>
      <c r="AFR280" s="414"/>
      <c r="AFU280" s="445"/>
      <c r="AFV280" s="414"/>
      <c r="AFY280" s="445"/>
      <c r="AFZ280" s="414"/>
      <c r="AGC280" s="445"/>
      <c r="AGD280" s="414"/>
      <c r="AGG280" s="445"/>
      <c r="AGH280" s="414"/>
      <c r="AGK280" s="445"/>
      <c r="AGL280" s="414"/>
      <c r="AGO280" s="445"/>
      <c r="AGP280" s="414"/>
      <c r="AGS280" s="445"/>
      <c r="AGT280" s="414"/>
      <c r="AGW280" s="445"/>
      <c r="AGX280" s="414"/>
      <c r="AHA280" s="445"/>
      <c r="AHB280" s="414"/>
      <c r="AHE280" s="445"/>
      <c r="AHF280" s="414"/>
      <c r="AHI280" s="445"/>
      <c r="AHJ280" s="414"/>
      <c r="AHM280" s="445"/>
      <c r="AHN280" s="414"/>
      <c r="AHQ280" s="445"/>
      <c r="AHR280" s="414"/>
      <c r="AHU280" s="445"/>
      <c r="AHV280" s="414"/>
      <c r="AHY280" s="445"/>
      <c r="AHZ280" s="414"/>
      <c r="AIC280" s="445"/>
      <c r="AID280" s="414"/>
      <c r="AIG280" s="445"/>
      <c r="AIH280" s="414"/>
      <c r="AIK280" s="445"/>
      <c r="AIL280" s="414"/>
      <c r="AIO280" s="445"/>
      <c r="AIP280" s="414"/>
      <c r="AIS280" s="445"/>
      <c r="AIT280" s="414"/>
      <c r="AIW280" s="445"/>
      <c r="AIX280" s="414"/>
      <c r="AJA280" s="445"/>
      <c r="AJB280" s="414"/>
      <c r="AJE280" s="445"/>
      <c r="AJF280" s="414"/>
      <c r="AJI280" s="445"/>
      <c r="AJJ280" s="414"/>
      <c r="AJM280" s="445"/>
      <c r="AJN280" s="414"/>
      <c r="AJQ280" s="445"/>
      <c r="AJR280" s="414"/>
      <c r="AJU280" s="445"/>
      <c r="AJV280" s="414"/>
      <c r="AJY280" s="445"/>
      <c r="AJZ280" s="414"/>
      <c r="AKC280" s="445"/>
      <c r="AKD280" s="414"/>
      <c r="AKG280" s="445"/>
      <c r="AKH280" s="414"/>
      <c r="AKK280" s="445"/>
      <c r="AKL280" s="414"/>
      <c r="AKO280" s="445"/>
      <c r="AKP280" s="414"/>
      <c r="AKS280" s="445"/>
      <c r="AKT280" s="414"/>
      <c r="AKW280" s="445"/>
      <c r="AKX280" s="414"/>
      <c r="ALA280" s="445"/>
      <c r="ALB280" s="414"/>
      <c r="ALE280" s="445"/>
      <c r="ALF280" s="414"/>
      <c r="ALI280" s="445"/>
      <c r="ALJ280" s="414"/>
      <c r="ALM280" s="445"/>
      <c r="ALN280" s="414"/>
      <c r="ALQ280" s="445"/>
      <c r="ALR280" s="414"/>
      <c r="ALU280" s="445"/>
      <c r="ALV280" s="414"/>
      <c r="ALY280" s="445"/>
      <c r="ALZ280" s="414"/>
      <c r="AMC280" s="445"/>
      <c r="AMD280" s="414"/>
      <c r="AMG280" s="445"/>
      <c r="AMH280" s="414"/>
      <c r="AMK280" s="445"/>
      <c r="AML280" s="414"/>
      <c r="AMO280" s="445"/>
      <c r="AMP280" s="414"/>
      <c r="AMS280" s="445"/>
      <c r="AMT280" s="414"/>
      <c r="AMW280" s="445"/>
      <c r="AMX280" s="414"/>
      <c r="ANA280" s="445"/>
      <c r="ANB280" s="414"/>
      <c r="ANE280" s="445"/>
      <c r="ANF280" s="414"/>
      <c r="ANI280" s="445"/>
      <c r="ANJ280" s="414"/>
      <c r="ANM280" s="445"/>
      <c r="ANN280" s="414"/>
      <c r="ANQ280" s="445"/>
      <c r="ANR280" s="414"/>
      <c r="ANU280" s="445"/>
      <c r="ANV280" s="414"/>
      <c r="ANY280" s="445"/>
      <c r="ANZ280" s="414"/>
      <c r="AOC280" s="445"/>
      <c r="AOD280" s="414"/>
      <c r="AOG280" s="445"/>
      <c r="AOH280" s="414"/>
      <c r="AOK280" s="445"/>
      <c r="AOL280" s="414"/>
      <c r="AOO280" s="445"/>
      <c r="AOP280" s="414"/>
      <c r="AOS280" s="445"/>
      <c r="AOT280" s="414"/>
      <c r="AOW280" s="445"/>
      <c r="AOX280" s="414"/>
      <c r="APA280" s="445"/>
      <c r="APB280" s="414"/>
      <c r="APE280" s="445"/>
      <c r="APF280" s="414"/>
      <c r="API280" s="445"/>
      <c r="APJ280" s="414"/>
      <c r="APM280" s="445"/>
      <c r="APN280" s="414"/>
      <c r="APQ280" s="445"/>
      <c r="APR280" s="414"/>
      <c r="APU280" s="445"/>
      <c r="APV280" s="414"/>
      <c r="APY280" s="445"/>
      <c r="APZ280" s="414"/>
      <c r="AQC280" s="445"/>
      <c r="AQD280" s="414"/>
      <c r="AQG280" s="445"/>
      <c r="AQH280" s="414"/>
      <c r="AQK280" s="445"/>
      <c r="AQL280" s="414"/>
      <c r="AQO280" s="445"/>
      <c r="AQP280" s="414"/>
      <c r="AQS280" s="445"/>
      <c r="AQT280" s="414"/>
      <c r="AQW280" s="445"/>
      <c r="AQX280" s="414"/>
      <c r="ARA280" s="445"/>
      <c r="ARB280" s="414"/>
      <c r="ARE280" s="445"/>
      <c r="ARF280" s="414"/>
      <c r="ARI280" s="445"/>
      <c r="ARJ280" s="414"/>
      <c r="ARM280" s="445"/>
      <c r="ARN280" s="414"/>
      <c r="ARQ280" s="445"/>
      <c r="ARR280" s="414"/>
      <c r="ARU280" s="445"/>
      <c r="ARV280" s="414"/>
      <c r="ARY280" s="445"/>
      <c r="ARZ280" s="414"/>
      <c r="ASC280" s="445"/>
      <c r="ASD280" s="414"/>
      <c r="ASG280" s="445"/>
      <c r="ASH280" s="414"/>
      <c r="ASK280" s="445"/>
      <c r="ASL280" s="414"/>
      <c r="ASO280" s="445"/>
      <c r="ASP280" s="414"/>
      <c r="ASS280" s="445"/>
      <c r="AST280" s="414"/>
      <c r="ASW280" s="445"/>
      <c r="ASX280" s="414"/>
      <c r="ATA280" s="445"/>
      <c r="ATB280" s="414"/>
      <c r="ATE280" s="445"/>
      <c r="ATF280" s="414"/>
      <c r="ATI280" s="445"/>
      <c r="ATJ280" s="414"/>
      <c r="ATM280" s="445"/>
      <c r="ATN280" s="414"/>
      <c r="ATQ280" s="445"/>
      <c r="ATR280" s="414"/>
      <c r="ATU280" s="445"/>
      <c r="ATV280" s="414"/>
      <c r="ATY280" s="445"/>
      <c r="ATZ280" s="414"/>
      <c r="AUC280" s="445"/>
      <c r="AUD280" s="414"/>
      <c r="AUG280" s="445"/>
      <c r="AUH280" s="414"/>
      <c r="AUK280" s="445"/>
      <c r="AUL280" s="414"/>
      <c r="AUO280" s="445"/>
      <c r="AUP280" s="414"/>
      <c r="AUS280" s="445"/>
      <c r="AUT280" s="414"/>
      <c r="AUW280" s="445"/>
      <c r="AUX280" s="414"/>
      <c r="AVA280" s="445"/>
      <c r="AVB280" s="414"/>
      <c r="AVE280" s="445"/>
      <c r="AVF280" s="414"/>
      <c r="AVI280" s="445"/>
      <c r="AVJ280" s="414"/>
      <c r="AVM280" s="445"/>
      <c r="AVN280" s="414"/>
      <c r="AVQ280" s="445"/>
      <c r="AVR280" s="414"/>
      <c r="AVU280" s="445"/>
      <c r="AVV280" s="414"/>
      <c r="AVY280" s="445"/>
      <c r="AVZ280" s="414"/>
      <c r="AWC280" s="445"/>
      <c r="AWD280" s="414"/>
      <c r="AWG280" s="445"/>
      <c r="AWH280" s="414"/>
      <c r="AWK280" s="445"/>
      <c r="AWL280" s="414"/>
      <c r="AWO280" s="445"/>
      <c r="AWP280" s="414"/>
      <c r="AWS280" s="445"/>
      <c r="AWT280" s="414"/>
      <c r="AWW280" s="445"/>
      <c r="AWX280" s="414"/>
      <c r="AXA280" s="445"/>
      <c r="AXB280" s="414"/>
      <c r="AXE280" s="445"/>
      <c r="AXF280" s="414"/>
      <c r="AXI280" s="445"/>
      <c r="AXJ280" s="414"/>
      <c r="AXM280" s="445"/>
      <c r="AXN280" s="414"/>
      <c r="AXQ280" s="445"/>
      <c r="AXR280" s="414"/>
      <c r="AXU280" s="445"/>
      <c r="AXV280" s="414"/>
      <c r="AXY280" s="445"/>
      <c r="AXZ280" s="414"/>
      <c r="AYC280" s="445"/>
      <c r="AYD280" s="414"/>
      <c r="AYG280" s="445"/>
      <c r="AYH280" s="414"/>
      <c r="AYK280" s="445"/>
      <c r="AYL280" s="414"/>
      <c r="AYO280" s="445"/>
      <c r="AYP280" s="414"/>
      <c r="AYS280" s="445"/>
      <c r="AYT280" s="414"/>
      <c r="AYW280" s="445"/>
      <c r="AYX280" s="414"/>
      <c r="AZA280" s="445"/>
      <c r="AZB280" s="414"/>
      <c r="AZE280" s="445"/>
      <c r="AZF280" s="414"/>
      <c r="AZI280" s="445"/>
      <c r="AZJ280" s="414"/>
      <c r="AZM280" s="445"/>
      <c r="AZN280" s="414"/>
      <c r="AZQ280" s="445"/>
      <c r="AZR280" s="414"/>
      <c r="AZU280" s="445"/>
      <c r="AZV280" s="414"/>
      <c r="AZY280" s="445"/>
      <c r="AZZ280" s="414"/>
      <c r="BAC280" s="445"/>
      <c r="BAD280" s="414"/>
      <c r="BAG280" s="445"/>
      <c r="BAH280" s="414"/>
      <c r="BAK280" s="445"/>
      <c r="BAL280" s="414"/>
      <c r="BAO280" s="445"/>
      <c r="BAP280" s="414"/>
      <c r="BAS280" s="445"/>
      <c r="BAT280" s="414"/>
      <c r="BAW280" s="445"/>
      <c r="BAX280" s="414"/>
      <c r="BBA280" s="445"/>
      <c r="BBB280" s="414"/>
      <c r="BBE280" s="445"/>
      <c r="BBF280" s="414"/>
      <c r="BBI280" s="445"/>
      <c r="BBJ280" s="414"/>
      <c r="BBM280" s="445"/>
      <c r="BBN280" s="414"/>
      <c r="BBQ280" s="445"/>
      <c r="BBR280" s="414"/>
      <c r="BBU280" s="445"/>
      <c r="BBV280" s="414"/>
      <c r="BBY280" s="445"/>
      <c r="BBZ280" s="414"/>
      <c r="BCC280" s="445"/>
      <c r="BCD280" s="414"/>
      <c r="BCG280" s="445"/>
      <c r="BCH280" s="414"/>
      <c r="BCK280" s="445"/>
      <c r="BCL280" s="414"/>
      <c r="BCO280" s="445"/>
      <c r="BCP280" s="414"/>
      <c r="BCS280" s="445"/>
      <c r="BCT280" s="414"/>
      <c r="BCW280" s="445"/>
      <c r="BCX280" s="414"/>
      <c r="BDA280" s="445"/>
      <c r="BDB280" s="414"/>
      <c r="BDE280" s="445"/>
      <c r="BDF280" s="414"/>
      <c r="BDI280" s="445"/>
      <c r="BDJ280" s="414"/>
      <c r="BDM280" s="445"/>
      <c r="BDN280" s="414"/>
      <c r="BDQ280" s="445"/>
      <c r="BDR280" s="414"/>
      <c r="BDU280" s="445"/>
      <c r="BDV280" s="414"/>
      <c r="BDY280" s="445"/>
      <c r="BDZ280" s="414"/>
      <c r="BEC280" s="445"/>
      <c r="BED280" s="414"/>
      <c r="BEG280" s="445"/>
      <c r="BEH280" s="414"/>
      <c r="BEK280" s="445"/>
      <c r="BEL280" s="414"/>
      <c r="BEO280" s="445"/>
      <c r="BEP280" s="414"/>
      <c r="BES280" s="445"/>
      <c r="BET280" s="414"/>
      <c r="BEW280" s="445"/>
      <c r="BEX280" s="414"/>
      <c r="BFA280" s="445"/>
      <c r="BFB280" s="414"/>
      <c r="BFE280" s="445"/>
      <c r="BFF280" s="414"/>
      <c r="BFI280" s="445"/>
      <c r="BFJ280" s="414"/>
      <c r="BFM280" s="445"/>
      <c r="BFN280" s="414"/>
      <c r="BFQ280" s="445"/>
      <c r="BFR280" s="414"/>
      <c r="BFU280" s="445"/>
      <c r="BFV280" s="414"/>
      <c r="BFY280" s="445"/>
      <c r="BFZ280" s="414"/>
      <c r="BGC280" s="445"/>
      <c r="BGD280" s="414"/>
      <c r="BGG280" s="445"/>
      <c r="BGH280" s="414"/>
      <c r="BGK280" s="445"/>
      <c r="BGL280" s="414"/>
      <c r="BGO280" s="445"/>
      <c r="BGP280" s="414"/>
      <c r="BGS280" s="445"/>
      <c r="BGT280" s="414"/>
      <c r="BGW280" s="445"/>
      <c r="BGX280" s="414"/>
      <c r="BHA280" s="445"/>
      <c r="BHB280" s="414"/>
      <c r="BHE280" s="445"/>
      <c r="BHF280" s="414"/>
      <c r="BHI280" s="445"/>
      <c r="BHJ280" s="414"/>
      <c r="BHM280" s="445"/>
      <c r="BHN280" s="414"/>
      <c r="BHQ280" s="445"/>
      <c r="BHR280" s="414"/>
      <c r="BHU280" s="445"/>
      <c r="BHV280" s="414"/>
      <c r="BHY280" s="445"/>
      <c r="BHZ280" s="414"/>
      <c r="BIC280" s="445"/>
      <c r="BID280" s="414"/>
      <c r="BIG280" s="445"/>
      <c r="BIH280" s="414"/>
      <c r="BIK280" s="445"/>
      <c r="BIL280" s="414"/>
      <c r="BIO280" s="445"/>
      <c r="BIP280" s="414"/>
      <c r="BIS280" s="445"/>
      <c r="BIT280" s="414"/>
      <c r="BIW280" s="445"/>
      <c r="BIX280" s="414"/>
      <c r="BJA280" s="445"/>
      <c r="BJB280" s="414"/>
      <c r="BJE280" s="445"/>
      <c r="BJF280" s="414"/>
      <c r="BJI280" s="445"/>
      <c r="BJJ280" s="414"/>
      <c r="BJM280" s="445"/>
      <c r="BJN280" s="414"/>
      <c r="BJQ280" s="445"/>
      <c r="BJR280" s="414"/>
      <c r="BJU280" s="445"/>
      <c r="BJV280" s="414"/>
      <c r="BJY280" s="445"/>
      <c r="BJZ280" s="414"/>
      <c r="BKC280" s="445"/>
      <c r="BKD280" s="414"/>
      <c r="BKG280" s="445"/>
      <c r="BKH280" s="414"/>
      <c r="BKK280" s="445"/>
      <c r="BKL280" s="414"/>
      <c r="BKO280" s="445"/>
      <c r="BKP280" s="414"/>
      <c r="BKS280" s="445"/>
      <c r="BKT280" s="414"/>
      <c r="BKW280" s="445"/>
      <c r="BKX280" s="414"/>
      <c r="BLA280" s="445"/>
      <c r="BLB280" s="414"/>
      <c r="BLE280" s="445"/>
      <c r="BLF280" s="414"/>
      <c r="BLI280" s="445"/>
      <c r="BLJ280" s="414"/>
      <c r="BLM280" s="445"/>
      <c r="BLN280" s="414"/>
      <c r="BLQ280" s="445"/>
      <c r="BLR280" s="414"/>
      <c r="BLU280" s="445"/>
      <c r="BLV280" s="414"/>
      <c r="BLY280" s="445"/>
      <c r="BLZ280" s="414"/>
      <c r="BMC280" s="445"/>
      <c r="BMD280" s="414"/>
      <c r="BMG280" s="445"/>
      <c r="BMH280" s="414"/>
      <c r="BMK280" s="445"/>
      <c r="BML280" s="414"/>
      <c r="BMO280" s="445"/>
      <c r="BMP280" s="414"/>
      <c r="BMS280" s="445"/>
      <c r="BMT280" s="414"/>
      <c r="BMW280" s="445"/>
      <c r="BMX280" s="414"/>
      <c r="BNA280" s="445"/>
      <c r="BNB280" s="414"/>
      <c r="BNE280" s="445"/>
      <c r="BNF280" s="414"/>
      <c r="BNI280" s="445"/>
      <c r="BNJ280" s="414"/>
      <c r="BNM280" s="445"/>
      <c r="BNN280" s="414"/>
      <c r="BNQ280" s="445"/>
      <c r="BNR280" s="414"/>
      <c r="BNU280" s="445"/>
      <c r="BNV280" s="414"/>
      <c r="BNY280" s="445"/>
      <c r="BNZ280" s="414"/>
      <c r="BOC280" s="445"/>
      <c r="BOD280" s="414"/>
      <c r="BOG280" s="445"/>
      <c r="BOH280" s="414"/>
      <c r="BOK280" s="445"/>
      <c r="BOL280" s="414"/>
      <c r="BOO280" s="445"/>
      <c r="BOP280" s="414"/>
      <c r="BOS280" s="445"/>
      <c r="BOT280" s="414"/>
      <c r="BOW280" s="445"/>
      <c r="BOX280" s="414"/>
      <c r="BPA280" s="445"/>
      <c r="BPB280" s="414"/>
      <c r="BPE280" s="445"/>
      <c r="BPF280" s="414"/>
      <c r="BPI280" s="445"/>
      <c r="BPJ280" s="414"/>
      <c r="BPM280" s="445"/>
      <c r="BPN280" s="414"/>
      <c r="BPQ280" s="445"/>
      <c r="BPR280" s="414"/>
      <c r="BPU280" s="445"/>
      <c r="BPV280" s="414"/>
      <c r="BPY280" s="445"/>
      <c r="BPZ280" s="414"/>
      <c r="BQC280" s="445"/>
      <c r="BQD280" s="414"/>
      <c r="BQG280" s="445"/>
      <c r="BQH280" s="414"/>
      <c r="BQK280" s="445"/>
      <c r="BQL280" s="414"/>
      <c r="BQO280" s="445"/>
      <c r="BQP280" s="414"/>
      <c r="BQS280" s="445"/>
      <c r="BQT280" s="414"/>
      <c r="BQW280" s="445"/>
      <c r="BQX280" s="414"/>
      <c r="BRA280" s="445"/>
      <c r="BRB280" s="414"/>
      <c r="BRE280" s="445"/>
      <c r="BRF280" s="414"/>
      <c r="BRI280" s="445"/>
      <c r="BRJ280" s="414"/>
      <c r="BRM280" s="445"/>
      <c r="BRN280" s="414"/>
      <c r="BRQ280" s="445"/>
      <c r="BRR280" s="414"/>
      <c r="BRU280" s="445"/>
      <c r="BRV280" s="414"/>
      <c r="BRY280" s="445"/>
      <c r="BRZ280" s="414"/>
      <c r="BSC280" s="445"/>
      <c r="BSD280" s="414"/>
      <c r="BSG280" s="445"/>
      <c r="BSH280" s="414"/>
      <c r="BSK280" s="445"/>
      <c r="BSL280" s="414"/>
      <c r="BSO280" s="445"/>
      <c r="BSP280" s="414"/>
      <c r="BSS280" s="445"/>
      <c r="BST280" s="414"/>
      <c r="BSW280" s="445"/>
      <c r="BSX280" s="414"/>
      <c r="BTA280" s="445"/>
      <c r="BTB280" s="414"/>
      <c r="BTE280" s="445"/>
      <c r="BTF280" s="414"/>
      <c r="BTI280" s="445"/>
      <c r="BTJ280" s="414"/>
      <c r="BTM280" s="445"/>
      <c r="BTN280" s="414"/>
      <c r="BTQ280" s="445"/>
      <c r="BTR280" s="414"/>
      <c r="BTU280" s="445"/>
      <c r="BTV280" s="414"/>
      <c r="BTY280" s="445"/>
      <c r="BTZ280" s="414"/>
      <c r="BUC280" s="445"/>
      <c r="BUD280" s="414"/>
      <c r="BUG280" s="445"/>
      <c r="BUH280" s="414"/>
      <c r="BUK280" s="445"/>
      <c r="BUL280" s="414"/>
      <c r="BUO280" s="445"/>
      <c r="BUP280" s="414"/>
      <c r="BUS280" s="445"/>
      <c r="BUT280" s="414"/>
      <c r="BUW280" s="445"/>
      <c r="BUX280" s="414"/>
      <c r="BVA280" s="445"/>
      <c r="BVB280" s="414"/>
      <c r="BVE280" s="445"/>
      <c r="BVF280" s="414"/>
      <c r="BVI280" s="445"/>
      <c r="BVJ280" s="414"/>
      <c r="BVM280" s="445"/>
      <c r="BVN280" s="414"/>
      <c r="BVQ280" s="445"/>
      <c r="BVR280" s="414"/>
      <c r="BVU280" s="445"/>
      <c r="BVV280" s="414"/>
      <c r="BVY280" s="445"/>
      <c r="BVZ280" s="414"/>
      <c r="BWC280" s="445"/>
      <c r="BWD280" s="414"/>
      <c r="BWG280" s="445"/>
      <c r="BWH280" s="414"/>
      <c r="BWK280" s="445"/>
      <c r="BWL280" s="414"/>
      <c r="BWO280" s="445"/>
      <c r="BWP280" s="414"/>
      <c r="BWS280" s="445"/>
      <c r="BWT280" s="414"/>
      <c r="BWW280" s="445"/>
      <c r="BWX280" s="414"/>
      <c r="BXA280" s="445"/>
      <c r="BXB280" s="414"/>
      <c r="BXE280" s="445"/>
      <c r="BXF280" s="414"/>
      <c r="BXI280" s="445"/>
      <c r="BXJ280" s="414"/>
      <c r="BXM280" s="445"/>
      <c r="BXN280" s="414"/>
      <c r="BXQ280" s="445"/>
      <c r="BXR280" s="414"/>
      <c r="BXU280" s="445"/>
      <c r="BXV280" s="414"/>
      <c r="BXY280" s="445"/>
      <c r="BXZ280" s="414"/>
      <c r="BYC280" s="445"/>
      <c r="BYD280" s="414"/>
      <c r="BYG280" s="445"/>
      <c r="BYH280" s="414"/>
      <c r="BYK280" s="445"/>
      <c r="BYL280" s="414"/>
      <c r="BYO280" s="445"/>
      <c r="BYP280" s="414"/>
      <c r="BYS280" s="445"/>
      <c r="BYT280" s="414"/>
      <c r="BYW280" s="445"/>
      <c r="BYX280" s="414"/>
      <c r="BZA280" s="445"/>
      <c r="BZB280" s="414"/>
      <c r="BZE280" s="445"/>
      <c r="BZF280" s="414"/>
      <c r="BZI280" s="445"/>
      <c r="BZJ280" s="414"/>
      <c r="BZM280" s="445"/>
      <c r="BZN280" s="414"/>
      <c r="BZQ280" s="445"/>
      <c r="BZR280" s="414"/>
      <c r="BZU280" s="445"/>
      <c r="BZV280" s="414"/>
      <c r="BZY280" s="445"/>
      <c r="BZZ280" s="414"/>
      <c r="CAC280" s="445"/>
      <c r="CAD280" s="414"/>
      <c r="CAG280" s="445"/>
      <c r="CAH280" s="414"/>
      <c r="CAK280" s="445"/>
      <c r="CAL280" s="414"/>
      <c r="CAO280" s="445"/>
      <c r="CAP280" s="414"/>
      <c r="CAS280" s="445"/>
      <c r="CAT280" s="414"/>
      <c r="CAW280" s="445"/>
      <c r="CAX280" s="414"/>
      <c r="CBA280" s="445"/>
      <c r="CBB280" s="414"/>
      <c r="CBE280" s="445"/>
      <c r="CBF280" s="414"/>
      <c r="CBI280" s="445"/>
      <c r="CBJ280" s="414"/>
      <c r="CBM280" s="445"/>
      <c r="CBN280" s="414"/>
      <c r="CBQ280" s="445"/>
      <c r="CBR280" s="414"/>
      <c r="CBU280" s="445"/>
      <c r="CBV280" s="414"/>
      <c r="CBY280" s="445"/>
      <c r="CBZ280" s="414"/>
      <c r="CCC280" s="445"/>
      <c r="CCD280" s="414"/>
      <c r="CCG280" s="445"/>
      <c r="CCH280" s="414"/>
      <c r="CCK280" s="445"/>
      <c r="CCL280" s="414"/>
      <c r="CCO280" s="445"/>
      <c r="CCP280" s="414"/>
      <c r="CCS280" s="445"/>
      <c r="CCT280" s="414"/>
      <c r="CCW280" s="445"/>
      <c r="CCX280" s="414"/>
      <c r="CDA280" s="445"/>
      <c r="CDB280" s="414"/>
      <c r="CDE280" s="445"/>
      <c r="CDF280" s="414"/>
      <c r="CDI280" s="445"/>
      <c r="CDJ280" s="414"/>
      <c r="CDM280" s="445"/>
      <c r="CDN280" s="414"/>
      <c r="CDQ280" s="445"/>
      <c r="CDR280" s="414"/>
      <c r="CDU280" s="445"/>
      <c r="CDV280" s="414"/>
      <c r="CDY280" s="445"/>
      <c r="CDZ280" s="414"/>
      <c r="CEC280" s="445"/>
      <c r="CED280" s="414"/>
      <c r="CEG280" s="445"/>
      <c r="CEH280" s="414"/>
      <c r="CEK280" s="445"/>
      <c r="CEL280" s="414"/>
      <c r="CEO280" s="445"/>
      <c r="CEP280" s="414"/>
      <c r="CES280" s="445"/>
      <c r="CET280" s="414"/>
      <c r="CEW280" s="445"/>
      <c r="CEX280" s="414"/>
      <c r="CFA280" s="445"/>
      <c r="CFB280" s="414"/>
      <c r="CFE280" s="445"/>
      <c r="CFF280" s="414"/>
      <c r="CFI280" s="445"/>
      <c r="CFJ280" s="414"/>
      <c r="CFM280" s="445"/>
      <c r="CFN280" s="414"/>
      <c r="CFQ280" s="445"/>
      <c r="CFR280" s="414"/>
      <c r="CFU280" s="445"/>
      <c r="CFV280" s="414"/>
      <c r="CFY280" s="445"/>
      <c r="CFZ280" s="414"/>
      <c r="CGC280" s="445"/>
      <c r="CGD280" s="414"/>
      <c r="CGG280" s="445"/>
      <c r="CGH280" s="414"/>
      <c r="CGK280" s="445"/>
      <c r="CGL280" s="414"/>
      <c r="CGO280" s="445"/>
      <c r="CGP280" s="414"/>
      <c r="CGS280" s="445"/>
      <c r="CGT280" s="414"/>
      <c r="CGW280" s="445"/>
      <c r="CGX280" s="414"/>
      <c r="CHA280" s="445"/>
      <c r="CHB280" s="414"/>
      <c r="CHE280" s="445"/>
      <c r="CHF280" s="414"/>
      <c r="CHI280" s="445"/>
      <c r="CHJ280" s="414"/>
      <c r="CHM280" s="445"/>
      <c r="CHN280" s="414"/>
      <c r="CHQ280" s="445"/>
      <c r="CHR280" s="414"/>
      <c r="CHU280" s="445"/>
      <c r="CHV280" s="414"/>
      <c r="CHY280" s="445"/>
      <c r="CHZ280" s="414"/>
      <c r="CIC280" s="445"/>
      <c r="CID280" s="414"/>
      <c r="CIG280" s="445"/>
      <c r="CIH280" s="414"/>
      <c r="CIK280" s="445"/>
      <c r="CIL280" s="414"/>
      <c r="CIO280" s="445"/>
      <c r="CIP280" s="414"/>
      <c r="CIS280" s="445"/>
      <c r="CIT280" s="414"/>
      <c r="CIW280" s="445"/>
      <c r="CIX280" s="414"/>
      <c r="CJA280" s="445"/>
      <c r="CJB280" s="414"/>
      <c r="CJE280" s="445"/>
      <c r="CJF280" s="414"/>
      <c r="CJI280" s="445"/>
      <c r="CJJ280" s="414"/>
      <c r="CJM280" s="445"/>
      <c r="CJN280" s="414"/>
      <c r="CJQ280" s="445"/>
      <c r="CJR280" s="414"/>
      <c r="CJU280" s="445"/>
      <c r="CJV280" s="414"/>
      <c r="CJY280" s="445"/>
      <c r="CJZ280" s="414"/>
      <c r="CKC280" s="445"/>
      <c r="CKD280" s="414"/>
      <c r="CKG280" s="445"/>
      <c r="CKH280" s="414"/>
      <c r="CKK280" s="445"/>
      <c r="CKL280" s="414"/>
      <c r="CKO280" s="445"/>
      <c r="CKP280" s="414"/>
      <c r="CKS280" s="445"/>
      <c r="CKT280" s="414"/>
      <c r="CKW280" s="445"/>
      <c r="CKX280" s="414"/>
      <c r="CLA280" s="445"/>
      <c r="CLB280" s="414"/>
      <c r="CLE280" s="445"/>
      <c r="CLF280" s="414"/>
      <c r="CLI280" s="445"/>
      <c r="CLJ280" s="414"/>
      <c r="CLM280" s="445"/>
      <c r="CLN280" s="414"/>
      <c r="CLQ280" s="445"/>
      <c r="CLR280" s="414"/>
      <c r="CLU280" s="445"/>
      <c r="CLV280" s="414"/>
      <c r="CLY280" s="445"/>
      <c r="CLZ280" s="414"/>
      <c r="CMC280" s="445"/>
      <c r="CMD280" s="414"/>
      <c r="CMG280" s="445"/>
      <c r="CMH280" s="414"/>
      <c r="CMK280" s="445"/>
      <c r="CML280" s="414"/>
      <c r="CMO280" s="445"/>
      <c r="CMP280" s="414"/>
      <c r="CMS280" s="445"/>
      <c r="CMT280" s="414"/>
      <c r="CMW280" s="445"/>
      <c r="CMX280" s="414"/>
      <c r="CNA280" s="445"/>
      <c r="CNB280" s="414"/>
      <c r="CNE280" s="445"/>
      <c r="CNF280" s="414"/>
      <c r="CNI280" s="445"/>
      <c r="CNJ280" s="414"/>
      <c r="CNM280" s="445"/>
      <c r="CNN280" s="414"/>
      <c r="CNQ280" s="445"/>
      <c r="CNR280" s="414"/>
      <c r="CNU280" s="445"/>
      <c r="CNV280" s="414"/>
      <c r="CNY280" s="445"/>
      <c r="CNZ280" s="414"/>
      <c r="COC280" s="445"/>
      <c r="COD280" s="414"/>
      <c r="COG280" s="445"/>
      <c r="COH280" s="414"/>
      <c r="COK280" s="445"/>
      <c r="COL280" s="414"/>
      <c r="COO280" s="445"/>
      <c r="COP280" s="414"/>
      <c r="COS280" s="445"/>
      <c r="COT280" s="414"/>
      <c r="COW280" s="445"/>
      <c r="COX280" s="414"/>
      <c r="CPA280" s="445"/>
      <c r="CPB280" s="414"/>
      <c r="CPE280" s="445"/>
      <c r="CPF280" s="414"/>
      <c r="CPI280" s="445"/>
      <c r="CPJ280" s="414"/>
      <c r="CPM280" s="445"/>
      <c r="CPN280" s="414"/>
      <c r="CPQ280" s="445"/>
      <c r="CPR280" s="414"/>
      <c r="CPU280" s="445"/>
      <c r="CPV280" s="414"/>
      <c r="CPY280" s="445"/>
      <c r="CPZ280" s="414"/>
      <c r="CQC280" s="445"/>
      <c r="CQD280" s="414"/>
      <c r="CQG280" s="445"/>
      <c r="CQH280" s="414"/>
      <c r="CQK280" s="445"/>
      <c r="CQL280" s="414"/>
      <c r="CQO280" s="445"/>
      <c r="CQP280" s="414"/>
      <c r="CQS280" s="445"/>
      <c r="CQT280" s="414"/>
      <c r="CQW280" s="445"/>
      <c r="CQX280" s="414"/>
      <c r="CRA280" s="445"/>
      <c r="CRB280" s="414"/>
      <c r="CRE280" s="445"/>
      <c r="CRF280" s="414"/>
      <c r="CRI280" s="445"/>
      <c r="CRJ280" s="414"/>
      <c r="CRM280" s="445"/>
      <c r="CRN280" s="414"/>
      <c r="CRQ280" s="445"/>
      <c r="CRR280" s="414"/>
      <c r="CRU280" s="445"/>
      <c r="CRV280" s="414"/>
      <c r="CRY280" s="445"/>
      <c r="CRZ280" s="414"/>
      <c r="CSC280" s="445"/>
      <c r="CSD280" s="414"/>
      <c r="CSG280" s="445"/>
      <c r="CSH280" s="414"/>
      <c r="CSK280" s="445"/>
      <c r="CSL280" s="414"/>
      <c r="CSO280" s="445"/>
      <c r="CSP280" s="414"/>
      <c r="CSS280" s="445"/>
      <c r="CST280" s="414"/>
      <c r="CSW280" s="445"/>
      <c r="CSX280" s="414"/>
      <c r="CTA280" s="445"/>
      <c r="CTB280" s="414"/>
      <c r="CTE280" s="445"/>
      <c r="CTF280" s="414"/>
      <c r="CTI280" s="445"/>
      <c r="CTJ280" s="414"/>
      <c r="CTM280" s="445"/>
      <c r="CTN280" s="414"/>
      <c r="CTQ280" s="445"/>
      <c r="CTR280" s="414"/>
      <c r="CTU280" s="445"/>
      <c r="CTV280" s="414"/>
      <c r="CTY280" s="445"/>
      <c r="CTZ280" s="414"/>
      <c r="CUC280" s="445"/>
      <c r="CUD280" s="414"/>
      <c r="CUG280" s="445"/>
      <c r="CUH280" s="414"/>
      <c r="CUK280" s="445"/>
      <c r="CUL280" s="414"/>
      <c r="CUO280" s="445"/>
      <c r="CUP280" s="414"/>
      <c r="CUS280" s="445"/>
      <c r="CUT280" s="414"/>
      <c r="CUW280" s="445"/>
      <c r="CUX280" s="414"/>
      <c r="CVA280" s="445"/>
      <c r="CVB280" s="414"/>
      <c r="CVE280" s="445"/>
      <c r="CVF280" s="414"/>
      <c r="CVI280" s="445"/>
      <c r="CVJ280" s="414"/>
      <c r="CVM280" s="445"/>
      <c r="CVN280" s="414"/>
      <c r="CVQ280" s="445"/>
      <c r="CVR280" s="414"/>
      <c r="CVU280" s="445"/>
      <c r="CVV280" s="414"/>
      <c r="CVY280" s="445"/>
      <c r="CVZ280" s="414"/>
      <c r="CWC280" s="445"/>
      <c r="CWD280" s="414"/>
      <c r="CWG280" s="445"/>
      <c r="CWH280" s="414"/>
      <c r="CWK280" s="445"/>
      <c r="CWL280" s="414"/>
      <c r="CWO280" s="445"/>
      <c r="CWP280" s="414"/>
      <c r="CWS280" s="445"/>
      <c r="CWT280" s="414"/>
      <c r="CWW280" s="445"/>
      <c r="CWX280" s="414"/>
      <c r="CXA280" s="445"/>
      <c r="CXB280" s="414"/>
      <c r="CXE280" s="445"/>
      <c r="CXF280" s="414"/>
      <c r="CXI280" s="445"/>
      <c r="CXJ280" s="414"/>
      <c r="CXM280" s="445"/>
      <c r="CXN280" s="414"/>
      <c r="CXQ280" s="445"/>
      <c r="CXR280" s="414"/>
      <c r="CXU280" s="445"/>
      <c r="CXV280" s="414"/>
      <c r="CXY280" s="445"/>
      <c r="CXZ280" s="414"/>
      <c r="CYC280" s="445"/>
      <c r="CYD280" s="414"/>
      <c r="CYG280" s="445"/>
      <c r="CYH280" s="414"/>
      <c r="CYK280" s="445"/>
      <c r="CYL280" s="414"/>
      <c r="CYO280" s="445"/>
      <c r="CYP280" s="414"/>
      <c r="CYS280" s="445"/>
      <c r="CYT280" s="414"/>
      <c r="CYW280" s="445"/>
      <c r="CYX280" s="414"/>
      <c r="CZA280" s="445"/>
      <c r="CZB280" s="414"/>
      <c r="CZE280" s="445"/>
      <c r="CZF280" s="414"/>
      <c r="CZI280" s="445"/>
      <c r="CZJ280" s="414"/>
      <c r="CZM280" s="445"/>
      <c r="CZN280" s="414"/>
      <c r="CZQ280" s="445"/>
      <c r="CZR280" s="414"/>
      <c r="CZU280" s="445"/>
      <c r="CZV280" s="414"/>
      <c r="CZY280" s="445"/>
      <c r="CZZ280" s="414"/>
      <c r="DAC280" s="445"/>
      <c r="DAD280" s="414"/>
      <c r="DAG280" s="445"/>
      <c r="DAH280" s="414"/>
      <c r="DAK280" s="445"/>
      <c r="DAL280" s="414"/>
      <c r="DAO280" s="445"/>
      <c r="DAP280" s="414"/>
      <c r="DAS280" s="445"/>
      <c r="DAT280" s="414"/>
      <c r="DAW280" s="445"/>
      <c r="DAX280" s="414"/>
      <c r="DBA280" s="445"/>
      <c r="DBB280" s="414"/>
      <c r="DBE280" s="445"/>
      <c r="DBF280" s="414"/>
      <c r="DBI280" s="445"/>
      <c r="DBJ280" s="414"/>
      <c r="DBM280" s="445"/>
      <c r="DBN280" s="414"/>
      <c r="DBQ280" s="445"/>
      <c r="DBR280" s="414"/>
      <c r="DBU280" s="445"/>
      <c r="DBV280" s="414"/>
      <c r="DBY280" s="445"/>
      <c r="DBZ280" s="414"/>
      <c r="DCC280" s="445"/>
      <c r="DCD280" s="414"/>
      <c r="DCG280" s="445"/>
      <c r="DCH280" s="414"/>
      <c r="DCK280" s="445"/>
      <c r="DCL280" s="414"/>
      <c r="DCO280" s="445"/>
      <c r="DCP280" s="414"/>
      <c r="DCS280" s="445"/>
      <c r="DCT280" s="414"/>
      <c r="DCW280" s="445"/>
      <c r="DCX280" s="414"/>
      <c r="DDA280" s="445"/>
      <c r="DDB280" s="414"/>
      <c r="DDE280" s="445"/>
      <c r="DDF280" s="414"/>
      <c r="DDI280" s="445"/>
      <c r="DDJ280" s="414"/>
      <c r="DDM280" s="445"/>
      <c r="DDN280" s="414"/>
      <c r="DDQ280" s="445"/>
      <c r="DDR280" s="414"/>
      <c r="DDU280" s="445"/>
      <c r="DDV280" s="414"/>
      <c r="DDY280" s="445"/>
      <c r="DDZ280" s="414"/>
      <c r="DEC280" s="445"/>
      <c r="DED280" s="414"/>
      <c r="DEG280" s="445"/>
      <c r="DEH280" s="414"/>
      <c r="DEK280" s="445"/>
      <c r="DEL280" s="414"/>
      <c r="DEO280" s="445"/>
      <c r="DEP280" s="414"/>
      <c r="DES280" s="445"/>
      <c r="DET280" s="414"/>
      <c r="DEW280" s="445"/>
      <c r="DEX280" s="414"/>
      <c r="DFA280" s="445"/>
      <c r="DFB280" s="414"/>
      <c r="DFE280" s="445"/>
      <c r="DFF280" s="414"/>
      <c r="DFI280" s="445"/>
      <c r="DFJ280" s="414"/>
      <c r="DFM280" s="445"/>
      <c r="DFN280" s="414"/>
      <c r="DFQ280" s="445"/>
      <c r="DFR280" s="414"/>
      <c r="DFU280" s="445"/>
      <c r="DFV280" s="414"/>
      <c r="DFY280" s="445"/>
      <c r="DFZ280" s="414"/>
      <c r="DGC280" s="445"/>
      <c r="DGD280" s="414"/>
      <c r="DGG280" s="445"/>
      <c r="DGH280" s="414"/>
      <c r="DGK280" s="445"/>
      <c r="DGL280" s="414"/>
      <c r="DGO280" s="445"/>
      <c r="DGP280" s="414"/>
      <c r="DGS280" s="445"/>
      <c r="DGT280" s="414"/>
      <c r="DGW280" s="445"/>
      <c r="DGX280" s="414"/>
      <c r="DHA280" s="445"/>
      <c r="DHB280" s="414"/>
      <c r="DHE280" s="445"/>
      <c r="DHF280" s="414"/>
      <c r="DHI280" s="445"/>
      <c r="DHJ280" s="414"/>
      <c r="DHM280" s="445"/>
      <c r="DHN280" s="414"/>
      <c r="DHQ280" s="445"/>
      <c r="DHR280" s="414"/>
      <c r="DHU280" s="445"/>
      <c r="DHV280" s="414"/>
      <c r="DHY280" s="445"/>
      <c r="DHZ280" s="414"/>
      <c r="DIC280" s="445"/>
      <c r="DID280" s="414"/>
      <c r="DIG280" s="445"/>
      <c r="DIH280" s="414"/>
      <c r="DIK280" s="445"/>
      <c r="DIL280" s="414"/>
      <c r="DIO280" s="445"/>
      <c r="DIP280" s="414"/>
      <c r="DIS280" s="445"/>
      <c r="DIT280" s="414"/>
      <c r="DIW280" s="445"/>
      <c r="DIX280" s="414"/>
      <c r="DJA280" s="445"/>
      <c r="DJB280" s="414"/>
      <c r="DJE280" s="445"/>
      <c r="DJF280" s="414"/>
      <c r="DJI280" s="445"/>
      <c r="DJJ280" s="414"/>
      <c r="DJM280" s="445"/>
      <c r="DJN280" s="414"/>
      <c r="DJQ280" s="445"/>
      <c r="DJR280" s="414"/>
      <c r="DJU280" s="445"/>
      <c r="DJV280" s="414"/>
      <c r="DJY280" s="445"/>
      <c r="DJZ280" s="414"/>
      <c r="DKC280" s="445"/>
      <c r="DKD280" s="414"/>
      <c r="DKG280" s="445"/>
      <c r="DKH280" s="414"/>
      <c r="DKK280" s="445"/>
      <c r="DKL280" s="414"/>
      <c r="DKO280" s="445"/>
      <c r="DKP280" s="414"/>
      <c r="DKS280" s="445"/>
      <c r="DKT280" s="414"/>
      <c r="DKW280" s="445"/>
      <c r="DKX280" s="414"/>
      <c r="DLA280" s="445"/>
      <c r="DLB280" s="414"/>
      <c r="DLE280" s="445"/>
      <c r="DLF280" s="414"/>
      <c r="DLI280" s="445"/>
      <c r="DLJ280" s="414"/>
      <c r="DLM280" s="445"/>
      <c r="DLN280" s="414"/>
      <c r="DLQ280" s="445"/>
      <c r="DLR280" s="414"/>
      <c r="DLU280" s="445"/>
      <c r="DLV280" s="414"/>
      <c r="DLY280" s="445"/>
      <c r="DLZ280" s="414"/>
      <c r="DMC280" s="445"/>
      <c r="DMD280" s="414"/>
      <c r="DMG280" s="445"/>
      <c r="DMH280" s="414"/>
      <c r="DMK280" s="445"/>
      <c r="DML280" s="414"/>
      <c r="DMO280" s="445"/>
      <c r="DMP280" s="414"/>
      <c r="DMS280" s="445"/>
      <c r="DMT280" s="414"/>
      <c r="DMW280" s="445"/>
      <c r="DMX280" s="414"/>
      <c r="DNA280" s="445"/>
      <c r="DNB280" s="414"/>
      <c r="DNE280" s="445"/>
      <c r="DNF280" s="414"/>
      <c r="DNI280" s="445"/>
      <c r="DNJ280" s="414"/>
      <c r="DNM280" s="445"/>
      <c r="DNN280" s="414"/>
      <c r="DNQ280" s="445"/>
      <c r="DNR280" s="414"/>
      <c r="DNU280" s="445"/>
      <c r="DNV280" s="414"/>
      <c r="DNY280" s="445"/>
      <c r="DNZ280" s="414"/>
      <c r="DOC280" s="445"/>
      <c r="DOD280" s="414"/>
      <c r="DOG280" s="445"/>
      <c r="DOH280" s="414"/>
      <c r="DOK280" s="445"/>
      <c r="DOL280" s="414"/>
      <c r="DOO280" s="445"/>
      <c r="DOP280" s="414"/>
      <c r="DOS280" s="445"/>
      <c r="DOT280" s="414"/>
      <c r="DOW280" s="445"/>
      <c r="DOX280" s="414"/>
      <c r="DPA280" s="445"/>
      <c r="DPB280" s="414"/>
      <c r="DPE280" s="445"/>
      <c r="DPF280" s="414"/>
      <c r="DPI280" s="445"/>
      <c r="DPJ280" s="414"/>
      <c r="DPM280" s="445"/>
      <c r="DPN280" s="414"/>
      <c r="DPQ280" s="445"/>
      <c r="DPR280" s="414"/>
      <c r="DPU280" s="445"/>
      <c r="DPV280" s="414"/>
      <c r="DPY280" s="445"/>
      <c r="DPZ280" s="414"/>
      <c r="DQC280" s="445"/>
      <c r="DQD280" s="414"/>
      <c r="DQG280" s="445"/>
      <c r="DQH280" s="414"/>
      <c r="DQK280" s="445"/>
      <c r="DQL280" s="414"/>
      <c r="DQO280" s="445"/>
      <c r="DQP280" s="414"/>
      <c r="DQS280" s="445"/>
      <c r="DQT280" s="414"/>
      <c r="DQW280" s="445"/>
      <c r="DQX280" s="414"/>
      <c r="DRA280" s="445"/>
      <c r="DRB280" s="414"/>
      <c r="DRE280" s="445"/>
      <c r="DRF280" s="414"/>
      <c r="DRI280" s="445"/>
      <c r="DRJ280" s="414"/>
      <c r="DRM280" s="445"/>
      <c r="DRN280" s="414"/>
      <c r="DRQ280" s="445"/>
      <c r="DRR280" s="414"/>
      <c r="DRU280" s="445"/>
      <c r="DRV280" s="414"/>
      <c r="DRY280" s="445"/>
      <c r="DRZ280" s="414"/>
      <c r="DSC280" s="445"/>
      <c r="DSD280" s="414"/>
      <c r="DSG280" s="445"/>
      <c r="DSH280" s="414"/>
      <c r="DSK280" s="445"/>
      <c r="DSL280" s="414"/>
      <c r="DSO280" s="445"/>
      <c r="DSP280" s="414"/>
      <c r="DSS280" s="445"/>
      <c r="DST280" s="414"/>
      <c r="DSW280" s="445"/>
      <c r="DSX280" s="414"/>
      <c r="DTA280" s="445"/>
      <c r="DTB280" s="414"/>
      <c r="DTE280" s="445"/>
      <c r="DTF280" s="414"/>
      <c r="DTI280" s="445"/>
      <c r="DTJ280" s="414"/>
      <c r="DTM280" s="445"/>
      <c r="DTN280" s="414"/>
      <c r="DTQ280" s="445"/>
      <c r="DTR280" s="414"/>
      <c r="DTU280" s="445"/>
      <c r="DTV280" s="414"/>
      <c r="DTY280" s="445"/>
      <c r="DTZ280" s="414"/>
      <c r="DUC280" s="445"/>
      <c r="DUD280" s="414"/>
      <c r="DUG280" s="445"/>
      <c r="DUH280" s="414"/>
      <c r="DUK280" s="445"/>
      <c r="DUL280" s="414"/>
      <c r="DUO280" s="445"/>
      <c r="DUP280" s="414"/>
      <c r="DUS280" s="445"/>
      <c r="DUT280" s="414"/>
      <c r="DUW280" s="445"/>
      <c r="DUX280" s="414"/>
      <c r="DVA280" s="445"/>
      <c r="DVB280" s="414"/>
      <c r="DVE280" s="445"/>
      <c r="DVF280" s="414"/>
      <c r="DVI280" s="445"/>
      <c r="DVJ280" s="414"/>
      <c r="DVM280" s="445"/>
      <c r="DVN280" s="414"/>
      <c r="DVQ280" s="445"/>
      <c r="DVR280" s="414"/>
      <c r="DVU280" s="445"/>
      <c r="DVV280" s="414"/>
      <c r="DVY280" s="445"/>
      <c r="DVZ280" s="414"/>
      <c r="DWC280" s="445"/>
      <c r="DWD280" s="414"/>
      <c r="DWG280" s="445"/>
      <c r="DWH280" s="414"/>
      <c r="DWK280" s="445"/>
      <c r="DWL280" s="414"/>
      <c r="DWO280" s="445"/>
      <c r="DWP280" s="414"/>
      <c r="DWS280" s="445"/>
      <c r="DWT280" s="414"/>
      <c r="DWW280" s="445"/>
      <c r="DWX280" s="414"/>
      <c r="DXA280" s="445"/>
      <c r="DXB280" s="414"/>
      <c r="DXE280" s="445"/>
      <c r="DXF280" s="414"/>
      <c r="DXI280" s="445"/>
      <c r="DXJ280" s="414"/>
      <c r="DXM280" s="445"/>
      <c r="DXN280" s="414"/>
      <c r="DXQ280" s="445"/>
      <c r="DXR280" s="414"/>
      <c r="DXU280" s="445"/>
      <c r="DXV280" s="414"/>
      <c r="DXY280" s="445"/>
      <c r="DXZ280" s="414"/>
      <c r="DYC280" s="445"/>
      <c r="DYD280" s="414"/>
      <c r="DYG280" s="445"/>
      <c r="DYH280" s="414"/>
      <c r="DYK280" s="445"/>
      <c r="DYL280" s="414"/>
      <c r="DYO280" s="445"/>
      <c r="DYP280" s="414"/>
      <c r="DYS280" s="445"/>
      <c r="DYT280" s="414"/>
      <c r="DYW280" s="445"/>
      <c r="DYX280" s="414"/>
      <c r="DZA280" s="445"/>
      <c r="DZB280" s="414"/>
      <c r="DZE280" s="445"/>
      <c r="DZF280" s="414"/>
      <c r="DZI280" s="445"/>
      <c r="DZJ280" s="414"/>
      <c r="DZM280" s="445"/>
      <c r="DZN280" s="414"/>
      <c r="DZQ280" s="445"/>
      <c r="DZR280" s="414"/>
      <c r="DZU280" s="445"/>
      <c r="DZV280" s="414"/>
      <c r="DZY280" s="445"/>
      <c r="DZZ280" s="414"/>
      <c r="EAC280" s="445"/>
      <c r="EAD280" s="414"/>
      <c r="EAG280" s="445"/>
      <c r="EAH280" s="414"/>
      <c r="EAK280" s="445"/>
      <c r="EAL280" s="414"/>
      <c r="EAO280" s="445"/>
      <c r="EAP280" s="414"/>
      <c r="EAS280" s="445"/>
      <c r="EAT280" s="414"/>
      <c r="EAW280" s="445"/>
      <c r="EAX280" s="414"/>
      <c r="EBA280" s="445"/>
      <c r="EBB280" s="414"/>
      <c r="EBE280" s="445"/>
      <c r="EBF280" s="414"/>
      <c r="EBI280" s="445"/>
      <c r="EBJ280" s="414"/>
      <c r="EBM280" s="445"/>
      <c r="EBN280" s="414"/>
      <c r="EBQ280" s="445"/>
      <c r="EBR280" s="414"/>
      <c r="EBU280" s="445"/>
      <c r="EBV280" s="414"/>
      <c r="EBY280" s="445"/>
      <c r="EBZ280" s="414"/>
      <c r="ECC280" s="445"/>
      <c r="ECD280" s="414"/>
      <c r="ECG280" s="445"/>
      <c r="ECH280" s="414"/>
      <c r="ECK280" s="445"/>
      <c r="ECL280" s="414"/>
      <c r="ECO280" s="445"/>
      <c r="ECP280" s="414"/>
      <c r="ECS280" s="445"/>
      <c r="ECT280" s="414"/>
      <c r="ECW280" s="445"/>
      <c r="ECX280" s="414"/>
      <c r="EDA280" s="445"/>
      <c r="EDB280" s="414"/>
      <c r="EDE280" s="445"/>
      <c r="EDF280" s="414"/>
      <c r="EDI280" s="445"/>
      <c r="EDJ280" s="414"/>
      <c r="EDM280" s="445"/>
      <c r="EDN280" s="414"/>
      <c r="EDQ280" s="445"/>
      <c r="EDR280" s="414"/>
      <c r="EDU280" s="445"/>
      <c r="EDV280" s="414"/>
      <c r="EDY280" s="445"/>
      <c r="EDZ280" s="414"/>
      <c r="EEC280" s="445"/>
      <c r="EED280" s="414"/>
      <c r="EEG280" s="445"/>
      <c r="EEH280" s="414"/>
      <c r="EEK280" s="445"/>
      <c r="EEL280" s="414"/>
      <c r="EEO280" s="445"/>
      <c r="EEP280" s="414"/>
      <c r="EES280" s="445"/>
      <c r="EET280" s="414"/>
      <c r="EEW280" s="445"/>
      <c r="EEX280" s="414"/>
      <c r="EFA280" s="445"/>
      <c r="EFB280" s="414"/>
      <c r="EFE280" s="445"/>
      <c r="EFF280" s="414"/>
      <c r="EFI280" s="445"/>
      <c r="EFJ280" s="414"/>
      <c r="EFM280" s="445"/>
      <c r="EFN280" s="414"/>
      <c r="EFQ280" s="445"/>
      <c r="EFR280" s="414"/>
      <c r="EFU280" s="445"/>
      <c r="EFV280" s="414"/>
      <c r="EFY280" s="445"/>
      <c r="EFZ280" s="414"/>
      <c r="EGC280" s="445"/>
      <c r="EGD280" s="414"/>
      <c r="EGG280" s="445"/>
      <c r="EGH280" s="414"/>
      <c r="EGK280" s="445"/>
      <c r="EGL280" s="414"/>
      <c r="EGO280" s="445"/>
      <c r="EGP280" s="414"/>
      <c r="EGS280" s="445"/>
      <c r="EGT280" s="414"/>
      <c r="EGW280" s="445"/>
      <c r="EGX280" s="414"/>
      <c r="EHA280" s="445"/>
      <c r="EHB280" s="414"/>
      <c r="EHE280" s="445"/>
      <c r="EHF280" s="414"/>
      <c r="EHI280" s="445"/>
      <c r="EHJ280" s="414"/>
      <c r="EHM280" s="445"/>
      <c r="EHN280" s="414"/>
      <c r="EHQ280" s="445"/>
      <c r="EHR280" s="414"/>
      <c r="EHU280" s="445"/>
      <c r="EHV280" s="414"/>
      <c r="EHY280" s="445"/>
      <c r="EHZ280" s="414"/>
      <c r="EIC280" s="445"/>
      <c r="EID280" s="414"/>
      <c r="EIG280" s="445"/>
      <c r="EIH280" s="414"/>
      <c r="EIK280" s="445"/>
      <c r="EIL280" s="414"/>
      <c r="EIO280" s="445"/>
      <c r="EIP280" s="414"/>
      <c r="EIS280" s="445"/>
      <c r="EIT280" s="414"/>
      <c r="EIW280" s="445"/>
      <c r="EIX280" s="414"/>
      <c r="EJA280" s="445"/>
      <c r="EJB280" s="414"/>
      <c r="EJE280" s="445"/>
      <c r="EJF280" s="414"/>
      <c r="EJI280" s="445"/>
      <c r="EJJ280" s="414"/>
      <c r="EJM280" s="445"/>
      <c r="EJN280" s="414"/>
      <c r="EJQ280" s="445"/>
      <c r="EJR280" s="414"/>
      <c r="EJU280" s="445"/>
      <c r="EJV280" s="414"/>
      <c r="EJY280" s="445"/>
      <c r="EJZ280" s="414"/>
      <c r="EKC280" s="445"/>
      <c r="EKD280" s="414"/>
      <c r="EKG280" s="445"/>
      <c r="EKH280" s="414"/>
      <c r="EKK280" s="445"/>
      <c r="EKL280" s="414"/>
      <c r="EKO280" s="445"/>
      <c r="EKP280" s="414"/>
      <c r="EKS280" s="445"/>
      <c r="EKT280" s="414"/>
      <c r="EKW280" s="445"/>
      <c r="EKX280" s="414"/>
      <c r="ELA280" s="445"/>
      <c r="ELB280" s="414"/>
      <c r="ELE280" s="445"/>
      <c r="ELF280" s="414"/>
      <c r="ELI280" s="445"/>
      <c r="ELJ280" s="414"/>
      <c r="ELM280" s="445"/>
      <c r="ELN280" s="414"/>
      <c r="ELQ280" s="445"/>
      <c r="ELR280" s="414"/>
      <c r="ELU280" s="445"/>
      <c r="ELV280" s="414"/>
      <c r="ELY280" s="445"/>
      <c r="ELZ280" s="414"/>
      <c r="EMC280" s="445"/>
      <c r="EMD280" s="414"/>
      <c r="EMG280" s="445"/>
      <c r="EMH280" s="414"/>
      <c r="EMK280" s="445"/>
      <c r="EML280" s="414"/>
      <c r="EMO280" s="445"/>
      <c r="EMP280" s="414"/>
      <c r="EMS280" s="445"/>
      <c r="EMT280" s="414"/>
      <c r="EMW280" s="445"/>
      <c r="EMX280" s="414"/>
      <c r="ENA280" s="445"/>
      <c r="ENB280" s="414"/>
      <c r="ENE280" s="445"/>
      <c r="ENF280" s="414"/>
      <c r="ENI280" s="445"/>
      <c r="ENJ280" s="414"/>
      <c r="ENM280" s="445"/>
      <c r="ENN280" s="414"/>
      <c r="ENQ280" s="445"/>
      <c r="ENR280" s="414"/>
      <c r="ENU280" s="445"/>
      <c r="ENV280" s="414"/>
      <c r="ENY280" s="445"/>
      <c r="ENZ280" s="414"/>
      <c r="EOC280" s="445"/>
      <c r="EOD280" s="414"/>
      <c r="EOG280" s="445"/>
      <c r="EOH280" s="414"/>
      <c r="EOK280" s="445"/>
      <c r="EOL280" s="414"/>
      <c r="EOO280" s="445"/>
      <c r="EOP280" s="414"/>
      <c r="EOS280" s="445"/>
      <c r="EOT280" s="414"/>
      <c r="EOW280" s="445"/>
      <c r="EOX280" s="414"/>
      <c r="EPA280" s="445"/>
      <c r="EPB280" s="414"/>
      <c r="EPE280" s="445"/>
      <c r="EPF280" s="414"/>
      <c r="EPI280" s="445"/>
      <c r="EPJ280" s="414"/>
      <c r="EPM280" s="445"/>
      <c r="EPN280" s="414"/>
      <c r="EPQ280" s="445"/>
      <c r="EPR280" s="414"/>
      <c r="EPU280" s="445"/>
      <c r="EPV280" s="414"/>
      <c r="EPY280" s="445"/>
      <c r="EPZ280" s="414"/>
      <c r="EQC280" s="445"/>
      <c r="EQD280" s="414"/>
      <c r="EQG280" s="445"/>
      <c r="EQH280" s="414"/>
      <c r="EQK280" s="445"/>
      <c r="EQL280" s="414"/>
      <c r="EQO280" s="445"/>
      <c r="EQP280" s="414"/>
      <c r="EQS280" s="445"/>
      <c r="EQT280" s="414"/>
      <c r="EQW280" s="445"/>
      <c r="EQX280" s="414"/>
      <c r="ERA280" s="445"/>
      <c r="ERB280" s="414"/>
      <c r="ERE280" s="445"/>
      <c r="ERF280" s="414"/>
      <c r="ERI280" s="445"/>
      <c r="ERJ280" s="414"/>
      <c r="ERM280" s="445"/>
      <c r="ERN280" s="414"/>
      <c r="ERQ280" s="445"/>
      <c r="ERR280" s="414"/>
      <c r="ERU280" s="445"/>
      <c r="ERV280" s="414"/>
      <c r="ERY280" s="445"/>
      <c r="ERZ280" s="414"/>
      <c r="ESC280" s="445"/>
      <c r="ESD280" s="414"/>
      <c r="ESG280" s="445"/>
      <c r="ESH280" s="414"/>
      <c r="ESK280" s="445"/>
      <c r="ESL280" s="414"/>
      <c r="ESO280" s="445"/>
      <c r="ESP280" s="414"/>
      <c r="ESS280" s="445"/>
      <c r="EST280" s="414"/>
      <c r="ESW280" s="445"/>
      <c r="ESX280" s="414"/>
      <c r="ETA280" s="445"/>
      <c r="ETB280" s="414"/>
      <c r="ETE280" s="445"/>
      <c r="ETF280" s="414"/>
      <c r="ETI280" s="445"/>
      <c r="ETJ280" s="414"/>
      <c r="ETM280" s="445"/>
      <c r="ETN280" s="414"/>
      <c r="ETQ280" s="445"/>
      <c r="ETR280" s="414"/>
      <c r="ETU280" s="445"/>
      <c r="ETV280" s="414"/>
      <c r="ETY280" s="445"/>
      <c r="ETZ280" s="414"/>
      <c r="EUC280" s="445"/>
      <c r="EUD280" s="414"/>
      <c r="EUG280" s="445"/>
      <c r="EUH280" s="414"/>
      <c r="EUK280" s="445"/>
      <c r="EUL280" s="414"/>
      <c r="EUO280" s="445"/>
      <c r="EUP280" s="414"/>
      <c r="EUS280" s="445"/>
      <c r="EUT280" s="414"/>
      <c r="EUW280" s="445"/>
      <c r="EUX280" s="414"/>
      <c r="EVA280" s="445"/>
      <c r="EVB280" s="414"/>
      <c r="EVE280" s="445"/>
      <c r="EVF280" s="414"/>
      <c r="EVI280" s="445"/>
      <c r="EVJ280" s="414"/>
      <c r="EVM280" s="445"/>
      <c r="EVN280" s="414"/>
      <c r="EVQ280" s="445"/>
      <c r="EVR280" s="414"/>
      <c r="EVU280" s="445"/>
      <c r="EVV280" s="414"/>
      <c r="EVY280" s="445"/>
      <c r="EVZ280" s="414"/>
      <c r="EWC280" s="445"/>
      <c r="EWD280" s="414"/>
      <c r="EWG280" s="445"/>
      <c r="EWH280" s="414"/>
      <c r="EWK280" s="445"/>
      <c r="EWL280" s="414"/>
      <c r="EWO280" s="445"/>
      <c r="EWP280" s="414"/>
      <c r="EWS280" s="445"/>
      <c r="EWT280" s="414"/>
      <c r="EWW280" s="445"/>
      <c r="EWX280" s="414"/>
      <c r="EXA280" s="445"/>
      <c r="EXB280" s="414"/>
      <c r="EXE280" s="445"/>
      <c r="EXF280" s="414"/>
      <c r="EXI280" s="445"/>
      <c r="EXJ280" s="414"/>
      <c r="EXM280" s="445"/>
      <c r="EXN280" s="414"/>
      <c r="EXQ280" s="445"/>
      <c r="EXR280" s="414"/>
      <c r="EXU280" s="445"/>
      <c r="EXV280" s="414"/>
      <c r="EXY280" s="445"/>
      <c r="EXZ280" s="414"/>
      <c r="EYC280" s="445"/>
      <c r="EYD280" s="414"/>
      <c r="EYG280" s="445"/>
      <c r="EYH280" s="414"/>
      <c r="EYK280" s="445"/>
      <c r="EYL280" s="414"/>
      <c r="EYO280" s="445"/>
      <c r="EYP280" s="414"/>
      <c r="EYS280" s="445"/>
      <c r="EYT280" s="414"/>
      <c r="EYW280" s="445"/>
      <c r="EYX280" s="414"/>
      <c r="EZA280" s="445"/>
      <c r="EZB280" s="414"/>
      <c r="EZE280" s="445"/>
      <c r="EZF280" s="414"/>
      <c r="EZI280" s="445"/>
      <c r="EZJ280" s="414"/>
      <c r="EZM280" s="445"/>
      <c r="EZN280" s="414"/>
      <c r="EZQ280" s="445"/>
      <c r="EZR280" s="414"/>
      <c r="EZU280" s="445"/>
      <c r="EZV280" s="414"/>
      <c r="EZY280" s="445"/>
      <c r="EZZ280" s="414"/>
      <c r="FAC280" s="445"/>
      <c r="FAD280" s="414"/>
      <c r="FAG280" s="445"/>
      <c r="FAH280" s="414"/>
      <c r="FAK280" s="445"/>
      <c r="FAL280" s="414"/>
      <c r="FAO280" s="445"/>
      <c r="FAP280" s="414"/>
      <c r="FAS280" s="445"/>
      <c r="FAT280" s="414"/>
      <c r="FAW280" s="445"/>
      <c r="FAX280" s="414"/>
      <c r="FBA280" s="445"/>
      <c r="FBB280" s="414"/>
      <c r="FBE280" s="445"/>
      <c r="FBF280" s="414"/>
      <c r="FBI280" s="445"/>
      <c r="FBJ280" s="414"/>
      <c r="FBM280" s="445"/>
      <c r="FBN280" s="414"/>
      <c r="FBQ280" s="445"/>
      <c r="FBR280" s="414"/>
      <c r="FBU280" s="445"/>
      <c r="FBV280" s="414"/>
      <c r="FBY280" s="445"/>
      <c r="FBZ280" s="414"/>
      <c r="FCC280" s="445"/>
      <c r="FCD280" s="414"/>
      <c r="FCG280" s="445"/>
      <c r="FCH280" s="414"/>
      <c r="FCK280" s="445"/>
      <c r="FCL280" s="414"/>
      <c r="FCO280" s="445"/>
      <c r="FCP280" s="414"/>
      <c r="FCS280" s="445"/>
      <c r="FCT280" s="414"/>
      <c r="FCW280" s="445"/>
      <c r="FCX280" s="414"/>
      <c r="FDA280" s="445"/>
      <c r="FDB280" s="414"/>
      <c r="FDE280" s="445"/>
      <c r="FDF280" s="414"/>
      <c r="FDI280" s="445"/>
      <c r="FDJ280" s="414"/>
      <c r="FDM280" s="445"/>
      <c r="FDN280" s="414"/>
      <c r="FDQ280" s="445"/>
      <c r="FDR280" s="414"/>
      <c r="FDU280" s="445"/>
      <c r="FDV280" s="414"/>
      <c r="FDY280" s="445"/>
      <c r="FDZ280" s="414"/>
      <c r="FEC280" s="445"/>
      <c r="FED280" s="414"/>
      <c r="FEG280" s="445"/>
      <c r="FEH280" s="414"/>
      <c r="FEK280" s="445"/>
      <c r="FEL280" s="414"/>
      <c r="FEO280" s="445"/>
      <c r="FEP280" s="414"/>
      <c r="FES280" s="445"/>
      <c r="FET280" s="414"/>
      <c r="FEW280" s="445"/>
      <c r="FEX280" s="414"/>
      <c r="FFA280" s="445"/>
      <c r="FFB280" s="414"/>
      <c r="FFE280" s="445"/>
      <c r="FFF280" s="414"/>
      <c r="FFI280" s="445"/>
      <c r="FFJ280" s="414"/>
      <c r="FFM280" s="445"/>
      <c r="FFN280" s="414"/>
      <c r="FFQ280" s="445"/>
      <c r="FFR280" s="414"/>
      <c r="FFU280" s="445"/>
      <c r="FFV280" s="414"/>
      <c r="FFY280" s="445"/>
      <c r="FFZ280" s="414"/>
      <c r="FGC280" s="445"/>
      <c r="FGD280" s="414"/>
      <c r="FGG280" s="445"/>
      <c r="FGH280" s="414"/>
      <c r="FGK280" s="445"/>
      <c r="FGL280" s="414"/>
      <c r="FGO280" s="445"/>
      <c r="FGP280" s="414"/>
      <c r="FGS280" s="445"/>
      <c r="FGT280" s="414"/>
      <c r="FGW280" s="445"/>
      <c r="FGX280" s="414"/>
      <c r="FHA280" s="445"/>
      <c r="FHB280" s="414"/>
      <c r="FHE280" s="445"/>
      <c r="FHF280" s="414"/>
      <c r="FHI280" s="445"/>
      <c r="FHJ280" s="414"/>
      <c r="FHM280" s="445"/>
      <c r="FHN280" s="414"/>
      <c r="FHQ280" s="445"/>
      <c r="FHR280" s="414"/>
      <c r="FHU280" s="445"/>
      <c r="FHV280" s="414"/>
      <c r="FHY280" s="445"/>
      <c r="FHZ280" s="414"/>
      <c r="FIC280" s="445"/>
      <c r="FID280" s="414"/>
      <c r="FIG280" s="445"/>
      <c r="FIH280" s="414"/>
      <c r="FIK280" s="445"/>
      <c r="FIL280" s="414"/>
      <c r="FIO280" s="445"/>
      <c r="FIP280" s="414"/>
      <c r="FIS280" s="445"/>
      <c r="FIT280" s="414"/>
      <c r="FIW280" s="445"/>
      <c r="FIX280" s="414"/>
      <c r="FJA280" s="445"/>
      <c r="FJB280" s="414"/>
      <c r="FJE280" s="445"/>
      <c r="FJF280" s="414"/>
      <c r="FJI280" s="445"/>
      <c r="FJJ280" s="414"/>
      <c r="FJM280" s="445"/>
      <c r="FJN280" s="414"/>
      <c r="FJQ280" s="445"/>
      <c r="FJR280" s="414"/>
      <c r="FJU280" s="445"/>
      <c r="FJV280" s="414"/>
      <c r="FJY280" s="445"/>
      <c r="FJZ280" s="414"/>
      <c r="FKC280" s="445"/>
      <c r="FKD280" s="414"/>
      <c r="FKG280" s="445"/>
      <c r="FKH280" s="414"/>
      <c r="FKK280" s="445"/>
      <c r="FKL280" s="414"/>
      <c r="FKO280" s="445"/>
      <c r="FKP280" s="414"/>
      <c r="FKS280" s="445"/>
      <c r="FKT280" s="414"/>
      <c r="FKW280" s="445"/>
      <c r="FKX280" s="414"/>
      <c r="FLA280" s="445"/>
      <c r="FLB280" s="414"/>
      <c r="FLE280" s="445"/>
      <c r="FLF280" s="414"/>
      <c r="FLI280" s="445"/>
      <c r="FLJ280" s="414"/>
      <c r="FLM280" s="445"/>
      <c r="FLN280" s="414"/>
      <c r="FLQ280" s="445"/>
      <c r="FLR280" s="414"/>
      <c r="FLU280" s="445"/>
      <c r="FLV280" s="414"/>
      <c r="FLY280" s="445"/>
      <c r="FLZ280" s="414"/>
      <c r="FMC280" s="445"/>
      <c r="FMD280" s="414"/>
      <c r="FMG280" s="445"/>
      <c r="FMH280" s="414"/>
      <c r="FMK280" s="445"/>
      <c r="FML280" s="414"/>
      <c r="FMO280" s="445"/>
      <c r="FMP280" s="414"/>
      <c r="FMS280" s="445"/>
      <c r="FMT280" s="414"/>
      <c r="FMW280" s="445"/>
      <c r="FMX280" s="414"/>
      <c r="FNA280" s="445"/>
      <c r="FNB280" s="414"/>
      <c r="FNE280" s="445"/>
      <c r="FNF280" s="414"/>
      <c r="FNI280" s="445"/>
      <c r="FNJ280" s="414"/>
      <c r="FNM280" s="445"/>
      <c r="FNN280" s="414"/>
      <c r="FNQ280" s="445"/>
      <c r="FNR280" s="414"/>
      <c r="FNU280" s="445"/>
      <c r="FNV280" s="414"/>
      <c r="FNY280" s="445"/>
      <c r="FNZ280" s="414"/>
      <c r="FOC280" s="445"/>
      <c r="FOD280" s="414"/>
      <c r="FOG280" s="445"/>
      <c r="FOH280" s="414"/>
      <c r="FOK280" s="445"/>
      <c r="FOL280" s="414"/>
      <c r="FOO280" s="445"/>
      <c r="FOP280" s="414"/>
      <c r="FOS280" s="445"/>
      <c r="FOT280" s="414"/>
      <c r="FOW280" s="445"/>
      <c r="FOX280" s="414"/>
      <c r="FPA280" s="445"/>
      <c r="FPB280" s="414"/>
      <c r="FPE280" s="445"/>
      <c r="FPF280" s="414"/>
      <c r="FPI280" s="445"/>
      <c r="FPJ280" s="414"/>
      <c r="FPM280" s="445"/>
      <c r="FPN280" s="414"/>
      <c r="FPQ280" s="445"/>
      <c r="FPR280" s="414"/>
      <c r="FPU280" s="445"/>
      <c r="FPV280" s="414"/>
      <c r="FPY280" s="445"/>
      <c r="FPZ280" s="414"/>
      <c r="FQC280" s="445"/>
      <c r="FQD280" s="414"/>
      <c r="FQG280" s="445"/>
      <c r="FQH280" s="414"/>
      <c r="FQK280" s="445"/>
      <c r="FQL280" s="414"/>
      <c r="FQO280" s="445"/>
      <c r="FQP280" s="414"/>
      <c r="FQS280" s="445"/>
      <c r="FQT280" s="414"/>
      <c r="FQW280" s="445"/>
      <c r="FQX280" s="414"/>
      <c r="FRA280" s="445"/>
      <c r="FRB280" s="414"/>
      <c r="FRE280" s="445"/>
      <c r="FRF280" s="414"/>
      <c r="FRI280" s="445"/>
      <c r="FRJ280" s="414"/>
      <c r="FRM280" s="445"/>
      <c r="FRN280" s="414"/>
      <c r="FRQ280" s="445"/>
      <c r="FRR280" s="414"/>
      <c r="FRU280" s="445"/>
      <c r="FRV280" s="414"/>
      <c r="FRY280" s="445"/>
      <c r="FRZ280" s="414"/>
      <c r="FSC280" s="445"/>
      <c r="FSD280" s="414"/>
      <c r="FSG280" s="445"/>
      <c r="FSH280" s="414"/>
      <c r="FSK280" s="445"/>
      <c r="FSL280" s="414"/>
      <c r="FSO280" s="445"/>
      <c r="FSP280" s="414"/>
      <c r="FSS280" s="445"/>
      <c r="FST280" s="414"/>
      <c r="FSW280" s="445"/>
      <c r="FSX280" s="414"/>
      <c r="FTA280" s="445"/>
      <c r="FTB280" s="414"/>
      <c r="FTE280" s="445"/>
      <c r="FTF280" s="414"/>
      <c r="FTI280" s="445"/>
      <c r="FTJ280" s="414"/>
      <c r="FTM280" s="445"/>
      <c r="FTN280" s="414"/>
      <c r="FTQ280" s="445"/>
      <c r="FTR280" s="414"/>
      <c r="FTU280" s="445"/>
      <c r="FTV280" s="414"/>
      <c r="FTY280" s="445"/>
      <c r="FTZ280" s="414"/>
      <c r="FUC280" s="445"/>
      <c r="FUD280" s="414"/>
      <c r="FUG280" s="445"/>
      <c r="FUH280" s="414"/>
      <c r="FUK280" s="445"/>
      <c r="FUL280" s="414"/>
      <c r="FUO280" s="445"/>
      <c r="FUP280" s="414"/>
      <c r="FUS280" s="445"/>
      <c r="FUT280" s="414"/>
      <c r="FUW280" s="445"/>
      <c r="FUX280" s="414"/>
      <c r="FVA280" s="445"/>
      <c r="FVB280" s="414"/>
      <c r="FVE280" s="445"/>
      <c r="FVF280" s="414"/>
      <c r="FVI280" s="445"/>
      <c r="FVJ280" s="414"/>
      <c r="FVM280" s="445"/>
      <c r="FVN280" s="414"/>
      <c r="FVQ280" s="445"/>
      <c r="FVR280" s="414"/>
      <c r="FVU280" s="445"/>
      <c r="FVV280" s="414"/>
      <c r="FVY280" s="445"/>
      <c r="FVZ280" s="414"/>
      <c r="FWC280" s="445"/>
      <c r="FWD280" s="414"/>
      <c r="FWG280" s="445"/>
      <c r="FWH280" s="414"/>
      <c r="FWK280" s="445"/>
      <c r="FWL280" s="414"/>
      <c r="FWO280" s="445"/>
      <c r="FWP280" s="414"/>
      <c r="FWS280" s="445"/>
      <c r="FWT280" s="414"/>
      <c r="FWW280" s="445"/>
      <c r="FWX280" s="414"/>
      <c r="FXA280" s="445"/>
      <c r="FXB280" s="414"/>
      <c r="FXE280" s="445"/>
      <c r="FXF280" s="414"/>
      <c r="FXI280" s="445"/>
      <c r="FXJ280" s="414"/>
      <c r="FXM280" s="445"/>
      <c r="FXN280" s="414"/>
      <c r="FXQ280" s="445"/>
      <c r="FXR280" s="414"/>
      <c r="FXU280" s="445"/>
      <c r="FXV280" s="414"/>
      <c r="FXY280" s="445"/>
      <c r="FXZ280" s="414"/>
      <c r="FYC280" s="445"/>
      <c r="FYD280" s="414"/>
      <c r="FYG280" s="445"/>
      <c r="FYH280" s="414"/>
      <c r="FYK280" s="445"/>
      <c r="FYL280" s="414"/>
      <c r="FYO280" s="445"/>
      <c r="FYP280" s="414"/>
      <c r="FYS280" s="445"/>
      <c r="FYT280" s="414"/>
      <c r="FYW280" s="445"/>
      <c r="FYX280" s="414"/>
      <c r="FZA280" s="445"/>
      <c r="FZB280" s="414"/>
      <c r="FZE280" s="445"/>
      <c r="FZF280" s="414"/>
      <c r="FZI280" s="445"/>
      <c r="FZJ280" s="414"/>
      <c r="FZM280" s="445"/>
      <c r="FZN280" s="414"/>
      <c r="FZQ280" s="445"/>
      <c r="FZR280" s="414"/>
      <c r="FZU280" s="445"/>
      <c r="FZV280" s="414"/>
      <c r="FZY280" s="445"/>
      <c r="FZZ280" s="414"/>
      <c r="GAC280" s="445"/>
      <c r="GAD280" s="414"/>
      <c r="GAG280" s="445"/>
      <c r="GAH280" s="414"/>
      <c r="GAK280" s="445"/>
      <c r="GAL280" s="414"/>
      <c r="GAO280" s="445"/>
      <c r="GAP280" s="414"/>
      <c r="GAS280" s="445"/>
      <c r="GAT280" s="414"/>
      <c r="GAW280" s="445"/>
      <c r="GAX280" s="414"/>
      <c r="GBA280" s="445"/>
      <c r="GBB280" s="414"/>
      <c r="GBE280" s="445"/>
      <c r="GBF280" s="414"/>
      <c r="GBI280" s="445"/>
      <c r="GBJ280" s="414"/>
      <c r="GBM280" s="445"/>
      <c r="GBN280" s="414"/>
      <c r="GBQ280" s="445"/>
      <c r="GBR280" s="414"/>
      <c r="GBU280" s="445"/>
      <c r="GBV280" s="414"/>
      <c r="GBY280" s="445"/>
      <c r="GBZ280" s="414"/>
      <c r="GCC280" s="445"/>
      <c r="GCD280" s="414"/>
      <c r="GCG280" s="445"/>
      <c r="GCH280" s="414"/>
      <c r="GCK280" s="445"/>
      <c r="GCL280" s="414"/>
      <c r="GCO280" s="445"/>
      <c r="GCP280" s="414"/>
      <c r="GCS280" s="445"/>
      <c r="GCT280" s="414"/>
      <c r="GCW280" s="445"/>
      <c r="GCX280" s="414"/>
      <c r="GDA280" s="445"/>
      <c r="GDB280" s="414"/>
      <c r="GDE280" s="445"/>
      <c r="GDF280" s="414"/>
      <c r="GDI280" s="445"/>
      <c r="GDJ280" s="414"/>
      <c r="GDM280" s="445"/>
      <c r="GDN280" s="414"/>
      <c r="GDQ280" s="445"/>
      <c r="GDR280" s="414"/>
      <c r="GDU280" s="445"/>
      <c r="GDV280" s="414"/>
      <c r="GDY280" s="445"/>
      <c r="GDZ280" s="414"/>
      <c r="GEC280" s="445"/>
      <c r="GED280" s="414"/>
      <c r="GEG280" s="445"/>
      <c r="GEH280" s="414"/>
      <c r="GEK280" s="445"/>
      <c r="GEL280" s="414"/>
      <c r="GEO280" s="445"/>
      <c r="GEP280" s="414"/>
      <c r="GES280" s="445"/>
      <c r="GET280" s="414"/>
      <c r="GEW280" s="445"/>
      <c r="GEX280" s="414"/>
      <c r="GFA280" s="445"/>
      <c r="GFB280" s="414"/>
      <c r="GFE280" s="445"/>
      <c r="GFF280" s="414"/>
      <c r="GFI280" s="445"/>
      <c r="GFJ280" s="414"/>
      <c r="GFM280" s="445"/>
      <c r="GFN280" s="414"/>
      <c r="GFQ280" s="445"/>
      <c r="GFR280" s="414"/>
      <c r="GFU280" s="445"/>
      <c r="GFV280" s="414"/>
      <c r="GFY280" s="445"/>
      <c r="GFZ280" s="414"/>
      <c r="GGC280" s="445"/>
      <c r="GGD280" s="414"/>
      <c r="GGG280" s="445"/>
      <c r="GGH280" s="414"/>
      <c r="GGK280" s="445"/>
      <c r="GGL280" s="414"/>
      <c r="GGO280" s="445"/>
      <c r="GGP280" s="414"/>
      <c r="GGS280" s="445"/>
      <c r="GGT280" s="414"/>
      <c r="GGW280" s="445"/>
      <c r="GGX280" s="414"/>
      <c r="GHA280" s="445"/>
      <c r="GHB280" s="414"/>
      <c r="GHE280" s="445"/>
      <c r="GHF280" s="414"/>
      <c r="GHI280" s="445"/>
      <c r="GHJ280" s="414"/>
      <c r="GHM280" s="445"/>
      <c r="GHN280" s="414"/>
      <c r="GHQ280" s="445"/>
      <c r="GHR280" s="414"/>
      <c r="GHU280" s="445"/>
      <c r="GHV280" s="414"/>
      <c r="GHY280" s="445"/>
      <c r="GHZ280" s="414"/>
      <c r="GIC280" s="445"/>
      <c r="GID280" s="414"/>
      <c r="GIG280" s="445"/>
      <c r="GIH280" s="414"/>
      <c r="GIK280" s="445"/>
      <c r="GIL280" s="414"/>
      <c r="GIO280" s="445"/>
      <c r="GIP280" s="414"/>
      <c r="GIS280" s="445"/>
      <c r="GIT280" s="414"/>
      <c r="GIW280" s="445"/>
      <c r="GIX280" s="414"/>
      <c r="GJA280" s="445"/>
      <c r="GJB280" s="414"/>
      <c r="GJE280" s="445"/>
      <c r="GJF280" s="414"/>
      <c r="GJI280" s="445"/>
      <c r="GJJ280" s="414"/>
      <c r="GJM280" s="445"/>
      <c r="GJN280" s="414"/>
      <c r="GJQ280" s="445"/>
      <c r="GJR280" s="414"/>
      <c r="GJU280" s="445"/>
      <c r="GJV280" s="414"/>
      <c r="GJY280" s="445"/>
      <c r="GJZ280" s="414"/>
      <c r="GKC280" s="445"/>
      <c r="GKD280" s="414"/>
      <c r="GKG280" s="445"/>
      <c r="GKH280" s="414"/>
      <c r="GKK280" s="445"/>
      <c r="GKL280" s="414"/>
      <c r="GKO280" s="445"/>
      <c r="GKP280" s="414"/>
      <c r="GKS280" s="445"/>
      <c r="GKT280" s="414"/>
      <c r="GKW280" s="445"/>
      <c r="GKX280" s="414"/>
      <c r="GLA280" s="445"/>
      <c r="GLB280" s="414"/>
      <c r="GLE280" s="445"/>
      <c r="GLF280" s="414"/>
      <c r="GLI280" s="445"/>
      <c r="GLJ280" s="414"/>
      <c r="GLM280" s="445"/>
      <c r="GLN280" s="414"/>
      <c r="GLQ280" s="445"/>
      <c r="GLR280" s="414"/>
      <c r="GLU280" s="445"/>
      <c r="GLV280" s="414"/>
      <c r="GLY280" s="445"/>
      <c r="GLZ280" s="414"/>
      <c r="GMC280" s="445"/>
      <c r="GMD280" s="414"/>
      <c r="GMG280" s="445"/>
      <c r="GMH280" s="414"/>
      <c r="GMK280" s="445"/>
      <c r="GML280" s="414"/>
      <c r="GMO280" s="445"/>
      <c r="GMP280" s="414"/>
      <c r="GMS280" s="445"/>
      <c r="GMT280" s="414"/>
      <c r="GMW280" s="445"/>
      <c r="GMX280" s="414"/>
      <c r="GNA280" s="445"/>
      <c r="GNB280" s="414"/>
      <c r="GNE280" s="445"/>
      <c r="GNF280" s="414"/>
      <c r="GNI280" s="445"/>
      <c r="GNJ280" s="414"/>
      <c r="GNM280" s="445"/>
      <c r="GNN280" s="414"/>
      <c r="GNQ280" s="445"/>
      <c r="GNR280" s="414"/>
      <c r="GNU280" s="445"/>
      <c r="GNV280" s="414"/>
      <c r="GNY280" s="445"/>
      <c r="GNZ280" s="414"/>
      <c r="GOC280" s="445"/>
      <c r="GOD280" s="414"/>
      <c r="GOG280" s="445"/>
      <c r="GOH280" s="414"/>
      <c r="GOK280" s="445"/>
      <c r="GOL280" s="414"/>
      <c r="GOO280" s="445"/>
      <c r="GOP280" s="414"/>
      <c r="GOS280" s="445"/>
      <c r="GOT280" s="414"/>
      <c r="GOW280" s="445"/>
      <c r="GOX280" s="414"/>
      <c r="GPA280" s="445"/>
      <c r="GPB280" s="414"/>
      <c r="GPE280" s="445"/>
      <c r="GPF280" s="414"/>
      <c r="GPI280" s="445"/>
      <c r="GPJ280" s="414"/>
      <c r="GPM280" s="445"/>
      <c r="GPN280" s="414"/>
      <c r="GPQ280" s="445"/>
      <c r="GPR280" s="414"/>
      <c r="GPU280" s="445"/>
      <c r="GPV280" s="414"/>
      <c r="GPY280" s="445"/>
      <c r="GPZ280" s="414"/>
      <c r="GQC280" s="445"/>
      <c r="GQD280" s="414"/>
      <c r="GQG280" s="445"/>
      <c r="GQH280" s="414"/>
      <c r="GQK280" s="445"/>
      <c r="GQL280" s="414"/>
      <c r="GQO280" s="445"/>
      <c r="GQP280" s="414"/>
      <c r="GQS280" s="445"/>
      <c r="GQT280" s="414"/>
      <c r="GQW280" s="445"/>
      <c r="GQX280" s="414"/>
      <c r="GRA280" s="445"/>
      <c r="GRB280" s="414"/>
      <c r="GRE280" s="445"/>
      <c r="GRF280" s="414"/>
      <c r="GRI280" s="445"/>
      <c r="GRJ280" s="414"/>
      <c r="GRM280" s="445"/>
      <c r="GRN280" s="414"/>
      <c r="GRQ280" s="445"/>
      <c r="GRR280" s="414"/>
      <c r="GRU280" s="445"/>
      <c r="GRV280" s="414"/>
      <c r="GRY280" s="445"/>
      <c r="GRZ280" s="414"/>
      <c r="GSC280" s="445"/>
      <c r="GSD280" s="414"/>
      <c r="GSG280" s="445"/>
      <c r="GSH280" s="414"/>
      <c r="GSK280" s="445"/>
      <c r="GSL280" s="414"/>
      <c r="GSO280" s="445"/>
      <c r="GSP280" s="414"/>
      <c r="GSS280" s="445"/>
      <c r="GST280" s="414"/>
      <c r="GSW280" s="445"/>
      <c r="GSX280" s="414"/>
      <c r="GTA280" s="445"/>
      <c r="GTB280" s="414"/>
      <c r="GTE280" s="445"/>
      <c r="GTF280" s="414"/>
      <c r="GTI280" s="445"/>
      <c r="GTJ280" s="414"/>
      <c r="GTM280" s="445"/>
      <c r="GTN280" s="414"/>
      <c r="GTQ280" s="445"/>
      <c r="GTR280" s="414"/>
      <c r="GTU280" s="445"/>
      <c r="GTV280" s="414"/>
      <c r="GTY280" s="445"/>
      <c r="GTZ280" s="414"/>
      <c r="GUC280" s="445"/>
      <c r="GUD280" s="414"/>
      <c r="GUG280" s="445"/>
      <c r="GUH280" s="414"/>
      <c r="GUK280" s="445"/>
      <c r="GUL280" s="414"/>
      <c r="GUO280" s="445"/>
      <c r="GUP280" s="414"/>
      <c r="GUS280" s="445"/>
      <c r="GUT280" s="414"/>
      <c r="GUW280" s="445"/>
      <c r="GUX280" s="414"/>
      <c r="GVA280" s="445"/>
      <c r="GVB280" s="414"/>
      <c r="GVE280" s="445"/>
      <c r="GVF280" s="414"/>
      <c r="GVI280" s="445"/>
      <c r="GVJ280" s="414"/>
      <c r="GVM280" s="445"/>
      <c r="GVN280" s="414"/>
      <c r="GVQ280" s="445"/>
      <c r="GVR280" s="414"/>
      <c r="GVU280" s="445"/>
      <c r="GVV280" s="414"/>
      <c r="GVY280" s="445"/>
      <c r="GVZ280" s="414"/>
      <c r="GWC280" s="445"/>
      <c r="GWD280" s="414"/>
      <c r="GWG280" s="445"/>
      <c r="GWH280" s="414"/>
      <c r="GWK280" s="445"/>
      <c r="GWL280" s="414"/>
      <c r="GWO280" s="445"/>
      <c r="GWP280" s="414"/>
      <c r="GWS280" s="445"/>
      <c r="GWT280" s="414"/>
      <c r="GWW280" s="445"/>
      <c r="GWX280" s="414"/>
      <c r="GXA280" s="445"/>
      <c r="GXB280" s="414"/>
      <c r="GXE280" s="445"/>
      <c r="GXF280" s="414"/>
      <c r="GXI280" s="445"/>
      <c r="GXJ280" s="414"/>
      <c r="GXM280" s="445"/>
      <c r="GXN280" s="414"/>
      <c r="GXQ280" s="445"/>
      <c r="GXR280" s="414"/>
      <c r="GXU280" s="445"/>
      <c r="GXV280" s="414"/>
      <c r="GXY280" s="445"/>
      <c r="GXZ280" s="414"/>
      <c r="GYC280" s="445"/>
      <c r="GYD280" s="414"/>
      <c r="GYG280" s="445"/>
      <c r="GYH280" s="414"/>
      <c r="GYK280" s="445"/>
      <c r="GYL280" s="414"/>
      <c r="GYO280" s="445"/>
      <c r="GYP280" s="414"/>
      <c r="GYS280" s="445"/>
      <c r="GYT280" s="414"/>
      <c r="GYW280" s="445"/>
      <c r="GYX280" s="414"/>
      <c r="GZA280" s="445"/>
      <c r="GZB280" s="414"/>
      <c r="GZE280" s="445"/>
      <c r="GZF280" s="414"/>
      <c r="GZI280" s="445"/>
      <c r="GZJ280" s="414"/>
      <c r="GZM280" s="445"/>
      <c r="GZN280" s="414"/>
      <c r="GZQ280" s="445"/>
      <c r="GZR280" s="414"/>
      <c r="GZU280" s="445"/>
      <c r="GZV280" s="414"/>
      <c r="GZY280" s="445"/>
      <c r="GZZ280" s="414"/>
      <c r="HAC280" s="445"/>
      <c r="HAD280" s="414"/>
      <c r="HAG280" s="445"/>
      <c r="HAH280" s="414"/>
      <c r="HAK280" s="445"/>
      <c r="HAL280" s="414"/>
      <c r="HAO280" s="445"/>
      <c r="HAP280" s="414"/>
      <c r="HAS280" s="445"/>
      <c r="HAT280" s="414"/>
      <c r="HAW280" s="445"/>
      <c r="HAX280" s="414"/>
      <c r="HBA280" s="445"/>
      <c r="HBB280" s="414"/>
      <c r="HBE280" s="445"/>
      <c r="HBF280" s="414"/>
      <c r="HBI280" s="445"/>
      <c r="HBJ280" s="414"/>
      <c r="HBM280" s="445"/>
      <c r="HBN280" s="414"/>
      <c r="HBQ280" s="445"/>
      <c r="HBR280" s="414"/>
      <c r="HBU280" s="445"/>
      <c r="HBV280" s="414"/>
      <c r="HBY280" s="445"/>
      <c r="HBZ280" s="414"/>
      <c r="HCC280" s="445"/>
      <c r="HCD280" s="414"/>
      <c r="HCG280" s="445"/>
      <c r="HCH280" s="414"/>
      <c r="HCK280" s="445"/>
      <c r="HCL280" s="414"/>
      <c r="HCO280" s="445"/>
      <c r="HCP280" s="414"/>
      <c r="HCS280" s="445"/>
      <c r="HCT280" s="414"/>
      <c r="HCW280" s="445"/>
      <c r="HCX280" s="414"/>
      <c r="HDA280" s="445"/>
      <c r="HDB280" s="414"/>
      <c r="HDE280" s="445"/>
      <c r="HDF280" s="414"/>
      <c r="HDI280" s="445"/>
      <c r="HDJ280" s="414"/>
      <c r="HDM280" s="445"/>
      <c r="HDN280" s="414"/>
      <c r="HDQ280" s="445"/>
      <c r="HDR280" s="414"/>
      <c r="HDU280" s="445"/>
      <c r="HDV280" s="414"/>
      <c r="HDY280" s="445"/>
      <c r="HDZ280" s="414"/>
      <c r="HEC280" s="445"/>
      <c r="HED280" s="414"/>
      <c r="HEG280" s="445"/>
      <c r="HEH280" s="414"/>
      <c r="HEK280" s="445"/>
      <c r="HEL280" s="414"/>
      <c r="HEO280" s="445"/>
      <c r="HEP280" s="414"/>
      <c r="HES280" s="445"/>
      <c r="HET280" s="414"/>
      <c r="HEW280" s="445"/>
      <c r="HEX280" s="414"/>
      <c r="HFA280" s="445"/>
      <c r="HFB280" s="414"/>
      <c r="HFE280" s="445"/>
      <c r="HFF280" s="414"/>
      <c r="HFI280" s="445"/>
      <c r="HFJ280" s="414"/>
      <c r="HFM280" s="445"/>
      <c r="HFN280" s="414"/>
      <c r="HFQ280" s="445"/>
      <c r="HFR280" s="414"/>
      <c r="HFU280" s="445"/>
      <c r="HFV280" s="414"/>
      <c r="HFY280" s="445"/>
      <c r="HFZ280" s="414"/>
      <c r="HGC280" s="445"/>
      <c r="HGD280" s="414"/>
      <c r="HGG280" s="445"/>
      <c r="HGH280" s="414"/>
      <c r="HGK280" s="445"/>
      <c r="HGL280" s="414"/>
      <c r="HGO280" s="445"/>
      <c r="HGP280" s="414"/>
      <c r="HGS280" s="445"/>
      <c r="HGT280" s="414"/>
      <c r="HGW280" s="445"/>
      <c r="HGX280" s="414"/>
      <c r="HHA280" s="445"/>
      <c r="HHB280" s="414"/>
      <c r="HHE280" s="445"/>
      <c r="HHF280" s="414"/>
      <c r="HHI280" s="445"/>
      <c r="HHJ280" s="414"/>
      <c r="HHM280" s="445"/>
      <c r="HHN280" s="414"/>
      <c r="HHQ280" s="445"/>
      <c r="HHR280" s="414"/>
      <c r="HHU280" s="445"/>
      <c r="HHV280" s="414"/>
      <c r="HHY280" s="445"/>
      <c r="HHZ280" s="414"/>
      <c r="HIC280" s="445"/>
      <c r="HID280" s="414"/>
      <c r="HIG280" s="445"/>
      <c r="HIH280" s="414"/>
      <c r="HIK280" s="445"/>
      <c r="HIL280" s="414"/>
      <c r="HIO280" s="445"/>
      <c r="HIP280" s="414"/>
      <c r="HIS280" s="445"/>
      <c r="HIT280" s="414"/>
      <c r="HIW280" s="445"/>
      <c r="HIX280" s="414"/>
      <c r="HJA280" s="445"/>
      <c r="HJB280" s="414"/>
      <c r="HJE280" s="445"/>
      <c r="HJF280" s="414"/>
      <c r="HJI280" s="445"/>
      <c r="HJJ280" s="414"/>
      <c r="HJM280" s="445"/>
      <c r="HJN280" s="414"/>
      <c r="HJQ280" s="445"/>
      <c r="HJR280" s="414"/>
      <c r="HJU280" s="445"/>
      <c r="HJV280" s="414"/>
      <c r="HJY280" s="445"/>
      <c r="HJZ280" s="414"/>
      <c r="HKC280" s="445"/>
      <c r="HKD280" s="414"/>
      <c r="HKG280" s="445"/>
      <c r="HKH280" s="414"/>
      <c r="HKK280" s="445"/>
      <c r="HKL280" s="414"/>
      <c r="HKO280" s="445"/>
      <c r="HKP280" s="414"/>
      <c r="HKS280" s="445"/>
      <c r="HKT280" s="414"/>
      <c r="HKW280" s="445"/>
      <c r="HKX280" s="414"/>
      <c r="HLA280" s="445"/>
      <c r="HLB280" s="414"/>
      <c r="HLE280" s="445"/>
      <c r="HLF280" s="414"/>
      <c r="HLI280" s="445"/>
      <c r="HLJ280" s="414"/>
      <c r="HLM280" s="445"/>
      <c r="HLN280" s="414"/>
      <c r="HLQ280" s="445"/>
      <c r="HLR280" s="414"/>
      <c r="HLU280" s="445"/>
      <c r="HLV280" s="414"/>
      <c r="HLY280" s="445"/>
      <c r="HLZ280" s="414"/>
      <c r="HMC280" s="445"/>
      <c r="HMD280" s="414"/>
      <c r="HMG280" s="445"/>
      <c r="HMH280" s="414"/>
      <c r="HMK280" s="445"/>
      <c r="HML280" s="414"/>
      <c r="HMO280" s="445"/>
      <c r="HMP280" s="414"/>
      <c r="HMS280" s="445"/>
      <c r="HMT280" s="414"/>
      <c r="HMW280" s="445"/>
      <c r="HMX280" s="414"/>
      <c r="HNA280" s="445"/>
      <c r="HNB280" s="414"/>
      <c r="HNE280" s="445"/>
      <c r="HNF280" s="414"/>
      <c r="HNI280" s="445"/>
      <c r="HNJ280" s="414"/>
      <c r="HNM280" s="445"/>
      <c r="HNN280" s="414"/>
      <c r="HNQ280" s="445"/>
      <c r="HNR280" s="414"/>
      <c r="HNU280" s="445"/>
      <c r="HNV280" s="414"/>
      <c r="HNY280" s="445"/>
      <c r="HNZ280" s="414"/>
      <c r="HOC280" s="445"/>
      <c r="HOD280" s="414"/>
      <c r="HOG280" s="445"/>
      <c r="HOH280" s="414"/>
      <c r="HOK280" s="445"/>
      <c r="HOL280" s="414"/>
      <c r="HOO280" s="445"/>
      <c r="HOP280" s="414"/>
      <c r="HOS280" s="445"/>
      <c r="HOT280" s="414"/>
      <c r="HOW280" s="445"/>
      <c r="HOX280" s="414"/>
      <c r="HPA280" s="445"/>
      <c r="HPB280" s="414"/>
      <c r="HPE280" s="445"/>
      <c r="HPF280" s="414"/>
      <c r="HPI280" s="445"/>
      <c r="HPJ280" s="414"/>
      <c r="HPM280" s="445"/>
      <c r="HPN280" s="414"/>
      <c r="HPQ280" s="445"/>
      <c r="HPR280" s="414"/>
      <c r="HPU280" s="445"/>
      <c r="HPV280" s="414"/>
      <c r="HPY280" s="445"/>
      <c r="HPZ280" s="414"/>
      <c r="HQC280" s="445"/>
      <c r="HQD280" s="414"/>
      <c r="HQG280" s="445"/>
      <c r="HQH280" s="414"/>
      <c r="HQK280" s="445"/>
      <c r="HQL280" s="414"/>
      <c r="HQO280" s="445"/>
      <c r="HQP280" s="414"/>
      <c r="HQS280" s="445"/>
      <c r="HQT280" s="414"/>
      <c r="HQW280" s="445"/>
      <c r="HQX280" s="414"/>
      <c r="HRA280" s="445"/>
      <c r="HRB280" s="414"/>
      <c r="HRE280" s="445"/>
      <c r="HRF280" s="414"/>
      <c r="HRI280" s="445"/>
      <c r="HRJ280" s="414"/>
      <c r="HRM280" s="445"/>
      <c r="HRN280" s="414"/>
      <c r="HRQ280" s="445"/>
      <c r="HRR280" s="414"/>
      <c r="HRU280" s="445"/>
      <c r="HRV280" s="414"/>
      <c r="HRY280" s="445"/>
      <c r="HRZ280" s="414"/>
      <c r="HSC280" s="445"/>
      <c r="HSD280" s="414"/>
      <c r="HSG280" s="445"/>
      <c r="HSH280" s="414"/>
      <c r="HSK280" s="445"/>
      <c r="HSL280" s="414"/>
      <c r="HSO280" s="445"/>
      <c r="HSP280" s="414"/>
      <c r="HSS280" s="445"/>
      <c r="HST280" s="414"/>
      <c r="HSW280" s="445"/>
      <c r="HSX280" s="414"/>
      <c r="HTA280" s="445"/>
      <c r="HTB280" s="414"/>
      <c r="HTE280" s="445"/>
      <c r="HTF280" s="414"/>
      <c r="HTI280" s="445"/>
      <c r="HTJ280" s="414"/>
      <c r="HTM280" s="445"/>
      <c r="HTN280" s="414"/>
      <c r="HTQ280" s="445"/>
      <c r="HTR280" s="414"/>
      <c r="HTU280" s="445"/>
      <c r="HTV280" s="414"/>
      <c r="HTY280" s="445"/>
      <c r="HTZ280" s="414"/>
      <c r="HUC280" s="445"/>
      <c r="HUD280" s="414"/>
      <c r="HUG280" s="445"/>
      <c r="HUH280" s="414"/>
      <c r="HUK280" s="445"/>
      <c r="HUL280" s="414"/>
      <c r="HUO280" s="445"/>
      <c r="HUP280" s="414"/>
      <c r="HUS280" s="445"/>
      <c r="HUT280" s="414"/>
      <c r="HUW280" s="445"/>
      <c r="HUX280" s="414"/>
      <c r="HVA280" s="445"/>
      <c r="HVB280" s="414"/>
      <c r="HVE280" s="445"/>
      <c r="HVF280" s="414"/>
      <c r="HVI280" s="445"/>
      <c r="HVJ280" s="414"/>
      <c r="HVM280" s="445"/>
      <c r="HVN280" s="414"/>
      <c r="HVQ280" s="445"/>
      <c r="HVR280" s="414"/>
      <c r="HVU280" s="445"/>
      <c r="HVV280" s="414"/>
      <c r="HVY280" s="445"/>
      <c r="HVZ280" s="414"/>
      <c r="HWC280" s="445"/>
      <c r="HWD280" s="414"/>
      <c r="HWG280" s="445"/>
      <c r="HWH280" s="414"/>
      <c r="HWK280" s="445"/>
      <c r="HWL280" s="414"/>
      <c r="HWO280" s="445"/>
      <c r="HWP280" s="414"/>
      <c r="HWS280" s="445"/>
      <c r="HWT280" s="414"/>
      <c r="HWW280" s="445"/>
      <c r="HWX280" s="414"/>
      <c r="HXA280" s="445"/>
      <c r="HXB280" s="414"/>
      <c r="HXE280" s="445"/>
      <c r="HXF280" s="414"/>
      <c r="HXI280" s="445"/>
      <c r="HXJ280" s="414"/>
      <c r="HXM280" s="445"/>
      <c r="HXN280" s="414"/>
      <c r="HXQ280" s="445"/>
      <c r="HXR280" s="414"/>
      <c r="HXU280" s="445"/>
      <c r="HXV280" s="414"/>
      <c r="HXY280" s="445"/>
      <c r="HXZ280" s="414"/>
      <c r="HYC280" s="445"/>
      <c r="HYD280" s="414"/>
      <c r="HYG280" s="445"/>
      <c r="HYH280" s="414"/>
      <c r="HYK280" s="445"/>
      <c r="HYL280" s="414"/>
      <c r="HYO280" s="445"/>
      <c r="HYP280" s="414"/>
      <c r="HYS280" s="445"/>
      <c r="HYT280" s="414"/>
      <c r="HYW280" s="445"/>
      <c r="HYX280" s="414"/>
      <c r="HZA280" s="445"/>
      <c r="HZB280" s="414"/>
      <c r="HZE280" s="445"/>
      <c r="HZF280" s="414"/>
      <c r="HZI280" s="445"/>
      <c r="HZJ280" s="414"/>
      <c r="HZM280" s="445"/>
      <c r="HZN280" s="414"/>
      <c r="HZQ280" s="445"/>
      <c r="HZR280" s="414"/>
      <c r="HZU280" s="445"/>
      <c r="HZV280" s="414"/>
      <c r="HZY280" s="445"/>
      <c r="HZZ280" s="414"/>
      <c r="IAC280" s="445"/>
      <c r="IAD280" s="414"/>
      <c r="IAG280" s="445"/>
      <c r="IAH280" s="414"/>
      <c r="IAK280" s="445"/>
      <c r="IAL280" s="414"/>
      <c r="IAO280" s="445"/>
      <c r="IAP280" s="414"/>
      <c r="IAS280" s="445"/>
      <c r="IAT280" s="414"/>
      <c r="IAW280" s="445"/>
      <c r="IAX280" s="414"/>
      <c r="IBA280" s="445"/>
      <c r="IBB280" s="414"/>
      <c r="IBE280" s="445"/>
      <c r="IBF280" s="414"/>
      <c r="IBI280" s="445"/>
      <c r="IBJ280" s="414"/>
      <c r="IBM280" s="445"/>
      <c r="IBN280" s="414"/>
      <c r="IBQ280" s="445"/>
      <c r="IBR280" s="414"/>
      <c r="IBU280" s="445"/>
      <c r="IBV280" s="414"/>
      <c r="IBY280" s="445"/>
      <c r="IBZ280" s="414"/>
      <c r="ICC280" s="445"/>
      <c r="ICD280" s="414"/>
      <c r="ICG280" s="445"/>
      <c r="ICH280" s="414"/>
      <c r="ICK280" s="445"/>
      <c r="ICL280" s="414"/>
      <c r="ICO280" s="445"/>
      <c r="ICP280" s="414"/>
      <c r="ICS280" s="445"/>
      <c r="ICT280" s="414"/>
      <c r="ICW280" s="445"/>
      <c r="ICX280" s="414"/>
      <c r="IDA280" s="445"/>
      <c r="IDB280" s="414"/>
      <c r="IDE280" s="445"/>
      <c r="IDF280" s="414"/>
      <c r="IDI280" s="445"/>
      <c r="IDJ280" s="414"/>
      <c r="IDM280" s="445"/>
      <c r="IDN280" s="414"/>
      <c r="IDQ280" s="445"/>
      <c r="IDR280" s="414"/>
      <c r="IDU280" s="445"/>
      <c r="IDV280" s="414"/>
      <c r="IDY280" s="445"/>
      <c r="IDZ280" s="414"/>
      <c r="IEC280" s="445"/>
      <c r="IED280" s="414"/>
      <c r="IEG280" s="445"/>
      <c r="IEH280" s="414"/>
      <c r="IEK280" s="445"/>
      <c r="IEL280" s="414"/>
      <c r="IEO280" s="445"/>
      <c r="IEP280" s="414"/>
      <c r="IES280" s="445"/>
      <c r="IET280" s="414"/>
      <c r="IEW280" s="445"/>
      <c r="IEX280" s="414"/>
      <c r="IFA280" s="445"/>
      <c r="IFB280" s="414"/>
      <c r="IFE280" s="445"/>
      <c r="IFF280" s="414"/>
      <c r="IFI280" s="445"/>
      <c r="IFJ280" s="414"/>
      <c r="IFM280" s="445"/>
      <c r="IFN280" s="414"/>
      <c r="IFQ280" s="445"/>
      <c r="IFR280" s="414"/>
      <c r="IFU280" s="445"/>
      <c r="IFV280" s="414"/>
      <c r="IFY280" s="445"/>
      <c r="IFZ280" s="414"/>
      <c r="IGC280" s="445"/>
      <c r="IGD280" s="414"/>
      <c r="IGG280" s="445"/>
      <c r="IGH280" s="414"/>
      <c r="IGK280" s="445"/>
      <c r="IGL280" s="414"/>
      <c r="IGO280" s="445"/>
      <c r="IGP280" s="414"/>
      <c r="IGS280" s="445"/>
      <c r="IGT280" s="414"/>
      <c r="IGW280" s="445"/>
      <c r="IGX280" s="414"/>
      <c r="IHA280" s="445"/>
      <c r="IHB280" s="414"/>
      <c r="IHE280" s="445"/>
      <c r="IHF280" s="414"/>
      <c r="IHI280" s="445"/>
      <c r="IHJ280" s="414"/>
      <c r="IHM280" s="445"/>
      <c r="IHN280" s="414"/>
      <c r="IHQ280" s="445"/>
      <c r="IHR280" s="414"/>
      <c r="IHU280" s="445"/>
      <c r="IHV280" s="414"/>
      <c r="IHY280" s="445"/>
      <c r="IHZ280" s="414"/>
      <c r="IIC280" s="445"/>
      <c r="IID280" s="414"/>
      <c r="IIG280" s="445"/>
      <c r="IIH280" s="414"/>
      <c r="IIK280" s="445"/>
      <c r="IIL280" s="414"/>
      <c r="IIO280" s="445"/>
      <c r="IIP280" s="414"/>
      <c r="IIS280" s="445"/>
      <c r="IIT280" s="414"/>
      <c r="IIW280" s="445"/>
      <c r="IIX280" s="414"/>
      <c r="IJA280" s="445"/>
      <c r="IJB280" s="414"/>
      <c r="IJE280" s="445"/>
      <c r="IJF280" s="414"/>
      <c r="IJI280" s="445"/>
      <c r="IJJ280" s="414"/>
      <c r="IJM280" s="445"/>
      <c r="IJN280" s="414"/>
      <c r="IJQ280" s="445"/>
      <c r="IJR280" s="414"/>
      <c r="IJU280" s="445"/>
      <c r="IJV280" s="414"/>
      <c r="IJY280" s="445"/>
      <c r="IJZ280" s="414"/>
      <c r="IKC280" s="445"/>
      <c r="IKD280" s="414"/>
      <c r="IKG280" s="445"/>
      <c r="IKH280" s="414"/>
      <c r="IKK280" s="445"/>
      <c r="IKL280" s="414"/>
      <c r="IKO280" s="445"/>
      <c r="IKP280" s="414"/>
      <c r="IKS280" s="445"/>
      <c r="IKT280" s="414"/>
      <c r="IKW280" s="445"/>
      <c r="IKX280" s="414"/>
      <c r="ILA280" s="445"/>
      <c r="ILB280" s="414"/>
      <c r="ILE280" s="445"/>
      <c r="ILF280" s="414"/>
      <c r="ILI280" s="445"/>
      <c r="ILJ280" s="414"/>
      <c r="ILM280" s="445"/>
      <c r="ILN280" s="414"/>
      <c r="ILQ280" s="445"/>
      <c r="ILR280" s="414"/>
      <c r="ILU280" s="445"/>
      <c r="ILV280" s="414"/>
      <c r="ILY280" s="445"/>
      <c r="ILZ280" s="414"/>
      <c r="IMC280" s="445"/>
      <c r="IMD280" s="414"/>
      <c r="IMG280" s="445"/>
      <c r="IMH280" s="414"/>
      <c r="IMK280" s="445"/>
      <c r="IML280" s="414"/>
      <c r="IMO280" s="445"/>
      <c r="IMP280" s="414"/>
      <c r="IMS280" s="445"/>
      <c r="IMT280" s="414"/>
      <c r="IMW280" s="445"/>
      <c r="IMX280" s="414"/>
      <c r="INA280" s="445"/>
      <c r="INB280" s="414"/>
      <c r="INE280" s="445"/>
      <c r="INF280" s="414"/>
      <c r="INI280" s="445"/>
      <c r="INJ280" s="414"/>
      <c r="INM280" s="445"/>
      <c r="INN280" s="414"/>
      <c r="INQ280" s="445"/>
      <c r="INR280" s="414"/>
      <c r="INU280" s="445"/>
      <c r="INV280" s="414"/>
      <c r="INY280" s="445"/>
      <c r="INZ280" s="414"/>
      <c r="IOC280" s="445"/>
      <c r="IOD280" s="414"/>
      <c r="IOG280" s="445"/>
      <c r="IOH280" s="414"/>
      <c r="IOK280" s="445"/>
      <c r="IOL280" s="414"/>
      <c r="IOO280" s="445"/>
      <c r="IOP280" s="414"/>
      <c r="IOS280" s="445"/>
      <c r="IOT280" s="414"/>
      <c r="IOW280" s="445"/>
      <c r="IOX280" s="414"/>
      <c r="IPA280" s="445"/>
      <c r="IPB280" s="414"/>
      <c r="IPE280" s="445"/>
      <c r="IPF280" s="414"/>
      <c r="IPI280" s="445"/>
      <c r="IPJ280" s="414"/>
      <c r="IPM280" s="445"/>
      <c r="IPN280" s="414"/>
      <c r="IPQ280" s="445"/>
      <c r="IPR280" s="414"/>
      <c r="IPU280" s="445"/>
      <c r="IPV280" s="414"/>
      <c r="IPY280" s="445"/>
      <c r="IPZ280" s="414"/>
      <c r="IQC280" s="445"/>
      <c r="IQD280" s="414"/>
      <c r="IQG280" s="445"/>
      <c r="IQH280" s="414"/>
      <c r="IQK280" s="445"/>
      <c r="IQL280" s="414"/>
      <c r="IQO280" s="445"/>
      <c r="IQP280" s="414"/>
      <c r="IQS280" s="445"/>
      <c r="IQT280" s="414"/>
      <c r="IQW280" s="445"/>
      <c r="IQX280" s="414"/>
      <c r="IRA280" s="445"/>
      <c r="IRB280" s="414"/>
      <c r="IRE280" s="445"/>
      <c r="IRF280" s="414"/>
      <c r="IRI280" s="445"/>
      <c r="IRJ280" s="414"/>
      <c r="IRM280" s="445"/>
      <c r="IRN280" s="414"/>
      <c r="IRQ280" s="445"/>
      <c r="IRR280" s="414"/>
      <c r="IRU280" s="445"/>
      <c r="IRV280" s="414"/>
      <c r="IRY280" s="445"/>
      <c r="IRZ280" s="414"/>
      <c r="ISC280" s="445"/>
      <c r="ISD280" s="414"/>
      <c r="ISG280" s="445"/>
      <c r="ISH280" s="414"/>
      <c r="ISK280" s="445"/>
      <c r="ISL280" s="414"/>
      <c r="ISO280" s="445"/>
      <c r="ISP280" s="414"/>
      <c r="ISS280" s="445"/>
      <c r="IST280" s="414"/>
      <c r="ISW280" s="445"/>
      <c r="ISX280" s="414"/>
      <c r="ITA280" s="445"/>
      <c r="ITB280" s="414"/>
      <c r="ITE280" s="445"/>
      <c r="ITF280" s="414"/>
      <c r="ITI280" s="445"/>
      <c r="ITJ280" s="414"/>
      <c r="ITM280" s="445"/>
      <c r="ITN280" s="414"/>
      <c r="ITQ280" s="445"/>
      <c r="ITR280" s="414"/>
      <c r="ITU280" s="445"/>
      <c r="ITV280" s="414"/>
      <c r="ITY280" s="445"/>
      <c r="ITZ280" s="414"/>
      <c r="IUC280" s="445"/>
      <c r="IUD280" s="414"/>
      <c r="IUG280" s="445"/>
      <c r="IUH280" s="414"/>
      <c r="IUK280" s="445"/>
      <c r="IUL280" s="414"/>
      <c r="IUO280" s="445"/>
      <c r="IUP280" s="414"/>
      <c r="IUS280" s="445"/>
      <c r="IUT280" s="414"/>
      <c r="IUW280" s="445"/>
      <c r="IUX280" s="414"/>
      <c r="IVA280" s="445"/>
      <c r="IVB280" s="414"/>
      <c r="IVE280" s="445"/>
      <c r="IVF280" s="414"/>
      <c r="IVI280" s="445"/>
      <c r="IVJ280" s="414"/>
      <c r="IVM280" s="445"/>
      <c r="IVN280" s="414"/>
      <c r="IVQ280" s="445"/>
      <c r="IVR280" s="414"/>
      <c r="IVU280" s="445"/>
      <c r="IVV280" s="414"/>
      <c r="IVY280" s="445"/>
      <c r="IVZ280" s="414"/>
      <c r="IWC280" s="445"/>
      <c r="IWD280" s="414"/>
      <c r="IWG280" s="445"/>
      <c r="IWH280" s="414"/>
      <c r="IWK280" s="445"/>
      <c r="IWL280" s="414"/>
      <c r="IWO280" s="445"/>
      <c r="IWP280" s="414"/>
      <c r="IWS280" s="445"/>
      <c r="IWT280" s="414"/>
      <c r="IWW280" s="445"/>
      <c r="IWX280" s="414"/>
      <c r="IXA280" s="445"/>
      <c r="IXB280" s="414"/>
      <c r="IXE280" s="445"/>
      <c r="IXF280" s="414"/>
      <c r="IXI280" s="445"/>
      <c r="IXJ280" s="414"/>
      <c r="IXM280" s="445"/>
      <c r="IXN280" s="414"/>
      <c r="IXQ280" s="445"/>
      <c r="IXR280" s="414"/>
      <c r="IXU280" s="445"/>
      <c r="IXV280" s="414"/>
      <c r="IXY280" s="445"/>
      <c r="IXZ280" s="414"/>
      <c r="IYC280" s="445"/>
      <c r="IYD280" s="414"/>
      <c r="IYG280" s="445"/>
      <c r="IYH280" s="414"/>
      <c r="IYK280" s="445"/>
      <c r="IYL280" s="414"/>
      <c r="IYO280" s="445"/>
      <c r="IYP280" s="414"/>
      <c r="IYS280" s="445"/>
      <c r="IYT280" s="414"/>
      <c r="IYW280" s="445"/>
      <c r="IYX280" s="414"/>
      <c r="IZA280" s="445"/>
      <c r="IZB280" s="414"/>
      <c r="IZE280" s="445"/>
      <c r="IZF280" s="414"/>
      <c r="IZI280" s="445"/>
      <c r="IZJ280" s="414"/>
      <c r="IZM280" s="445"/>
      <c r="IZN280" s="414"/>
      <c r="IZQ280" s="445"/>
      <c r="IZR280" s="414"/>
      <c r="IZU280" s="445"/>
      <c r="IZV280" s="414"/>
      <c r="IZY280" s="445"/>
      <c r="IZZ280" s="414"/>
      <c r="JAC280" s="445"/>
      <c r="JAD280" s="414"/>
      <c r="JAG280" s="445"/>
      <c r="JAH280" s="414"/>
      <c r="JAK280" s="445"/>
      <c r="JAL280" s="414"/>
      <c r="JAO280" s="445"/>
      <c r="JAP280" s="414"/>
      <c r="JAS280" s="445"/>
      <c r="JAT280" s="414"/>
      <c r="JAW280" s="445"/>
      <c r="JAX280" s="414"/>
      <c r="JBA280" s="445"/>
      <c r="JBB280" s="414"/>
      <c r="JBE280" s="445"/>
      <c r="JBF280" s="414"/>
      <c r="JBI280" s="445"/>
      <c r="JBJ280" s="414"/>
      <c r="JBM280" s="445"/>
      <c r="JBN280" s="414"/>
      <c r="JBQ280" s="445"/>
      <c r="JBR280" s="414"/>
      <c r="JBU280" s="445"/>
      <c r="JBV280" s="414"/>
      <c r="JBY280" s="445"/>
      <c r="JBZ280" s="414"/>
      <c r="JCC280" s="445"/>
      <c r="JCD280" s="414"/>
      <c r="JCG280" s="445"/>
      <c r="JCH280" s="414"/>
      <c r="JCK280" s="445"/>
      <c r="JCL280" s="414"/>
      <c r="JCO280" s="445"/>
      <c r="JCP280" s="414"/>
      <c r="JCS280" s="445"/>
      <c r="JCT280" s="414"/>
      <c r="JCW280" s="445"/>
      <c r="JCX280" s="414"/>
      <c r="JDA280" s="445"/>
      <c r="JDB280" s="414"/>
      <c r="JDE280" s="445"/>
      <c r="JDF280" s="414"/>
      <c r="JDI280" s="445"/>
      <c r="JDJ280" s="414"/>
      <c r="JDM280" s="445"/>
      <c r="JDN280" s="414"/>
      <c r="JDQ280" s="445"/>
      <c r="JDR280" s="414"/>
      <c r="JDU280" s="445"/>
      <c r="JDV280" s="414"/>
      <c r="JDY280" s="445"/>
      <c r="JDZ280" s="414"/>
      <c r="JEC280" s="445"/>
      <c r="JED280" s="414"/>
      <c r="JEG280" s="445"/>
      <c r="JEH280" s="414"/>
      <c r="JEK280" s="445"/>
      <c r="JEL280" s="414"/>
      <c r="JEO280" s="445"/>
      <c r="JEP280" s="414"/>
      <c r="JES280" s="445"/>
      <c r="JET280" s="414"/>
      <c r="JEW280" s="445"/>
      <c r="JEX280" s="414"/>
      <c r="JFA280" s="445"/>
      <c r="JFB280" s="414"/>
      <c r="JFE280" s="445"/>
      <c r="JFF280" s="414"/>
      <c r="JFI280" s="445"/>
      <c r="JFJ280" s="414"/>
      <c r="JFM280" s="445"/>
      <c r="JFN280" s="414"/>
      <c r="JFQ280" s="445"/>
      <c r="JFR280" s="414"/>
      <c r="JFU280" s="445"/>
      <c r="JFV280" s="414"/>
      <c r="JFY280" s="445"/>
      <c r="JFZ280" s="414"/>
      <c r="JGC280" s="445"/>
      <c r="JGD280" s="414"/>
      <c r="JGG280" s="445"/>
      <c r="JGH280" s="414"/>
      <c r="JGK280" s="445"/>
      <c r="JGL280" s="414"/>
      <c r="JGO280" s="445"/>
      <c r="JGP280" s="414"/>
      <c r="JGS280" s="445"/>
      <c r="JGT280" s="414"/>
      <c r="JGW280" s="445"/>
      <c r="JGX280" s="414"/>
      <c r="JHA280" s="445"/>
      <c r="JHB280" s="414"/>
      <c r="JHE280" s="445"/>
      <c r="JHF280" s="414"/>
      <c r="JHI280" s="445"/>
      <c r="JHJ280" s="414"/>
      <c r="JHM280" s="445"/>
      <c r="JHN280" s="414"/>
      <c r="JHQ280" s="445"/>
      <c r="JHR280" s="414"/>
      <c r="JHU280" s="445"/>
      <c r="JHV280" s="414"/>
      <c r="JHY280" s="445"/>
      <c r="JHZ280" s="414"/>
      <c r="JIC280" s="445"/>
      <c r="JID280" s="414"/>
      <c r="JIG280" s="445"/>
      <c r="JIH280" s="414"/>
      <c r="JIK280" s="445"/>
      <c r="JIL280" s="414"/>
      <c r="JIO280" s="445"/>
      <c r="JIP280" s="414"/>
      <c r="JIS280" s="445"/>
      <c r="JIT280" s="414"/>
      <c r="JIW280" s="445"/>
      <c r="JIX280" s="414"/>
      <c r="JJA280" s="445"/>
      <c r="JJB280" s="414"/>
      <c r="JJE280" s="445"/>
      <c r="JJF280" s="414"/>
      <c r="JJI280" s="445"/>
      <c r="JJJ280" s="414"/>
      <c r="JJM280" s="445"/>
      <c r="JJN280" s="414"/>
      <c r="JJQ280" s="445"/>
      <c r="JJR280" s="414"/>
      <c r="JJU280" s="445"/>
      <c r="JJV280" s="414"/>
      <c r="JJY280" s="445"/>
      <c r="JJZ280" s="414"/>
      <c r="JKC280" s="445"/>
      <c r="JKD280" s="414"/>
      <c r="JKG280" s="445"/>
      <c r="JKH280" s="414"/>
      <c r="JKK280" s="445"/>
      <c r="JKL280" s="414"/>
      <c r="JKO280" s="445"/>
      <c r="JKP280" s="414"/>
      <c r="JKS280" s="445"/>
      <c r="JKT280" s="414"/>
      <c r="JKW280" s="445"/>
      <c r="JKX280" s="414"/>
      <c r="JLA280" s="445"/>
      <c r="JLB280" s="414"/>
      <c r="JLE280" s="445"/>
      <c r="JLF280" s="414"/>
      <c r="JLI280" s="445"/>
      <c r="JLJ280" s="414"/>
      <c r="JLM280" s="445"/>
      <c r="JLN280" s="414"/>
      <c r="JLQ280" s="445"/>
      <c r="JLR280" s="414"/>
      <c r="JLU280" s="445"/>
      <c r="JLV280" s="414"/>
      <c r="JLY280" s="445"/>
      <c r="JLZ280" s="414"/>
      <c r="JMC280" s="445"/>
      <c r="JMD280" s="414"/>
      <c r="JMG280" s="445"/>
      <c r="JMH280" s="414"/>
      <c r="JMK280" s="445"/>
      <c r="JML280" s="414"/>
      <c r="JMO280" s="445"/>
      <c r="JMP280" s="414"/>
      <c r="JMS280" s="445"/>
      <c r="JMT280" s="414"/>
      <c r="JMW280" s="445"/>
      <c r="JMX280" s="414"/>
      <c r="JNA280" s="445"/>
      <c r="JNB280" s="414"/>
      <c r="JNE280" s="445"/>
      <c r="JNF280" s="414"/>
      <c r="JNI280" s="445"/>
      <c r="JNJ280" s="414"/>
      <c r="JNM280" s="445"/>
      <c r="JNN280" s="414"/>
      <c r="JNQ280" s="445"/>
      <c r="JNR280" s="414"/>
      <c r="JNU280" s="445"/>
      <c r="JNV280" s="414"/>
      <c r="JNY280" s="445"/>
      <c r="JNZ280" s="414"/>
      <c r="JOC280" s="445"/>
      <c r="JOD280" s="414"/>
      <c r="JOG280" s="445"/>
      <c r="JOH280" s="414"/>
      <c r="JOK280" s="445"/>
      <c r="JOL280" s="414"/>
      <c r="JOO280" s="445"/>
      <c r="JOP280" s="414"/>
      <c r="JOS280" s="445"/>
      <c r="JOT280" s="414"/>
      <c r="JOW280" s="445"/>
      <c r="JOX280" s="414"/>
      <c r="JPA280" s="445"/>
      <c r="JPB280" s="414"/>
      <c r="JPE280" s="445"/>
      <c r="JPF280" s="414"/>
      <c r="JPI280" s="445"/>
      <c r="JPJ280" s="414"/>
      <c r="JPM280" s="445"/>
      <c r="JPN280" s="414"/>
      <c r="JPQ280" s="445"/>
      <c r="JPR280" s="414"/>
      <c r="JPU280" s="445"/>
      <c r="JPV280" s="414"/>
      <c r="JPY280" s="445"/>
      <c r="JPZ280" s="414"/>
      <c r="JQC280" s="445"/>
      <c r="JQD280" s="414"/>
      <c r="JQG280" s="445"/>
      <c r="JQH280" s="414"/>
      <c r="JQK280" s="445"/>
      <c r="JQL280" s="414"/>
      <c r="JQO280" s="445"/>
      <c r="JQP280" s="414"/>
      <c r="JQS280" s="445"/>
      <c r="JQT280" s="414"/>
      <c r="JQW280" s="445"/>
      <c r="JQX280" s="414"/>
      <c r="JRA280" s="445"/>
      <c r="JRB280" s="414"/>
      <c r="JRE280" s="445"/>
      <c r="JRF280" s="414"/>
      <c r="JRI280" s="445"/>
      <c r="JRJ280" s="414"/>
      <c r="JRM280" s="445"/>
      <c r="JRN280" s="414"/>
      <c r="JRQ280" s="445"/>
      <c r="JRR280" s="414"/>
      <c r="JRU280" s="445"/>
      <c r="JRV280" s="414"/>
      <c r="JRY280" s="445"/>
      <c r="JRZ280" s="414"/>
      <c r="JSC280" s="445"/>
      <c r="JSD280" s="414"/>
      <c r="JSG280" s="445"/>
      <c r="JSH280" s="414"/>
      <c r="JSK280" s="445"/>
      <c r="JSL280" s="414"/>
      <c r="JSO280" s="445"/>
      <c r="JSP280" s="414"/>
      <c r="JSS280" s="445"/>
      <c r="JST280" s="414"/>
      <c r="JSW280" s="445"/>
      <c r="JSX280" s="414"/>
      <c r="JTA280" s="445"/>
      <c r="JTB280" s="414"/>
      <c r="JTE280" s="445"/>
      <c r="JTF280" s="414"/>
      <c r="JTI280" s="445"/>
      <c r="JTJ280" s="414"/>
      <c r="JTM280" s="445"/>
      <c r="JTN280" s="414"/>
      <c r="JTQ280" s="445"/>
      <c r="JTR280" s="414"/>
      <c r="JTU280" s="445"/>
      <c r="JTV280" s="414"/>
      <c r="JTY280" s="445"/>
      <c r="JTZ280" s="414"/>
      <c r="JUC280" s="445"/>
      <c r="JUD280" s="414"/>
      <c r="JUG280" s="445"/>
      <c r="JUH280" s="414"/>
      <c r="JUK280" s="445"/>
      <c r="JUL280" s="414"/>
      <c r="JUO280" s="445"/>
      <c r="JUP280" s="414"/>
      <c r="JUS280" s="445"/>
      <c r="JUT280" s="414"/>
      <c r="JUW280" s="445"/>
      <c r="JUX280" s="414"/>
      <c r="JVA280" s="445"/>
      <c r="JVB280" s="414"/>
      <c r="JVE280" s="445"/>
      <c r="JVF280" s="414"/>
      <c r="JVI280" s="445"/>
      <c r="JVJ280" s="414"/>
      <c r="JVM280" s="445"/>
      <c r="JVN280" s="414"/>
      <c r="JVQ280" s="445"/>
      <c r="JVR280" s="414"/>
      <c r="JVU280" s="445"/>
      <c r="JVV280" s="414"/>
      <c r="JVY280" s="445"/>
      <c r="JVZ280" s="414"/>
      <c r="JWC280" s="445"/>
      <c r="JWD280" s="414"/>
      <c r="JWG280" s="445"/>
      <c r="JWH280" s="414"/>
      <c r="JWK280" s="445"/>
      <c r="JWL280" s="414"/>
      <c r="JWO280" s="445"/>
      <c r="JWP280" s="414"/>
      <c r="JWS280" s="445"/>
      <c r="JWT280" s="414"/>
      <c r="JWW280" s="445"/>
      <c r="JWX280" s="414"/>
      <c r="JXA280" s="445"/>
      <c r="JXB280" s="414"/>
      <c r="JXE280" s="445"/>
      <c r="JXF280" s="414"/>
      <c r="JXI280" s="445"/>
      <c r="JXJ280" s="414"/>
      <c r="JXM280" s="445"/>
      <c r="JXN280" s="414"/>
      <c r="JXQ280" s="445"/>
      <c r="JXR280" s="414"/>
      <c r="JXU280" s="445"/>
      <c r="JXV280" s="414"/>
      <c r="JXY280" s="445"/>
      <c r="JXZ280" s="414"/>
      <c r="JYC280" s="445"/>
      <c r="JYD280" s="414"/>
      <c r="JYG280" s="445"/>
      <c r="JYH280" s="414"/>
      <c r="JYK280" s="445"/>
      <c r="JYL280" s="414"/>
      <c r="JYO280" s="445"/>
      <c r="JYP280" s="414"/>
      <c r="JYS280" s="445"/>
      <c r="JYT280" s="414"/>
      <c r="JYW280" s="445"/>
      <c r="JYX280" s="414"/>
      <c r="JZA280" s="445"/>
      <c r="JZB280" s="414"/>
      <c r="JZE280" s="445"/>
      <c r="JZF280" s="414"/>
      <c r="JZI280" s="445"/>
      <c r="JZJ280" s="414"/>
      <c r="JZM280" s="445"/>
      <c r="JZN280" s="414"/>
      <c r="JZQ280" s="445"/>
      <c r="JZR280" s="414"/>
      <c r="JZU280" s="445"/>
      <c r="JZV280" s="414"/>
      <c r="JZY280" s="445"/>
      <c r="JZZ280" s="414"/>
      <c r="KAC280" s="445"/>
      <c r="KAD280" s="414"/>
      <c r="KAG280" s="445"/>
      <c r="KAH280" s="414"/>
      <c r="KAK280" s="445"/>
      <c r="KAL280" s="414"/>
      <c r="KAO280" s="445"/>
      <c r="KAP280" s="414"/>
      <c r="KAS280" s="445"/>
      <c r="KAT280" s="414"/>
      <c r="KAW280" s="445"/>
      <c r="KAX280" s="414"/>
      <c r="KBA280" s="445"/>
      <c r="KBB280" s="414"/>
      <c r="KBE280" s="445"/>
      <c r="KBF280" s="414"/>
      <c r="KBI280" s="445"/>
      <c r="KBJ280" s="414"/>
      <c r="KBM280" s="445"/>
      <c r="KBN280" s="414"/>
      <c r="KBQ280" s="445"/>
      <c r="KBR280" s="414"/>
      <c r="KBU280" s="445"/>
      <c r="KBV280" s="414"/>
      <c r="KBY280" s="445"/>
      <c r="KBZ280" s="414"/>
      <c r="KCC280" s="445"/>
      <c r="KCD280" s="414"/>
      <c r="KCG280" s="445"/>
      <c r="KCH280" s="414"/>
      <c r="KCK280" s="445"/>
      <c r="KCL280" s="414"/>
      <c r="KCO280" s="445"/>
      <c r="KCP280" s="414"/>
      <c r="KCS280" s="445"/>
      <c r="KCT280" s="414"/>
      <c r="KCW280" s="445"/>
      <c r="KCX280" s="414"/>
      <c r="KDA280" s="445"/>
      <c r="KDB280" s="414"/>
      <c r="KDE280" s="445"/>
      <c r="KDF280" s="414"/>
      <c r="KDI280" s="445"/>
      <c r="KDJ280" s="414"/>
      <c r="KDM280" s="445"/>
      <c r="KDN280" s="414"/>
      <c r="KDQ280" s="445"/>
      <c r="KDR280" s="414"/>
      <c r="KDU280" s="445"/>
      <c r="KDV280" s="414"/>
      <c r="KDY280" s="445"/>
      <c r="KDZ280" s="414"/>
      <c r="KEC280" s="445"/>
      <c r="KED280" s="414"/>
      <c r="KEG280" s="445"/>
      <c r="KEH280" s="414"/>
      <c r="KEK280" s="445"/>
      <c r="KEL280" s="414"/>
      <c r="KEO280" s="445"/>
      <c r="KEP280" s="414"/>
      <c r="KES280" s="445"/>
      <c r="KET280" s="414"/>
      <c r="KEW280" s="445"/>
      <c r="KEX280" s="414"/>
      <c r="KFA280" s="445"/>
      <c r="KFB280" s="414"/>
      <c r="KFE280" s="445"/>
      <c r="KFF280" s="414"/>
      <c r="KFI280" s="445"/>
      <c r="KFJ280" s="414"/>
      <c r="KFM280" s="445"/>
      <c r="KFN280" s="414"/>
      <c r="KFQ280" s="445"/>
      <c r="KFR280" s="414"/>
      <c r="KFU280" s="445"/>
      <c r="KFV280" s="414"/>
      <c r="KFY280" s="445"/>
      <c r="KFZ280" s="414"/>
      <c r="KGC280" s="445"/>
      <c r="KGD280" s="414"/>
      <c r="KGG280" s="445"/>
      <c r="KGH280" s="414"/>
      <c r="KGK280" s="445"/>
      <c r="KGL280" s="414"/>
      <c r="KGO280" s="445"/>
      <c r="KGP280" s="414"/>
      <c r="KGS280" s="445"/>
      <c r="KGT280" s="414"/>
      <c r="KGW280" s="445"/>
      <c r="KGX280" s="414"/>
      <c r="KHA280" s="445"/>
      <c r="KHB280" s="414"/>
      <c r="KHE280" s="445"/>
      <c r="KHF280" s="414"/>
      <c r="KHI280" s="445"/>
      <c r="KHJ280" s="414"/>
      <c r="KHM280" s="445"/>
      <c r="KHN280" s="414"/>
      <c r="KHQ280" s="445"/>
      <c r="KHR280" s="414"/>
      <c r="KHU280" s="445"/>
      <c r="KHV280" s="414"/>
      <c r="KHY280" s="445"/>
      <c r="KHZ280" s="414"/>
      <c r="KIC280" s="445"/>
      <c r="KID280" s="414"/>
      <c r="KIG280" s="445"/>
      <c r="KIH280" s="414"/>
      <c r="KIK280" s="445"/>
      <c r="KIL280" s="414"/>
      <c r="KIO280" s="445"/>
      <c r="KIP280" s="414"/>
      <c r="KIS280" s="445"/>
      <c r="KIT280" s="414"/>
      <c r="KIW280" s="445"/>
      <c r="KIX280" s="414"/>
      <c r="KJA280" s="445"/>
      <c r="KJB280" s="414"/>
      <c r="KJE280" s="445"/>
      <c r="KJF280" s="414"/>
      <c r="KJI280" s="445"/>
      <c r="KJJ280" s="414"/>
      <c r="KJM280" s="445"/>
      <c r="KJN280" s="414"/>
      <c r="KJQ280" s="445"/>
      <c r="KJR280" s="414"/>
      <c r="KJU280" s="445"/>
      <c r="KJV280" s="414"/>
      <c r="KJY280" s="445"/>
      <c r="KJZ280" s="414"/>
      <c r="KKC280" s="445"/>
      <c r="KKD280" s="414"/>
      <c r="KKG280" s="445"/>
      <c r="KKH280" s="414"/>
      <c r="KKK280" s="445"/>
      <c r="KKL280" s="414"/>
      <c r="KKO280" s="445"/>
      <c r="KKP280" s="414"/>
      <c r="KKS280" s="445"/>
      <c r="KKT280" s="414"/>
      <c r="KKW280" s="445"/>
      <c r="KKX280" s="414"/>
      <c r="KLA280" s="445"/>
      <c r="KLB280" s="414"/>
      <c r="KLE280" s="445"/>
      <c r="KLF280" s="414"/>
      <c r="KLI280" s="445"/>
      <c r="KLJ280" s="414"/>
      <c r="KLM280" s="445"/>
      <c r="KLN280" s="414"/>
      <c r="KLQ280" s="445"/>
      <c r="KLR280" s="414"/>
      <c r="KLU280" s="445"/>
      <c r="KLV280" s="414"/>
      <c r="KLY280" s="445"/>
      <c r="KLZ280" s="414"/>
      <c r="KMC280" s="445"/>
      <c r="KMD280" s="414"/>
      <c r="KMG280" s="445"/>
      <c r="KMH280" s="414"/>
      <c r="KMK280" s="445"/>
      <c r="KML280" s="414"/>
      <c r="KMO280" s="445"/>
      <c r="KMP280" s="414"/>
      <c r="KMS280" s="445"/>
      <c r="KMT280" s="414"/>
      <c r="KMW280" s="445"/>
      <c r="KMX280" s="414"/>
      <c r="KNA280" s="445"/>
      <c r="KNB280" s="414"/>
      <c r="KNE280" s="445"/>
      <c r="KNF280" s="414"/>
      <c r="KNI280" s="445"/>
      <c r="KNJ280" s="414"/>
      <c r="KNM280" s="445"/>
      <c r="KNN280" s="414"/>
      <c r="KNQ280" s="445"/>
      <c r="KNR280" s="414"/>
      <c r="KNU280" s="445"/>
      <c r="KNV280" s="414"/>
      <c r="KNY280" s="445"/>
      <c r="KNZ280" s="414"/>
      <c r="KOC280" s="445"/>
      <c r="KOD280" s="414"/>
      <c r="KOG280" s="445"/>
      <c r="KOH280" s="414"/>
      <c r="KOK280" s="445"/>
      <c r="KOL280" s="414"/>
      <c r="KOO280" s="445"/>
      <c r="KOP280" s="414"/>
      <c r="KOS280" s="445"/>
      <c r="KOT280" s="414"/>
      <c r="KOW280" s="445"/>
      <c r="KOX280" s="414"/>
      <c r="KPA280" s="445"/>
      <c r="KPB280" s="414"/>
      <c r="KPE280" s="445"/>
      <c r="KPF280" s="414"/>
      <c r="KPI280" s="445"/>
      <c r="KPJ280" s="414"/>
      <c r="KPM280" s="445"/>
      <c r="KPN280" s="414"/>
      <c r="KPQ280" s="445"/>
      <c r="KPR280" s="414"/>
      <c r="KPU280" s="445"/>
      <c r="KPV280" s="414"/>
      <c r="KPY280" s="445"/>
      <c r="KPZ280" s="414"/>
      <c r="KQC280" s="445"/>
      <c r="KQD280" s="414"/>
      <c r="KQG280" s="445"/>
      <c r="KQH280" s="414"/>
      <c r="KQK280" s="445"/>
      <c r="KQL280" s="414"/>
      <c r="KQO280" s="445"/>
      <c r="KQP280" s="414"/>
      <c r="KQS280" s="445"/>
      <c r="KQT280" s="414"/>
      <c r="KQW280" s="445"/>
      <c r="KQX280" s="414"/>
      <c r="KRA280" s="445"/>
      <c r="KRB280" s="414"/>
      <c r="KRE280" s="445"/>
      <c r="KRF280" s="414"/>
      <c r="KRI280" s="445"/>
      <c r="KRJ280" s="414"/>
      <c r="KRM280" s="445"/>
      <c r="KRN280" s="414"/>
      <c r="KRQ280" s="445"/>
      <c r="KRR280" s="414"/>
      <c r="KRU280" s="445"/>
      <c r="KRV280" s="414"/>
      <c r="KRY280" s="445"/>
      <c r="KRZ280" s="414"/>
      <c r="KSC280" s="445"/>
      <c r="KSD280" s="414"/>
      <c r="KSG280" s="445"/>
      <c r="KSH280" s="414"/>
      <c r="KSK280" s="445"/>
      <c r="KSL280" s="414"/>
      <c r="KSO280" s="445"/>
      <c r="KSP280" s="414"/>
      <c r="KSS280" s="445"/>
      <c r="KST280" s="414"/>
      <c r="KSW280" s="445"/>
      <c r="KSX280" s="414"/>
      <c r="KTA280" s="445"/>
      <c r="KTB280" s="414"/>
      <c r="KTE280" s="445"/>
      <c r="KTF280" s="414"/>
      <c r="KTI280" s="445"/>
      <c r="KTJ280" s="414"/>
      <c r="KTM280" s="445"/>
      <c r="KTN280" s="414"/>
      <c r="KTQ280" s="445"/>
      <c r="KTR280" s="414"/>
      <c r="KTU280" s="445"/>
      <c r="KTV280" s="414"/>
      <c r="KTY280" s="445"/>
      <c r="KTZ280" s="414"/>
      <c r="KUC280" s="445"/>
      <c r="KUD280" s="414"/>
      <c r="KUG280" s="445"/>
      <c r="KUH280" s="414"/>
      <c r="KUK280" s="445"/>
      <c r="KUL280" s="414"/>
      <c r="KUO280" s="445"/>
      <c r="KUP280" s="414"/>
      <c r="KUS280" s="445"/>
      <c r="KUT280" s="414"/>
      <c r="KUW280" s="445"/>
      <c r="KUX280" s="414"/>
      <c r="KVA280" s="445"/>
      <c r="KVB280" s="414"/>
      <c r="KVE280" s="445"/>
      <c r="KVF280" s="414"/>
      <c r="KVI280" s="445"/>
      <c r="KVJ280" s="414"/>
      <c r="KVM280" s="445"/>
      <c r="KVN280" s="414"/>
      <c r="KVQ280" s="445"/>
      <c r="KVR280" s="414"/>
      <c r="KVU280" s="445"/>
      <c r="KVV280" s="414"/>
      <c r="KVY280" s="445"/>
      <c r="KVZ280" s="414"/>
      <c r="KWC280" s="445"/>
      <c r="KWD280" s="414"/>
      <c r="KWG280" s="445"/>
      <c r="KWH280" s="414"/>
      <c r="KWK280" s="445"/>
      <c r="KWL280" s="414"/>
      <c r="KWO280" s="445"/>
      <c r="KWP280" s="414"/>
      <c r="KWS280" s="445"/>
      <c r="KWT280" s="414"/>
      <c r="KWW280" s="445"/>
      <c r="KWX280" s="414"/>
      <c r="KXA280" s="445"/>
      <c r="KXB280" s="414"/>
      <c r="KXE280" s="445"/>
      <c r="KXF280" s="414"/>
      <c r="KXI280" s="445"/>
      <c r="KXJ280" s="414"/>
      <c r="KXM280" s="445"/>
      <c r="KXN280" s="414"/>
      <c r="KXQ280" s="445"/>
      <c r="KXR280" s="414"/>
      <c r="KXU280" s="445"/>
      <c r="KXV280" s="414"/>
      <c r="KXY280" s="445"/>
      <c r="KXZ280" s="414"/>
      <c r="KYC280" s="445"/>
      <c r="KYD280" s="414"/>
      <c r="KYG280" s="445"/>
      <c r="KYH280" s="414"/>
      <c r="KYK280" s="445"/>
      <c r="KYL280" s="414"/>
      <c r="KYO280" s="445"/>
      <c r="KYP280" s="414"/>
      <c r="KYS280" s="445"/>
      <c r="KYT280" s="414"/>
      <c r="KYW280" s="445"/>
      <c r="KYX280" s="414"/>
      <c r="KZA280" s="445"/>
      <c r="KZB280" s="414"/>
      <c r="KZE280" s="445"/>
      <c r="KZF280" s="414"/>
      <c r="KZI280" s="445"/>
      <c r="KZJ280" s="414"/>
      <c r="KZM280" s="445"/>
      <c r="KZN280" s="414"/>
      <c r="KZQ280" s="445"/>
      <c r="KZR280" s="414"/>
      <c r="KZU280" s="445"/>
      <c r="KZV280" s="414"/>
      <c r="KZY280" s="445"/>
      <c r="KZZ280" s="414"/>
      <c r="LAC280" s="445"/>
      <c r="LAD280" s="414"/>
      <c r="LAG280" s="445"/>
      <c r="LAH280" s="414"/>
      <c r="LAK280" s="445"/>
      <c r="LAL280" s="414"/>
      <c r="LAO280" s="445"/>
      <c r="LAP280" s="414"/>
      <c r="LAS280" s="445"/>
      <c r="LAT280" s="414"/>
      <c r="LAW280" s="445"/>
      <c r="LAX280" s="414"/>
      <c r="LBA280" s="445"/>
      <c r="LBB280" s="414"/>
      <c r="LBE280" s="445"/>
      <c r="LBF280" s="414"/>
      <c r="LBI280" s="445"/>
      <c r="LBJ280" s="414"/>
      <c r="LBM280" s="445"/>
      <c r="LBN280" s="414"/>
      <c r="LBQ280" s="445"/>
      <c r="LBR280" s="414"/>
      <c r="LBU280" s="445"/>
      <c r="LBV280" s="414"/>
      <c r="LBY280" s="445"/>
      <c r="LBZ280" s="414"/>
      <c r="LCC280" s="445"/>
      <c r="LCD280" s="414"/>
      <c r="LCG280" s="445"/>
      <c r="LCH280" s="414"/>
      <c r="LCK280" s="445"/>
      <c r="LCL280" s="414"/>
      <c r="LCO280" s="445"/>
      <c r="LCP280" s="414"/>
      <c r="LCS280" s="445"/>
      <c r="LCT280" s="414"/>
      <c r="LCW280" s="445"/>
      <c r="LCX280" s="414"/>
      <c r="LDA280" s="445"/>
      <c r="LDB280" s="414"/>
      <c r="LDE280" s="445"/>
      <c r="LDF280" s="414"/>
      <c r="LDI280" s="445"/>
      <c r="LDJ280" s="414"/>
      <c r="LDM280" s="445"/>
      <c r="LDN280" s="414"/>
      <c r="LDQ280" s="445"/>
      <c r="LDR280" s="414"/>
      <c r="LDU280" s="445"/>
      <c r="LDV280" s="414"/>
      <c r="LDY280" s="445"/>
      <c r="LDZ280" s="414"/>
      <c r="LEC280" s="445"/>
      <c r="LED280" s="414"/>
      <c r="LEG280" s="445"/>
      <c r="LEH280" s="414"/>
      <c r="LEK280" s="445"/>
      <c r="LEL280" s="414"/>
      <c r="LEO280" s="445"/>
      <c r="LEP280" s="414"/>
      <c r="LES280" s="445"/>
      <c r="LET280" s="414"/>
      <c r="LEW280" s="445"/>
      <c r="LEX280" s="414"/>
      <c r="LFA280" s="445"/>
      <c r="LFB280" s="414"/>
      <c r="LFE280" s="445"/>
      <c r="LFF280" s="414"/>
      <c r="LFI280" s="445"/>
      <c r="LFJ280" s="414"/>
      <c r="LFM280" s="445"/>
      <c r="LFN280" s="414"/>
      <c r="LFQ280" s="445"/>
      <c r="LFR280" s="414"/>
      <c r="LFU280" s="445"/>
      <c r="LFV280" s="414"/>
      <c r="LFY280" s="445"/>
      <c r="LFZ280" s="414"/>
      <c r="LGC280" s="445"/>
      <c r="LGD280" s="414"/>
      <c r="LGG280" s="445"/>
      <c r="LGH280" s="414"/>
      <c r="LGK280" s="445"/>
      <c r="LGL280" s="414"/>
      <c r="LGO280" s="445"/>
      <c r="LGP280" s="414"/>
      <c r="LGS280" s="445"/>
      <c r="LGT280" s="414"/>
      <c r="LGW280" s="445"/>
      <c r="LGX280" s="414"/>
      <c r="LHA280" s="445"/>
      <c r="LHB280" s="414"/>
      <c r="LHE280" s="445"/>
      <c r="LHF280" s="414"/>
      <c r="LHI280" s="445"/>
      <c r="LHJ280" s="414"/>
      <c r="LHM280" s="445"/>
      <c r="LHN280" s="414"/>
      <c r="LHQ280" s="445"/>
      <c r="LHR280" s="414"/>
      <c r="LHU280" s="445"/>
      <c r="LHV280" s="414"/>
      <c r="LHY280" s="445"/>
      <c r="LHZ280" s="414"/>
      <c r="LIC280" s="445"/>
      <c r="LID280" s="414"/>
      <c r="LIG280" s="445"/>
      <c r="LIH280" s="414"/>
      <c r="LIK280" s="445"/>
      <c r="LIL280" s="414"/>
      <c r="LIO280" s="445"/>
      <c r="LIP280" s="414"/>
      <c r="LIS280" s="445"/>
      <c r="LIT280" s="414"/>
      <c r="LIW280" s="445"/>
      <c r="LIX280" s="414"/>
      <c r="LJA280" s="445"/>
      <c r="LJB280" s="414"/>
      <c r="LJE280" s="445"/>
      <c r="LJF280" s="414"/>
      <c r="LJI280" s="445"/>
      <c r="LJJ280" s="414"/>
      <c r="LJM280" s="445"/>
      <c r="LJN280" s="414"/>
      <c r="LJQ280" s="445"/>
      <c r="LJR280" s="414"/>
      <c r="LJU280" s="445"/>
      <c r="LJV280" s="414"/>
      <c r="LJY280" s="445"/>
      <c r="LJZ280" s="414"/>
      <c r="LKC280" s="445"/>
      <c r="LKD280" s="414"/>
      <c r="LKG280" s="445"/>
      <c r="LKH280" s="414"/>
      <c r="LKK280" s="445"/>
      <c r="LKL280" s="414"/>
      <c r="LKO280" s="445"/>
      <c r="LKP280" s="414"/>
      <c r="LKS280" s="445"/>
      <c r="LKT280" s="414"/>
      <c r="LKW280" s="445"/>
      <c r="LKX280" s="414"/>
      <c r="LLA280" s="445"/>
      <c r="LLB280" s="414"/>
      <c r="LLE280" s="445"/>
      <c r="LLF280" s="414"/>
      <c r="LLI280" s="445"/>
      <c r="LLJ280" s="414"/>
      <c r="LLM280" s="445"/>
      <c r="LLN280" s="414"/>
      <c r="LLQ280" s="445"/>
      <c r="LLR280" s="414"/>
      <c r="LLU280" s="445"/>
      <c r="LLV280" s="414"/>
      <c r="LLY280" s="445"/>
      <c r="LLZ280" s="414"/>
      <c r="LMC280" s="445"/>
      <c r="LMD280" s="414"/>
      <c r="LMG280" s="445"/>
      <c r="LMH280" s="414"/>
      <c r="LMK280" s="445"/>
      <c r="LML280" s="414"/>
      <c r="LMO280" s="445"/>
      <c r="LMP280" s="414"/>
      <c r="LMS280" s="445"/>
      <c r="LMT280" s="414"/>
      <c r="LMW280" s="445"/>
      <c r="LMX280" s="414"/>
      <c r="LNA280" s="445"/>
      <c r="LNB280" s="414"/>
      <c r="LNE280" s="445"/>
      <c r="LNF280" s="414"/>
      <c r="LNI280" s="445"/>
      <c r="LNJ280" s="414"/>
      <c r="LNM280" s="445"/>
      <c r="LNN280" s="414"/>
      <c r="LNQ280" s="445"/>
      <c r="LNR280" s="414"/>
      <c r="LNU280" s="445"/>
      <c r="LNV280" s="414"/>
      <c r="LNY280" s="445"/>
      <c r="LNZ280" s="414"/>
      <c r="LOC280" s="445"/>
      <c r="LOD280" s="414"/>
      <c r="LOG280" s="445"/>
      <c r="LOH280" s="414"/>
      <c r="LOK280" s="445"/>
      <c r="LOL280" s="414"/>
      <c r="LOO280" s="445"/>
      <c r="LOP280" s="414"/>
      <c r="LOS280" s="445"/>
      <c r="LOT280" s="414"/>
      <c r="LOW280" s="445"/>
      <c r="LOX280" s="414"/>
      <c r="LPA280" s="445"/>
      <c r="LPB280" s="414"/>
      <c r="LPE280" s="445"/>
      <c r="LPF280" s="414"/>
      <c r="LPI280" s="445"/>
      <c r="LPJ280" s="414"/>
      <c r="LPM280" s="445"/>
      <c r="LPN280" s="414"/>
      <c r="LPQ280" s="445"/>
      <c r="LPR280" s="414"/>
      <c r="LPU280" s="445"/>
      <c r="LPV280" s="414"/>
      <c r="LPY280" s="445"/>
      <c r="LPZ280" s="414"/>
      <c r="LQC280" s="445"/>
      <c r="LQD280" s="414"/>
      <c r="LQG280" s="445"/>
      <c r="LQH280" s="414"/>
      <c r="LQK280" s="445"/>
      <c r="LQL280" s="414"/>
      <c r="LQO280" s="445"/>
      <c r="LQP280" s="414"/>
      <c r="LQS280" s="445"/>
      <c r="LQT280" s="414"/>
      <c r="LQW280" s="445"/>
      <c r="LQX280" s="414"/>
      <c r="LRA280" s="445"/>
      <c r="LRB280" s="414"/>
      <c r="LRE280" s="445"/>
      <c r="LRF280" s="414"/>
      <c r="LRI280" s="445"/>
      <c r="LRJ280" s="414"/>
      <c r="LRM280" s="445"/>
      <c r="LRN280" s="414"/>
      <c r="LRQ280" s="445"/>
      <c r="LRR280" s="414"/>
      <c r="LRU280" s="445"/>
      <c r="LRV280" s="414"/>
      <c r="LRY280" s="445"/>
      <c r="LRZ280" s="414"/>
      <c r="LSC280" s="445"/>
      <c r="LSD280" s="414"/>
      <c r="LSG280" s="445"/>
      <c r="LSH280" s="414"/>
      <c r="LSK280" s="445"/>
      <c r="LSL280" s="414"/>
      <c r="LSO280" s="445"/>
      <c r="LSP280" s="414"/>
      <c r="LSS280" s="445"/>
      <c r="LST280" s="414"/>
      <c r="LSW280" s="445"/>
      <c r="LSX280" s="414"/>
      <c r="LTA280" s="445"/>
      <c r="LTB280" s="414"/>
      <c r="LTE280" s="445"/>
      <c r="LTF280" s="414"/>
      <c r="LTI280" s="445"/>
      <c r="LTJ280" s="414"/>
      <c r="LTM280" s="445"/>
      <c r="LTN280" s="414"/>
      <c r="LTQ280" s="445"/>
      <c r="LTR280" s="414"/>
      <c r="LTU280" s="445"/>
      <c r="LTV280" s="414"/>
      <c r="LTY280" s="445"/>
      <c r="LTZ280" s="414"/>
      <c r="LUC280" s="445"/>
      <c r="LUD280" s="414"/>
      <c r="LUG280" s="445"/>
      <c r="LUH280" s="414"/>
      <c r="LUK280" s="445"/>
      <c r="LUL280" s="414"/>
      <c r="LUO280" s="445"/>
      <c r="LUP280" s="414"/>
      <c r="LUS280" s="445"/>
      <c r="LUT280" s="414"/>
      <c r="LUW280" s="445"/>
      <c r="LUX280" s="414"/>
      <c r="LVA280" s="445"/>
      <c r="LVB280" s="414"/>
      <c r="LVE280" s="445"/>
      <c r="LVF280" s="414"/>
      <c r="LVI280" s="445"/>
      <c r="LVJ280" s="414"/>
      <c r="LVM280" s="445"/>
      <c r="LVN280" s="414"/>
      <c r="LVQ280" s="445"/>
      <c r="LVR280" s="414"/>
      <c r="LVU280" s="445"/>
      <c r="LVV280" s="414"/>
      <c r="LVY280" s="445"/>
      <c r="LVZ280" s="414"/>
      <c r="LWC280" s="445"/>
      <c r="LWD280" s="414"/>
      <c r="LWG280" s="445"/>
      <c r="LWH280" s="414"/>
      <c r="LWK280" s="445"/>
      <c r="LWL280" s="414"/>
      <c r="LWO280" s="445"/>
      <c r="LWP280" s="414"/>
      <c r="LWS280" s="445"/>
      <c r="LWT280" s="414"/>
      <c r="LWW280" s="445"/>
      <c r="LWX280" s="414"/>
      <c r="LXA280" s="445"/>
      <c r="LXB280" s="414"/>
      <c r="LXE280" s="445"/>
      <c r="LXF280" s="414"/>
      <c r="LXI280" s="445"/>
      <c r="LXJ280" s="414"/>
      <c r="LXM280" s="445"/>
      <c r="LXN280" s="414"/>
      <c r="LXQ280" s="445"/>
      <c r="LXR280" s="414"/>
      <c r="LXU280" s="445"/>
      <c r="LXV280" s="414"/>
      <c r="LXY280" s="445"/>
      <c r="LXZ280" s="414"/>
      <c r="LYC280" s="445"/>
      <c r="LYD280" s="414"/>
      <c r="LYG280" s="445"/>
      <c r="LYH280" s="414"/>
      <c r="LYK280" s="445"/>
      <c r="LYL280" s="414"/>
      <c r="LYO280" s="445"/>
      <c r="LYP280" s="414"/>
      <c r="LYS280" s="445"/>
      <c r="LYT280" s="414"/>
      <c r="LYW280" s="445"/>
      <c r="LYX280" s="414"/>
      <c r="LZA280" s="445"/>
      <c r="LZB280" s="414"/>
      <c r="LZE280" s="445"/>
      <c r="LZF280" s="414"/>
      <c r="LZI280" s="445"/>
      <c r="LZJ280" s="414"/>
      <c r="LZM280" s="445"/>
      <c r="LZN280" s="414"/>
      <c r="LZQ280" s="445"/>
      <c r="LZR280" s="414"/>
      <c r="LZU280" s="445"/>
      <c r="LZV280" s="414"/>
      <c r="LZY280" s="445"/>
      <c r="LZZ280" s="414"/>
      <c r="MAC280" s="445"/>
      <c r="MAD280" s="414"/>
      <c r="MAG280" s="445"/>
      <c r="MAH280" s="414"/>
      <c r="MAK280" s="445"/>
      <c r="MAL280" s="414"/>
      <c r="MAO280" s="445"/>
      <c r="MAP280" s="414"/>
      <c r="MAS280" s="445"/>
      <c r="MAT280" s="414"/>
      <c r="MAW280" s="445"/>
      <c r="MAX280" s="414"/>
      <c r="MBA280" s="445"/>
      <c r="MBB280" s="414"/>
      <c r="MBE280" s="445"/>
      <c r="MBF280" s="414"/>
      <c r="MBI280" s="445"/>
      <c r="MBJ280" s="414"/>
      <c r="MBM280" s="445"/>
      <c r="MBN280" s="414"/>
      <c r="MBQ280" s="445"/>
      <c r="MBR280" s="414"/>
      <c r="MBU280" s="445"/>
      <c r="MBV280" s="414"/>
      <c r="MBY280" s="445"/>
      <c r="MBZ280" s="414"/>
      <c r="MCC280" s="445"/>
      <c r="MCD280" s="414"/>
      <c r="MCG280" s="445"/>
      <c r="MCH280" s="414"/>
      <c r="MCK280" s="445"/>
      <c r="MCL280" s="414"/>
      <c r="MCO280" s="445"/>
      <c r="MCP280" s="414"/>
      <c r="MCS280" s="445"/>
      <c r="MCT280" s="414"/>
      <c r="MCW280" s="445"/>
      <c r="MCX280" s="414"/>
      <c r="MDA280" s="445"/>
      <c r="MDB280" s="414"/>
      <c r="MDE280" s="445"/>
      <c r="MDF280" s="414"/>
      <c r="MDI280" s="445"/>
      <c r="MDJ280" s="414"/>
      <c r="MDM280" s="445"/>
      <c r="MDN280" s="414"/>
      <c r="MDQ280" s="445"/>
      <c r="MDR280" s="414"/>
      <c r="MDU280" s="445"/>
      <c r="MDV280" s="414"/>
      <c r="MDY280" s="445"/>
      <c r="MDZ280" s="414"/>
      <c r="MEC280" s="445"/>
      <c r="MED280" s="414"/>
      <c r="MEG280" s="445"/>
      <c r="MEH280" s="414"/>
      <c r="MEK280" s="445"/>
      <c r="MEL280" s="414"/>
      <c r="MEO280" s="445"/>
      <c r="MEP280" s="414"/>
      <c r="MES280" s="445"/>
      <c r="MET280" s="414"/>
      <c r="MEW280" s="445"/>
      <c r="MEX280" s="414"/>
      <c r="MFA280" s="445"/>
      <c r="MFB280" s="414"/>
      <c r="MFE280" s="445"/>
      <c r="MFF280" s="414"/>
      <c r="MFI280" s="445"/>
      <c r="MFJ280" s="414"/>
      <c r="MFM280" s="445"/>
      <c r="MFN280" s="414"/>
      <c r="MFQ280" s="445"/>
      <c r="MFR280" s="414"/>
      <c r="MFU280" s="445"/>
      <c r="MFV280" s="414"/>
      <c r="MFY280" s="445"/>
      <c r="MFZ280" s="414"/>
      <c r="MGC280" s="445"/>
      <c r="MGD280" s="414"/>
      <c r="MGG280" s="445"/>
      <c r="MGH280" s="414"/>
      <c r="MGK280" s="445"/>
      <c r="MGL280" s="414"/>
      <c r="MGO280" s="445"/>
      <c r="MGP280" s="414"/>
      <c r="MGS280" s="445"/>
      <c r="MGT280" s="414"/>
      <c r="MGW280" s="445"/>
      <c r="MGX280" s="414"/>
      <c r="MHA280" s="445"/>
      <c r="MHB280" s="414"/>
      <c r="MHE280" s="445"/>
      <c r="MHF280" s="414"/>
      <c r="MHI280" s="445"/>
      <c r="MHJ280" s="414"/>
      <c r="MHM280" s="445"/>
      <c r="MHN280" s="414"/>
      <c r="MHQ280" s="445"/>
      <c r="MHR280" s="414"/>
      <c r="MHU280" s="445"/>
      <c r="MHV280" s="414"/>
      <c r="MHY280" s="445"/>
      <c r="MHZ280" s="414"/>
      <c r="MIC280" s="445"/>
      <c r="MID280" s="414"/>
      <c r="MIG280" s="445"/>
      <c r="MIH280" s="414"/>
      <c r="MIK280" s="445"/>
      <c r="MIL280" s="414"/>
      <c r="MIO280" s="445"/>
      <c r="MIP280" s="414"/>
      <c r="MIS280" s="445"/>
      <c r="MIT280" s="414"/>
      <c r="MIW280" s="445"/>
      <c r="MIX280" s="414"/>
      <c r="MJA280" s="445"/>
      <c r="MJB280" s="414"/>
      <c r="MJE280" s="445"/>
      <c r="MJF280" s="414"/>
      <c r="MJI280" s="445"/>
      <c r="MJJ280" s="414"/>
      <c r="MJM280" s="445"/>
      <c r="MJN280" s="414"/>
      <c r="MJQ280" s="445"/>
      <c r="MJR280" s="414"/>
      <c r="MJU280" s="445"/>
      <c r="MJV280" s="414"/>
      <c r="MJY280" s="445"/>
      <c r="MJZ280" s="414"/>
      <c r="MKC280" s="445"/>
      <c r="MKD280" s="414"/>
      <c r="MKG280" s="445"/>
      <c r="MKH280" s="414"/>
      <c r="MKK280" s="445"/>
      <c r="MKL280" s="414"/>
      <c r="MKO280" s="445"/>
      <c r="MKP280" s="414"/>
      <c r="MKS280" s="445"/>
      <c r="MKT280" s="414"/>
      <c r="MKW280" s="445"/>
      <c r="MKX280" s="414"/>
      <c r="MLA280" s="445"/>
      <c r="MLB280" s="414"/>
      <c r="MLE280" s="445"/>
      <c r="MLF280" s="414"/>
      <c r="MLI280" s="445"/>
      <c r="MLJ280" s="414"/>
      <c r="MLM280" s="445"/>
      <c r="MLN280" s="414"/>
      <c r="MLQ280" s="445"/>
      <c r="MLR280" s="414"/>
      <c r="MLU280" s="445"/>
      <c r="MLV280" s="414"/>
      <c r="MLY280" s="445"/>
      <c r="MLZ280" s="414"/>
      <c r="MMC280" s="445"/>
      <c r="MMD280" s="414"/>
      <c r="MMG280" s="445"/>
      <c r="MMH280" s="414"/>
      <c r="MMK280" s="445"/>
      <c r="MML280" s="414"/>
      <c r="MMO280" s="445"/>
      <c r="MMP280" s="414"/>
      <c r="MMS280" s="445"/>
      <c r="MMT280" s="414"/>
      <c r="MMW280" s="445"/>
      <c r="MMX280" s="414"/>
      <c r="MNA280" s="445"/>
      <c r="MNB280" s="414"/>
      <c r="MNE280" s="445"/>
      <c r="MNF280" s="414"/>
      <c r="MNI280" s="445"/>
      <c r="MNJ280" s="414"/>
      <c r="MNM280" s="445"/>
      <c r="MNN280" s="414"/>
      <c r="MNQ280" s="445"/>
      <c r="MNR280" s="414"/>
      <c r="MNU280" s="445"/>
      <c r="MNV280" s="414"/>
      <c r="MNY280" s="445"/>
      <c r="MNZ280" s="414"/>
      <c r="MOC280" s="445"/>
      <c r="MOD280" s="414"/>
      <c r="MOG280" s="445"/>
      <c r="MOH280" s="414"/>
      <c r="MOK280" s="445"/>
      <c r="MOL280" s="414"/>
      <c r="MOO280" s="445"/>
      <c r="MOP280" s="414"/>
      <c r="MOS280" s="445"/>
      <c r="MOT280" s="414"/>
      <c r="MOW280" s="445"/>
      <c r="MOX280" s="414"/>
      <c r="MPA280" s="445"/>
      <c r="MPB280" s="414"/>
      <c r="MPE280" s="445"/>
      <c r="MPF280" s="414"/>
      <c r="MPI280" s="445"/>
      <c r="MPJ280" s="414"/>
      <c r="MPM280" s="445"/>
      <c r="MPN280" s="414"/>
      <c r="MPQ280" s="445"/>
      <c r="MPR280" s="414"/>
      <c r="MPU280" s="445"/>
      <c r="MPV280" s="414"/>
      <c r="MPY280" s="445"/>
      <c r="MPZ280" s="414"/>
      <c r="MQC280" s="445"/>
      <c r="MQD280" s="414"/>
      <c r="MQG280" s="445"/>
      <c r="MQH280" s="414"/>
      <c r="MQK280" s="445"/>
      <c r="MQL280" s="414"/>
      <c r="MQO280" s="445"/>
      <c r="MQP280" s="414"/>
      <c r="MQS280" s="445"/>
      <c r="MQT280" s="414"/>
      <c r="MQW280" s="445"/>
      <c r="MQX280" s="414"/>
      <c r="MRA280" s="445"/>
      <c r="MRB280" s="414"/>
      <c r="MRE280" s="445"/>
      <c r="MRF280" s="414"/>
      <c r="MRI280" s="445"/>
      <c r="MRJ280" s="414"/>
      <c r="MRM280" s="445"/>
      <c r="MRN280" s="414"/>
      <c r="MRQ280" s="445"/>
      <c r="MRR280" s="414"/>
      <c r="MRU280" s="445"/>
      <c r="MRV280" s="414"/>
      <c r="MRY280" s="445"/>
      <c r="MRZ280" s="414"/>
      <c r="MSC280" s="445"/>
      <c r="MSD280" s="414"/>
      <c r="MSG280" s="445"/>
      <c r="MSH280" s="414"/>
      <c r="MSK280" s="445"/>
      <c r="MSL280" s="414"/>
      <c r="MSO280" s="445"/>
      <c r="MSP280" s="414"/>
      <c r="MSS280" s="445"/>
      <c r="MST280" s="414"/>
      <c r="MSW280" s="445"/>
      <c r="MSX280" s="414"/>
      <c r="MTA280" s="445"/>
      <c r="MTB280" s="414"/>
      <c r="MTE280" s="445"/>
      <c r="MTF280" s="414"/>
      <c r="MTI280" s="445"/>
      <c r="MTJ280" s="414"/>
      <c r="MTM280" s="445"/>
      <c r="MTN280" s="414"/>
      <c r="MTQ280" s="445"/>
      <c r="MTR280" s="414"/>
      <c r="MTU280" s="445"/>
      <c r="MTV280" s="414"/>
      <c r="MTY280" s="445"/>
      <c r="MTZ280" s="414"/>
      <c r="MUC280" s="445"/>
      <c r="MUD280" s="414"/>
      <c r="MUG280" s="445"/>
      <c r="MUH280" s="414"/>
      <c r="MUK280" s="445"/>
      <c r="MUL280" s="414"/>
      <c r="MUO280" s="445"/>
      <c r="MUP280" s="414"/>
      <c r="MUS280" s="445"/>
      <c r="MUT280" s="414"/>
      <c r="MUW280" s="445"/>
      <c r="MUX280" s="414"/>
      <c r="MVA280" s="445"/>
      <c r="MVB280" s="414"/>
      <c r="MVE280" s="445"/>
      <c r="MVF280" s="414"/>
      <c r="MVI280" s="445"/>
      <c r="MVJ280" s="414"/>
      <c r="MVM280" s="445"/>
      <c r="MVN280" s="414"/>
      <c r="MVQ280" s="445"/>
      <c r="MVR280" s="414"/>
      <c r="MVU280" s="445"/>
      <c r="MVV280" s="414"/>
      <c r="MVY280" s="445"/>
      <c r="MVZ280" s="414"/>
      <c r="MWC280" s="445"/>
      <c r="MWD280" s="414"/>
      <c r="MWG280" s="445"/>
      <c r="MWH280" s="414"/>
      <c r="MWK280" s="445"/>
      <c r="MWL280" s="414"/>
      <c r="MWO280" s="445"/>
      <c r="MWP280" s="414"/>
      <c r="MWS280" s="445"/>
      <c r="MWT280" s="414"/>
      <c r="MWW280" s="445"/>
      <c r="MWX280" s="414"/>
      <c r="MXA280" s="445"/>
      <c r="MXB280" s="414"/>
      <c r="MXE280" s="445"/>
      <c r="MXF280" s="414"/>
      <c r="MXI280" s="445"/>
      <c r="MXJ280" s="414"/>
      <c r="MXM280" s="445"/>
      <c r="MXN280" s="414"/>
      <c r="MXQ280" s="445"/>
      <c r="MXR280" s="414"/>
      <c r="MXU280" s="445"/>
      <c r="MXV280" s="414"/>
      <c r="MXY280" s="445"/>
      <c r="MXZ280" s="414"/>
      <c r="MYC280" s="445"/>
      <c r="MYD280" s="414"/>
      <c r="MYG280" s="445"/>
      <c r="MYH280" s="414"/>
      <c r="MYK280" s="445"/>
      <c r="MYL280" s="414"/>
      <c r="MYO280" s="445"/>
      <c r="MYP280" s="414"/>
      <c r="MYS280" s="445"/>
      <c r="MYT280" s="414"/>
      <c r="MYW280" s="445"/>
      <c r="MYX280" s="414"/>
      <c r="MZA280" s="445"/>
      <c r="MZB280" s="414"/>
      <c r="MZE280" s="445"/>
      <c r="MZF280" s="414"/>
      <c r="MZI280" s="445"/>
      <c r="MZJ280" s="414"/>
      <c r="MZM280" s="445"/>
      <c r="MZN280" s="414"/>
      <c r="MZQ280" s="445"/>
      <c r="MZR280" s="414"/>
      <c r="MZU280" s="445"/>
      <c r="MZV280" s="414"/>
      <c r="MZY280" s="445"/>
      <c r="MZZ280" s="414"/>
      <c r="NAC280" s="445"/>
      <c r="NAD280" s="414"/>
      <c r="NAG280" s="445"/>
      <c r="NAH280" s="414"/>
      <c r="NAK280" s="445"/>
      <c r="NAL280" s="414"/>
      <c r="NAO280" s="445"/>
      <c r="NAP280" s="414"/>
      <c r="NAS280" s="445"/>
      <c r="NAT280" s="414"/>
      <c r="NAW280" s="445"/>
      <c r="NAX280" s="414"/>
      <c r="NBA280" s="445"/>
      <c r="NBB280" s="414"/>
      <c r="NBE280" s="445"/>
      <c r="NBF280" s="414"/>
      <c r="NBI280" s="445"/>
      <c r="NBJ280" s="414"/>
      <c r="NBM280" s="445"/>
      <c r="NBN280" s="414"/>
      <c r="NBQ280" s="445"/>
      <c r="NBR280" s="414"/>
      <c r="NBU280" s="445"/>
      <c r="NBV280" s="414"/>
      <c r="NBY280" s="445"/>
      <c r="NBZ280" s="414"/>
      <c r="NCC280" s="445"/>
      <c r="NCD280" s="414"/>
      <c r="NCG280" s="445"/>
      <c r="NCH280" s="414"/>
      <c r="NCK280" s="445"/>
      <c r="NCL280" s="414"/>
      <c r="NCO280" s="445"/>
      <c r="NCP280" s="414"/>
      <c r="NCS280" s="445"/>
      <c r="NCT280" s="414"/>
      <c r="NCW280" s="445"/>
      <c r="NCX280" s="414"/>
      <c r="NDA280" s="445"/>
      <c r="NDB280" s="414"/>
      <c r="NDE280" s="445"/>
      <c r="NDF280" s="414"/>
      <c r="NDI280" s="445"/>
      <c r="NDJ280" s="414"/>
      <c r="NDM280" s="445"/>
      <c r="NDN280" s="414"/>
      <c r="NDQ280" s="445"/>
      <c r="NDR280" s="414"/>
      <c r="NDU280" s="445"/>
      <c r="NDV280" s="414"/>
      <c r="NDY280" s="445"/>
      <c r="NDZ280" s="414"/>
      <c r="NEC280" s="445"/>
      <c r="NED280" s="414"/>
      <c r="NEG280" s="445"/>
      <c r="NEH280" s="414"/>
      <c r="NEK280" s="445"/>
      <c r="NEL280" s="414"/>
      <c r="NEO280" s="445"/>
      <c r="NEP280" s="414"/>
      <c r="NES280" s="445"/>
      <c r="NET280" s="414"/>
      <c r="NEW280" s="445"/>
      <c r="NEX280" s="414"/>
      <c r="NFA280" s="445"/>
      <c r="NFB280" s="414"/>
      <c r="NFE280" s="445"/>
      <c r="NFF280" s="414"/>
      <c r="NFI280" s="445"/>
      <c r="NFJ280" s="414"/>
      <c r="NFM280" s="445"/>
      <c r="NFN280" s="414"/>
      <c r="NFQ280" s="445"/>
      <c r="NFR280" s="414"/>
      <c r="NFU280" s="445"/>
      <c r="NFV280" s="414"/>
      <c r="NFY280" s="445"/>
      <c r="NFZ280" s="414"/>
      <c r="NGC280" s="445"/>
      <c r="NGD280" s="414"/>
      <c r="NGG280" s="445"/>
      <c r="NGH280" s="414"/>
      <c r="NGK280" s="445"/>
      <c r="NGL280" s="414"/>
      <c r="NGO280" s="445"/>
      <c r="NGP280" s="414"/>
      <c r="NGS280" s="445"/>
      <c r="NGT280" s="414"/>
      <c r="NGW280" s="445"/>
      <c r="NGX280" s="414"/>
      <c r="NHA280" s="445"/>
      <c r="NHB280" s="414"/>
      <c r="NHE280" s="445"/>
      <c r="NHF280" s="414"/>
      <c r="NHI280" s="445"/>
      <c r="NHJ280" s="414"/>
      <c r="NHM280" s="445"/>
      <c r="NHN280" s="414"/>
      <c r="NHQ280" s="445"/>
      <c r="NHR280" s="414"/>
      <c r="NHU280" s="445"/>
      <c r="NHV280" s="414"/>
      <c r="NHY280" s="445"/>
      <c r="NHZ280" s="414"/>
      <c r="NIC280" s="445"/>
      <c r="NID280" s="414"/>
      <c r="NIG280" s="445"/>
      <c r="NIH280" s="414"/>
      <c r="NIK280" s="445"/>
      <c r="NIL280" s="414"/>
      <c r="NIO280" s="445"/>
      <c r="NIP280" s="414"/>
      <c r="NIS280" s="445"/>
      <c r="NIT280" s="414"/>
      <c r="NIW280" s="445"/>
      <c r="NIX280" s="414"/>
      <c r="NJA280" s="445"/>
      <c r="NJB280" s="414"/>
      <c r="NJE280" s="445"/>
      <c r="NJF280" s="414"/>
      <c r="NJI280" s="445"/>
      <c r="NJJ280" s="414"/>
      <c r="NJM280" s="445"/>
      <c r="NJN280" s="414"/>
      <c r="NJQ280" s="445"/>
      <c r="NJR280" s="414"/>
      <c r="NJU280" s="445"/>
      <c r="NJV280" s="414"/>
      <c r="NJY280" s="445"/>
      <c r="NJZ280" s="414"/>
      <c r="NKC280" s="445"/>
      <c r="NKD280" s="414"/>
      <c r="NKG280" s="445"/>
      <c r="NKH280" s="414"/>
      <c r="NKK280" s="445"/>
      <c r="NKL280" s="414"/>
      <c r="NKO280" s="445"/>
      <c r="NKP280" s="414"/>
      <c r="NKS280" s="445"/>
      <c r="NKT280" s="414"/>
      <c r="NKW280" s="445"/>
      <c r="NKX280" s="414"/>
      <c r="NLA280" s="445"/>
      <c r="NLB280" s="414"/>
      <c r="NLE280" s="445"/>
      <c r="NLF280" s="414"/>
      <c r="NLI280" s="445"/>
      <c r="NLJ280" s="414"/>
      <c r="NLM280" s="445"/>
      <c r="NLN280" s="414"/>
      <c r="NLQ280" s="445"/>
      <c r="NLR280" s="414"/>
      <c r="NLU280" s="445"/>
      <c r="NLV280" s="414"/>
      <c r="NLY280" s="445"/>
      <c r="NLZ280" s="414"/>
      <c r="NMC280" s="445"/>
      <c r="NMD280" s="414"/>
      <c r="NMG280" s="445"/>
      <c r="NMH280" s="414"/>
      <c r="NMK280" s="445"/>
      <c r="NML280" s="414"/>
      <c r="NMO280" s="445"/>
      <c r="NMP280" s="414"/>
      <c r="NMS280" s="445"/>
      <c r="NMT280" s="414"/>
      <c r="NMW280" s="445"/>
      <c r="NMX280" s="414"/>
      <c r="NNA280" s="445"/>
      <c r="NNB280" s="414"/>
      <c r="NNE280" s="445"/>
      <c r="NNF280" s="414"/>
      <c r="NNI280" s="445"/>
      <c r="NNJ280" s="414"/>
      <c r="NNM280" s="445"/>
      <c r="NNN280" s="414"/>
      <c r="NNQ280" s="445"/>
      <c r="NNR280" s="414"/>
      <c r="NNU280" s="445"/>
      <c r="NNV280" s="414"/>
      <c r="NNY280" s="445"/>
      <c r="NNZ280" s="414"/>
      <c r="NOC280" s="445"/>
      <c r="NOD280" s="414"/>
      <c r="NOG280" s="445"/>
      <c r="NOH280" s="414"/>
      <c r="NOK280" s="445"/>
      <c r="NOL280" s="414"/>
      <c r="NOO280" s="445"/>
      <c r="NOP280" s="414"/>
      <c r="NOS280" s="445"/>
      <c r="NOT280" s="414"/>
      <c r="NOW280" s="445"/>
      <c r="NOX280" s="414"/>
      <c r="NPA280" s="445"/>
      <c r="NPB280" s="414"/>
      <c r="NPE280" s="445"/>
      <c r="NPF280" s="414"/>
      <c r="NPI280" s="445"/>
      <c r="NPJ280" s="414"/>
      <c r="NPM280" s="445"/>
      <c r="NPN280" s="414"/>
      <c r="NPQ280" s="445"/>
      <c r="NPR280" s="414"/>
      <c r="NPU280" s="445"/>
      <c r="NPV280" s="414"/>
      <c r="NPY280" s="445"/>
      <c r="NPZ280" s="414"/>
      <c r="NQC280" s="445"/>
      <c r="NQD280" s="414"/>
      <c r="NQG280" s="445"/>
      <c r="NQH280" s="414"/>
      <c r="NQK280" s="445"/>
      <c r="NQL280" s="414"/>
      <c r="NQO280" s="445"/>
      <c r="NQP280" s="414"/>
      <c r="NQS280" s="445"/>
      <c r="NQT280" s="414"/>
      <c r="NQW280" s="445"/>
      <c r="NQX280" s="414"/>
      <c r="NRA280" s="445"/>
      <c r="NRB280" s="414"/>
      <c r="NRE280" s="445"/>
      <c r="NRF280" s="414"/>
      <c r="NRI280" s="445"/>
      <c r="NRJ280" s="414"/>
      <c r="NRM280" s="445"/>
      <c r="NRN280" s="414"/>
      <c r="NRQ280" s="445"/>
      <c r="NRR280" s="414"/>
      <c r="NRU280" s="445"/>
      <c r="NRV280" s="414"/>
      <c r="NRY280" s="445"/>
      <c r="NRZ280" s="414"/>
      <c r="NSC280" s="445"/>
      <c r="NSD280" s="414"/>
      <c r="NSG280" s="445"/>
      <c r="NSH280" s="414"/>
      <c r="NSK280" s="445"/>
      <c r="NSL280" s="414"/>
      <c r="NSO280" s="445"/>
      <c r="NSP280" s="414"/>
      <c r="NSS280" s="445"/>
      <c r="NST280" s="414"/>
      <c r="NSW280" s="445"/>
      <c r="NSX280" s="414"/>
      <c r="NTA280" s="445"/>
      <c r="NTB280" s="414"/>
      <c r="NTE280" s="445"/>
      <c r="NTF280" s="414"/>
      <c r="NTI280" s="445"/>
      <c r="NTJ280" s="414"/>
      <c r="NTM280" s="445"/>
      <c r="NTN280" s="414"/>
      <c r="NTQ280" s="445"/>
      <c r="NTR280" s="414"/>
      <c r="NTU280" s="445"/>
      <c r="NTV280" s="414"/>
      <c r="NTY280" s="445"/>
      <c r="NTZ280" s="414"/>
      <c r="NUC280" s="445"/>
      <c r="NUD280" s="414"/>
      <c r="NUG280" s="445"/>
      <c r="NUH280" s="414"/>
      <c r="NUK280" s="445"/>
      <c r="NUL280" s="414"/>
      <c r="NUO280" s="445"/>
      <c r="NUP280" s="414"/>
      <c r="NUS280" s="445"/>
      <c r="NUT280" s="414"/>
      <c r="NUW280" s="445"/>
      <c r="NUX280" s="414"/>
      <c r="NVA280" s="445"/>
      <c r="NVB280" s="414"/>
      <c r="NVE280" s="445"/>
      <c r="NVF280" s="414"/>
      <c r="NVI280" s="445"/>
      <c r="NVJ280" s="414"/>
      <c r="NVM280" s="445"/>
      <c r="NVN280" s="414"/>
      <c r="NVQ280" s="445"/>
      <c r="NVR280" s="414"/>
      <c r="NVU280" s="445"/>
      <c r="NVV280" s="414"/>
      <c r="NVY280" s="445"/>
      <c r="NVZ280" s="414"/>
      <c r="NWC280" s="445"/>
      <c r="NWD280" s="414"/>
      <c r="NWG280" s="445"/>
      <c r="NWH280" s="414"/>
      <c r="NWK280" s="445"/>
      <c r="NWL280" s="414"/>
      <c r="NWO280" s="445"/>
      <c r="NWP280" s="414"/>
      <c r="NWS280" s="445"/>
      <c r="NWT280" s="414"/>
      <c r="NWW280" s="445"/>
      <c r="NWX280" s="414"/>
      <c r="NXA280" s="445"/>
      <c r="NXB280" s="414"/>
      <c r="NXE280" s="445"/>
      <c r="NXF280" s="414"/>
      <c r="NXI280" s="445"/>
      <c r="NXJ280" s="414"/>
      <c r="NXM280" s="445"/>
      <c r="NXN280" s="414"/>
      <c r="NXQ280" s="445"/>
      <c r="NXR280" s="414"/>
      <c r="NXU280" s="445"/>
      <c r="NXV280" s="414"/>
      <c r="NXY280" s="445"/>
      <c r="NXZ280" s="414"/>
      <c r="NYC280" s="445"/>
      <c r="NYD280" s="414"/>
      <c r="NYG280" s="445"/>
      <c r="NYH280" s="414"/>
      <c r="NYK280" s="445"/>
      <c r="NYL280" s="414"/>
      <c r="NYO280" s="445"/>
      <c r="NYP280" s="414"/>
      <c r="NYS280" s="445"/>
      <c r="NYT280" s="414"/>
      <c r="NYW280" s="445"/>
      <c r="NYX280" s="414"/>
      <c r="NZA280" s="445"/>
      <c r="NZB280" s="414"/>
      <c r="NZE280" s="445"/>
      <c r="NZF280" s="414"/>
      <c r="NZI280" s="445"/>
      <c r="NZJ280" s="414"/>
      <c r="NZM280" s="445"/>
      <c r="NZN280" s="414"/>
      <c r="NZQ280" s="445"/>
      <c r="NZR280" s="414"/>
      <c r="NZU280" s="445"/>
      <c r="NZV280" s="414"/>
      <c r="NZY280" s="445"/>
      <c r="NZZ280" s="414"/>
      <c r="OAC280" s="445"/>
      <c r="OAD280" s="414"/>
      <c r="OAG280" s="445"/>
      <c r="OAH280" s="414"/>
      <c r="OAK280" s="445"/>
      <c r="OAL280" s="414"/>
      <c r="OAO280" s="445"/>
      <c r="OAP280" s="414"/>
      <c r="OAS280" s="445"/>
      <c r="OAT280" s="414"/>
      <c r="OAW280" s="445"/>
      <c r="OAX280" s="414"/>
      <c r="OBA280" s="445"/>
      <c r="OBB280" s="414"/>
      <c r="OBE280" s="445"/>
      <c r="OBF280" s="414"/>
      <c r="OBI280" s="445"/>
      <c r="OBJ280" s="414"/>
      <c r="OBM280" s="445"/>
      <c r="OBN280" s="414"/>
      <c r="OBQ280" s="445"/>
      <c r="OBR280" s="414"/>
      <c r="OBU280" s="445"/>
      <c r="OBV280" s="414"/>
      <c r="OBY280" s="445"/>
      <c r="OBZ280" s="414"/>
      <c r="OCC280" s="445"/>
      <c r="OCD280" s="414"/>
      <c r="OCG280" s="445"/>
      <c r="OCH280" s="414"/>
      <c r="OCK280" s="445"/>
      <c r="OCL280" s="414"/>
      <c r="OCO280" s="445"/>
      <c r="OCP280" s="414"/>
      <c r="OCS280" s="445"/>
      <c r="OCT280" s="414"/>
      <c r="OCW280" s="445"/>
      <c r="OCX280" s="414"/>
      <c r="ODA280" s="445"/>
      <c r="ODB280" s="414"/>
      <c r="ODE280" s="445"/>
      <c r="ODF280" s="414"/>
      <c r="ODI280" s="445"/>
      <c r="ODJ280" s="414"/>
      <c r="ODM280" s="445"/>
      <c r="ODN280" s="414"/>
      <c r="ODQ280" s="445"/>
      <c r="ODR280" s="414"/>
      <c r="ODU280" s="445"/>
      <c r="ODV280" s="414"/>
      <c r="ODY280" s="445"/>
      <c r="ODZ280" s="414"/>
      <c r="OEC280" s="445"/>
      <c r="OED280" s="414"/>
      <c r="OEG280" s="445"/>
      <c r="OEH280" s="414"/>
      <c r="OEK280" s="445"/>
      <c r="OEL280" s="414"/>
      <c r="OEO280" s="445"/>
      <c r="OEP280" s="414"/>
      <c r="OES280" s="445"/>
      <c r="OET280" s="414"/>
      <c r="OEW280" s="445"/>
      <c r="OEX280" s="414"/>
      <c r="OFA280" s="445"/>
      <c r="OFB280" s="414"/>
      <c r="OFE280" s="445"/>
      <c r="OFF280" s="414"/>
      <c r="OFI280" s="445"/>
      <c r="OFJ280" s="414"/>
      <c r="OFM280" s="445"/>
      <c r="OFN280" s="414"/>
      <c r="OFQ280" s="445"/>
      <c r="OFR280" s="414"/>
      <c r="OFU280" s="445"/>
      <c r="OFV280" s="414"/>
      <c r="OFY280" s="445"/>
      <c r="OFZ280" s="414"/>
      <c r="OGC280" s="445"/>
      <c r="OGD280" s="414"/>
      <c r="OGG280" s="445"/>
      <c r="OGH280" s="414"/>
      <c r="OGK280" s="445"/>
      <c r="OGL280" s="414"/>
      <c r="OGO280" s="445"/>
      <c r="OGP280" s="414"/>
      <c r="OGS280" s="445"/>
      <c r="OGT280" s="414"/>
      <c r="OGW280" s="445"/>
      <c r="OGX280" s="414"/>
      <c r="OHA280" s="445"/>
      <c r="OHB280" s="414"/>
      <c r="OHE280" s="445"/>
      <c r="OHF280" s="414"/>
      <c r="OHI280" s="445"/>
      <c r="OHJ280" s="414"/>
      <c r="OHM280" s="445"/>
      <c r="OHN280" s="414"/>
      <c r="OHQ280" s="445"/>
      <c r="OHR280" s="414"/>
      <c r="OHU280" s="445"/>
      <c r="OHV280" s="414"/>
      <c r="OHY280" s="445"/>
      <c r="OHZ280" s="414"/>
      <c r="OIC280" s="445"/>
      <c r="OID280" s="414"/>
      <c r="OIG280" s="445"/>
      <c r="OIH280" s="414"/>
      <c r="OIK280" s="445"/>
      <c r="OIL280" s="414"/>
      <c r="OIO280" s="445"/>
      <c r="OIP280" s="414"/>
      <c r="OIS280" s="445"/>
      <c r="OIT280" s="414"/>
      <c r="OIW280" s="445"/>
      <c r="OIX280" s="414"/>
      <c r="OJA280" s="445"/>
      <c r="OJB280" s="414"/>
      <c r="OJE280" s="445"/>
      <c r="OJF280" s="414"/>
      <c r="OJI280" s="445"/>
      <c r="OJJ280" s="414"/>
      <c r="OJM280" s="445"/>
      <c r="OJN280" s="414"/>
      <c r="OJQ280" s="445"/>
      <c r="OJR280" s="414"/>
      <c r="OJU280" s="445"/>
      <c r="OJV280" s="414"/>
      <c r="OJY280" s="445"/>
      <c r="OJZ280" s="414"/>
      <c r="OKC280" s="445"/>
      <c r="OKD280" s="414"/>
      <c r="OKG280" s="445"/>
      <c r="OKH280" s="414"/>
      <c r="OKK280" s="445"/>
      <c r="OKL280" s="414"/>
      <c r="OKO280" s="445"/>
      <c r="OKP280" s="414"/>
      <c r="OKS280" s="445"/>
      <c r="OKT280" s="414"/>
      <c r="OKW280" s="445"/>
      <c r="OKX280" s="414"/>
      <c r="OLA280" s="445"/>
      <c r="OLB280" s="414"/>
      <c r="OLE280" s="445"/>
      <c r="OLF280" s="414"/>
      <c r="OLI280" s="445"/>
      <c r="OLJ280" s="414"/>
      <c r="OLM280" s="445"/>
      <c r="OLN280" s="414"/>
      <c r="OLQ280" s="445"/>
      <c r="OLR280" s="414"/>
      <c r="OLU280" s="445"/>
      <c r="OLV280" s="414"/>
      <c r="OLY280" s="445"/>
      <c r="OLZ280" s="414"/>
      <c r="OMC280" s="445"/>
      <c r="OMD280" s="414"/>
      <c r="OMG280" s="445"/>
      <c r="OMH280" s="414"/>
      <c r="OMK280" s="445"/>
      <c r="OML280" s="414"/>
      <c r="OMO280" s="445"/>
      <c r="OMP280" s="414"/>
      <c r="OMS280" s="445"/>
      <c r="OMT280" s="414"/>
      <c r="OMW280" s="445"/>
      <c r="OMX280" s="414"/>
      <c r="ONA280" s="445"/>
      <c r="ONB280" s="414"/>
      <c r="ONE280" s="445"/>
      <c r="ONF280" s="414"/>
      <c r="ONI280" s="445"/>
      <c r="ONJ280" s="414"/>
      <c r="ONM280" s="445"/>
      <c r="ONN280" s="414"/>
      <c r="ONQ280" s="445"/>
      <c r="ONR280" s="414"/>
      <c r="ONU280" s="445"/>
      <c r="ONV280" s="414"/>
      <c r="ONY280" s="445"/>
      <c r="ONZ280" s="414"/>
      <c r="OOC280" s="445"/>
      <c r="OOD280" s="414"/>
      <c r="OOG280" s="445"/>
      <c r="OOH280" s="414"/>
      <c r="OOK280" s="445"/>
      <c r="OOL280" s="414"/>
      <c r="OOO280" s="445"/>
      <c r="OOP280" s="414"/>
      <c r="OOS280" s="445"/>
      <c r="OOT280" s="414"/>
      <c r="OOW280" s="445"/>
      <c r="OOX280" s="414"/>
      <c r="OPA280" s="445"/>
      <c r="OPB280" s="414"/>
      <c r="OPE280" s="445"/>
      <c r="OPF280" s="414"/>
      <c r="OPI280" s="445"/>
      <c r="OPJ280" s="414"/>
      <c r="OPM280" s="445"/>
      <c r="OPN280" s="414"/>
      <c r="OPQ280" s="445"/>
      <c r="OPR280" s="414"/>
      <c r="OPU280" s="445"/>
      <c r="OPV280" s="414"/>
      <c r="OPY280" s="445"/>
      <c r="OPZ280" s="414"/>
      <c r="OQC280" s="445"/>
      <c r="OQD280" s="414"/>
      <c r="OQG280" s="445"/>
      <c r="OQH280" s="414"/>
      <c r="OQK280" s="445"/>
      <c r="OQL280" s="414"/>
      <c r="OQO280" s="445"/>
      <c r="OQP280" s="414"/>
      <c r="OQS280" s="445"/>
      <c r="OQT280" s="414"/>
      <c r="OQW280" s="445"/>
      <c r="OQX280" s="414"/>
      <c r="ORA280" s="445"/>
      <c r="ORB280" s="414"/>
      <c r="ORE280" s="445"/>
      <c r="ORF280" s="414"/>
      <c r="ORI280" s="445"/>
      <c r="ORJ280" s="414"/>
      <c r="ORM280" s="445"/>
      <c r="ORN280" s="414"/>
      <c r="ORQ280" s="445"/>
      <c r="ORR280" s="414"/>
      <c r="ORU280" s="445"/>
      <c r="ORV280" s="414"/>
      <c r="ORY280" s="445"/>
      <c r="ORZ280" s="414"/>
      <c r="OSC280" s="445"/>
      <c r="OSD280" s="414"/>
      <c r="OSG280" s="445"/>
      <c r="OSH280" s="414"/>
      <c r="OSK280" s="445"/>
      <c r="OSL280" s="414"/>
      <c r="OSO280" s="445"/>
      <c r="OSP280" s="414"/>
      <c r="OSS280" s="445"/>
      <c r="OST280" s="414"/>
      <c r="OSW280" s="445"/>
      <c r="OSX280" s="414"/>
      <c r="OTA280" s="445"/>
      <c r="OTB280" s="414"/>
      <c r="OTE280" s="445"/>
      <c r="OTF280" s="414"/>
      <c r="OTI280" s="445"/>
      <c r="OTJ280" s="414"/>
      <c r="OTM280" s="445"/>
      <c r="OTN280" s="414"/>
      <c r="OTQ280" s="445"/>
      <c r="OTR280" s="414"/>
      <c r="OTU280" s="445"/>
      <c r="OTV280" s="414"/>
      <c r="OTY280" s="445"/>
      <c r="OTZ280" s="414"/>
      <c r="OUC280" s="445"/>
      <c r="OUD280" s="414"/>
      <c r="OUG280" s="445"/>
      <c r="OUH280" s="414"/>
      <c r="OUK280" s="445"/>
      <c r="OUL280" s="414"/>
      <c r="OUO280" s="445"/>
      <c r="OUP280" s="414"/>
      <c r="OUS280" s="445"/>
      <c r="OUT280" s="414"/>
      <c r="OUW280" s="445"/>
      <c r="OUX280" s="414"/>
      <c r="OVA280" s="445"/>
      <c r="OVB280" s="414"/>
      <c r="OVE280" s="445"/>
      <c r="OVF280" s="414"/>
      <c r="OVI280" s="445"/>
      <c r="OVJ280" s="414"/>
      <c r="OVM280" s="445"/>
      <c r="OVN280" s="414"/>
      <c r="OVQ280" s="445"/>
      <c r="OVR280" s="414"/>
      <c r="OVU280" s="445"/>
      <c r="OVV280" s="414"/>
      <c r="OVY280" s="445"/>
      <c r="OVZ280" s="414"/>
      <c r="OWC280" s="445"/>
      <c r="OWD280" s="414"/>
      <c r="OWG280" s="445"/>
      <c r="OWH280" s="414"/>
      <c r="OWK280" s="445"/>
      <c r="OWL280" s="414"/>
      <c r="OWO280" s="445"/>
      <c r="OWP280" s="414"/>
      <c r="OWS280" s="445"/>
      <c r="OWT280" s="414"/>
      <c r="OWW280" s="445"/>
      <c r="OWX280" s="414"/>
      <c r="OXA280" s="445"/>
      <c r="OXB280" s="414"/>
      <c r="OXE280" s="445"/>
      <c r="OXF280" s="414"/>
      <c r="OXI280" s="445"/>
      <c r="OXJ280" s="414"/>
      <c r="OXM280" s="445"/>
      <c r="OXN280" s="414"/>
      <c r="OXQ280" s="445"/>
      <c r="OXR280" s="414"/>
      <c r="OXU280" s="445"/>
      <c r="OXV280" s="414"/>
      <c r="OXY280" s="445"/>
      <c r="OXZ280" s="414"/>
      <c r="OYC280" s="445"/>
      <c r="OYD280" s="414"/>
      <c r="OYG280" s="445"/>
      <c r="OYH280" s="414"/>
      <c r="OYK280" s="445"/>
      <c r="OYL280" s="414"/>
      <c r="OYO280" s="445"/>
      <c r="OYP280" s="414"/>
      <c r="OYS280" s="445"/>
      <c r="OYT280" s="414"/>
      <c r="OYW280" s="445"/>
      <c r="OYX280" s="414"/>
      <c r="OZA280" s="445"/>
      <c r="OZB280" s="414"/>
      <c r="OZE280" s="445"/>
      <c r="OZF280" s="414"/>
      <c r="OZI280" s="445"/>
      <c r="OZJ280" s="414"/>
      <c r="OZM280" s="445"/>
      <c r="OZN280" s="414"/>
      <c r="OZQ280" s="445"/>
      <c r="OZR280" s="414"/>
      <c r="OZU280" s="445"/>
      <c r="OZV280" s="414"/>
      <c r="OZY280" s="445"/>
      <c r="OZZ280" s="414"/>
      <c r="PAC280" s="445"/>
      <c r="PAD280" s="414"/>
      <c r="PAG280" s="445"/>
      <c r="PAH280" s="414"/>
      <c r="PAK280" s="445"/>
      <c r="PAL280" s="414"/>
      <c r="PAO280" s="445"/>
      <c r="PAP280" s="414"/>
      <c r="PAS280" s="445"/>
      <c r="PAT280" s="414"/>
      <c r="PAW280" s="445"/>
      <c r="PAX280" s="414"/>
      <c r="PBA280" s="445"/>
      <c r="PBB280" s="414"/>
      <c r="PBE280" s="445"/>
      <c r="PBF280" s="414"/>
      <c r="PBI280" s="445"/>
      <c r="PBJ280" s="414"/>
      <c r="PBM280" s="445"/>
      <c r="PBN280" s="414"/>
      <c r="PBQ280" s="445"/>
      <c r="PBR280" s="414"/>
      <c r="PBU280" s="445"/>
      <c r="PBV280" s="414"/>
      <c r="PBY280" s="445"/>
      <c r="PBZ280" s="414"/>
      <c r="PCC280" s="445"/>
      <c r="PCD280" s="414"/>
      <c r="PCG280" s="445"/>
      <c r="PCH280" s="414"/>
      <c r="PCK280" s="445"/>
      <c r="PCL280" s="414"/>
      <c r="PCO280" s="445"/>
      <c r="PCP280" s="414"/>
      <c r="PCS280" s="445"/>
      <c r="PCT280" s="414"/>
      <c r="PCW280" s="445"/>
      <c r="PCX280" s="414"/>
      <c r="PDA280" s="445"/>
      <c r="PDB280" s="414"/>
      <c r="PDE280" s="445"/>
      <c r="PDF280" s="414"/>
      <c r="PDI280" s="445"/>
      <c r="PDJ280" s="414"/>
      <c r="PDM280" s="445"/>
      <c r="PDN280" s="414"/>
      <c r="PDQ280" s="445"/>
      <c r="PDR280" s="414"/>
      <c r="PDU280" s="445"/>
      <c r="PDV280" s="414"/>
      <c r="PDY280" s="445"/>
      <c r="PDZ280" s="414"/>
      <c r="PEC280" s="445"/>
      <c r="PED280" s="414"/>
      <c r="PEG280" s="445"/>
      <c r="PEH280" s="414"/>
      <c r="PEK280" s="445"/>
      <c r="PEL280" s="414"/>
      <c r="PEO280" s="445"/>
      <c r="PEP280" s="414"/>
      <c r="PES280" s="445"/>
      <c r="PET280" s="414"/>
      <c r="PEW280" s="445"/>
      <c r="PEX280" s="414"/>
      <c r="PFA280" s="445"/>
      <c r="PFB280" s="414"/>
      <c r="PFE280" s="445"/>
      <c r="PFF280" s="414"/>
      <c r="PFI280" s="445"/>
      <c r="PFJ280" s="414"/>
      <c r="PFM280" s="445"/>
      <c r="PFN280" s="414"/>
      <c r="PFQ280" s="445"/>
      <c r="PFR280" s="414"/>
      <c r="PFU280" s="445"/>
      <c r="PFV280" s="414"/>
      <c r="PFY280" s="445"/>
      <c r="PFZ280" s="414"/>
      <c r="PGC280" s="445"/>
      <c r="PGD280" s="414"/>
      <c r="PGG280" s="445"/>
      <c r="PGH280" s="414"/>
      <c r="PGK280" s="445"/>
      <c r="PGL280" s="414"/>
      <c r="PGO280" s="445"/>
      <c r="PGP280" s="414"/>
      <c r="PGS280" s="445"/>
      <c r="PGT280" s="414"/>
      <c r="PGW280" s="445"/>
      <c r="PGX280" s="414"/>
      <c r="PHA280" s="445"/>
      <c r="PHB280" s="414"/>
      <c r="PHE280" s="445"/>
      <c r="PHF280" s="414"/>
      <c r="PHI280" s="445"/>
      <c r="PHJ280" s="414"/>
      <c r="PHM280" s="445"/>
      <c r="PHN280" s="414"/>
      <c r="PHQ280" s="445"/>
      <c r="PHR280" s="414"/>
      <c r="PHU280" s="445"/>
      <c r="PHV280" s="414"/>
      <c r="PHY280" s="445"/>
      <c r="PHZ280" s="414"/>
      <c r="PIC280" s="445"/>
      <c r="PID280" s="414"/>
      <c r="PIG280" s="445"/>
      <c r="PIH280" s="414"/>
      <c r="PIK280" s="445"/>
      <c r="PIL280" s="414"/>
      <c r="PIO280" s="445"/>
      <c r="PIP280" s="414"/>
      <c r="PIS280" s="445"/>
      <c r="PIT280" s="414"/>
      <c r="PIW280" s="445"/>
      <c r="PIX280" s="414"/>
      <c r="PJA280" s="445"/>
      <c r="PJB280" s="414"/>
      <c r="PJE280" s="445"/>
      <c r="PJF280" s="414"/>
      <c r="PJI280" s="445"/>
      <c r="PJJ280" s="414"/>
      <c r="PJM280" s="445"/>
      <c r="PJN280" s="414"/>
      <c r="PJQ280" s="445"/>
      <c r="PJR280" s="414"/>
      <c r="PJU280" s="445"/>
      <c r="PJV280" s="414"/>
      <c r="PJY280" s="445"/>
      <c r="PJZ280" s="414"/>
      <c r="PKC280" s="445"/>
      <c r="PKD280" s="414"/>
      <c r="PKG280" s="445"/>
      <c r="PKH280" s="414"/>
      <c r="PKK280" s="445"/>
      <c r="PKL280" s="414"/>
      <c r="PKO280" s="445"/>
      <c r="PKP280" s="414"/>
      <c r="PKS280" s="445"/>
      <c r="PKT280" s="414"/>
      <c r="PKW280" s="445"/>
      <c r="PKX280" s="414"/>
      <c r="PLA280" s="445"/>
      <c r="PLB280" s="414"/>
      <c r="PLE280" s="445"/>
      <c r="PLF280" s="414"/>
      <c r="PLI280" s="445"/>
      <c r="PLJ280" s="414"/>
      <c r="PLM280" s="445"/>
      <c r="PLN280" s="414"/>
      <c r="PLQ280" s="445"/>
      <c r="PLR280" s="414"/>
      <c r="PLU280" s="445"/>
      <c r="PLV280" s="414"/>
      <c r="PLY280" s="445"/>
      <c r="PLZ280" s="414"/>
      <c r="PMC280" s="445"/>
      <c r="PMD280" s="414"/>
      <c r="PMG280" s="445"/>
      <c r="PMH280" s="414"/>
      <c r="PMK280" s="445"/>
      <c r="PML280" s="414"/>
      <c r="PMO280" s="445"/>
      <c r="PMP280" s="414"/>
      <c r="PMS280" s="445"/>
      <c r="PMT280" s="414"/>
      <c r="PMW280" s="445"/>
      <c r="PMX280" s="414"/>
      <c r="PNA280" s="445"/>
      <c r="PNB280" s="414"/>
      <c r="PNE280" s="445"/>
      <c r="PNF280" s="414"/>
      <c r="PNI280" s="445"/>
      <c r="PNJ280" s="414"/>
      <c r="PNM280" s="445"/>
      <c r="PNN280" s="414"/>
      <c r="PNQ280" s="445"/>
      <c r="PNR280" s="414"/>
      <c r="PNU280" s="445"/>
      <c r="PNV280" s="414"/>
      <c r="PNY280" s="445"/>
      <c r="PNZ280" s="414"/>
      <c r="POC280" s="445"/>
      <c r="POD280" s="414"/>
      <c r="POG280" s="445"/>
      <c r="POH280" s="414"/>
      <c r="POK280" s="445"/>
      <c r="POL280" s="414"/>
      <c r="POO280" s="445"/>
      <c r="POP280" s="414"/>
      <c r="POS280" s="445"/>
      <c r="POT280" s="414"/>
      <c r="POW280" s="445"/>
      <c r="POX280" s="414"/>
      <c r="PPA280" s="445"/>
      <c r="PPB280" s="414"/>
      <c r="PPE280" s="445"/>
      <c r="PPF280" s="414"/>
      <c r="PPI280" s="445"/>
      <c r="PPJ280" s="414"/>
      <c r="PPM280" s="445"/>
      <c r="PPN280" s="414"/>
      <c r="PPQ280" s="445"/>
      <c r="PPR280" s="414"/>
      <c r="PPU280" s="445"/>
      <c r="PPV280" s="414"/>
      <c r="PPY280" s="445"/>
      <c r="PPZ280" s="414"/>
      <c r="PQC280" s="445"/>
      <c r="PQD280" s="414"/>
      <c r="PQG280" s="445"/>
      <c r="PQH280" s="414"/>
      <c r="PQK280" s="445"/>
      <c r="PQL280" s="414"/>
      <c r="PQO280" s="445"/>
      <c r="PQP280" s="414"/>
      <c r="PQS280" s="445"/>
      <c r="PQT280" s="414"/>
      <c r="PQW280" s="445"/>
      <c r="PQX280" s="414"/>
      <c r="PRA280" s="445"/>
      <c r="PRB280" s="414"/>
      <c r="PRE280" s="445"/>
      <c r="PRF280" s="414"/>
      <c r="PRI280" s="445"/>
      <c r="PRJ280" s="414"/>
      <c r="PRM280" s="445"/>
      <c r="PRN280" s="414"/>
      <c r="PRQ280" s="445"/>
      <c r="PRR280" s="414"/>
      <c r="PRU280" s="445"/>
      <c r="PRV280" s="414"/>
      <c r="PRY280" s="445"/>
      <c r="PRZ280" s="414"/>
      <c r="PSC280" s="445"/>
      <c r="PSD280" s="414"/>
      <c r="PSG280" s="445"/>
      <c r="PSH280" s="414"/>
      <c r="PSK280" s="445"/>
      <c r="PSL280" s="414"/>
      <c r="PSO280" s="445"/>
      <c r="PSP280" s="414"/>
      <c r="PSS280" s="445"/>
      <c r="PST280" s="414"/>
      <c r="PSW280" s="445"/>
      <c r="PSX280" s="414"/>
      <c r="PTA280" s="445"/>
      <c r="PTB280" s="414"/>
      <c r="PTE280" s="445"/>
      <c r="PTF280" s="414"/>
      <c r="PTI280" s="445"/>
      <c r="PTJ280" s="414"/>
      <c r="PTM280" s="445"/>
      <c r="PTN280" s="414"/>
      <c r="PTQ280" s="445"/>
      <c r="PTR280" s="414"/>
      <c r="PTU280" s="445"/>
      <c r="PTV280" s="414"/>
      <c r="PTY280" s="445"/>
      <c r="PTZ280" s="414"/>
      <c r="PUC280" s="445"/>
      <c r="PUD280" s="414"/>
      <c r="PUG280" s="445"/>
      <c r="PUH280" s="414"/>
      <c r="PUK280" s="445"/>
      <c r="PUL280" s="414"/>
      <c r="PUO280" s="445"/>
      <c r="PUP280" s="414"/>
      <c r="PUS280" s="445"/>
      <c r="PUT280" s="414"/>
      <c r="PUW280" s="445"/>
      <c r="PUX280" s="414"/>
      <c r="PVA280" s="445"/>
      <c r="PVB280" s="414"/>
      <c r="PVE280" s="445"/>
      <c r="PVF280" s="414"/>
      <c r="PVI280" s="445"/>
      <c r="PVJ280" s="414"/>
      <c r="PVM280" s="445"/>
      <c r="PVN280" s="414"/>
      <c r="PVQ280" s="445"/>
      <c r="PVR280" s="414"/>
      <c r="PVU280" s="445"/>
      <c r="PVV280" s="414"/>
      <c r="PVY280" s="445"/>
      <c r="PVZ280" s="414"/>
      <c r="PWC280" s="445"/>
      <c r="PWD280" s="414"/>
      <c r="PWG280" s="445"/>
      <c r="PWH280" s="414"/>
      <c r="PWK280" s="445"/>
      <c r="PWL280" s="414"/>
      <c r="PWO280" s="445"/>
      <c r="PWP280" s="414"/>
      <c r="PWS280" s="445"/>
      <c r="PWT280" s="414"/>
      <c r="PWW280" s="445"/>
      <c r="PWX280" s="414"/>
      <c r="PXA280" s="445"/>
      <c r="PXB280" s="414"/>
      <c r="PXE280" s="445"/>
      <c r="PXF280" s="414"/>
      <c r="PXI280" s="445"/>
      <c r="PXJ280" s="414"/>
      <c r="PXM280" s="445"/>
      <c r="PXN280" s="414"/>
      <c r="PXQ280" s="445"/>
      <c r="PXR280" s="414"/>
      <c r="PXU280" s="445"/>
      <c r="PXV280" s="414"/>
      <c r="PXY280" s="445"/>
      <c r="PXZ280" s="414"/>
      <c r="PYC280" s="445"/>
      <c r="PYD280" s="414"/>
      <c r="PYG280" s="445"/>
      <c r="PYH280" s="414"/>
      <c r="PYK280" s="445"/>
      <c r="PYL280" s="414"/>
      <c r="PYO280" s="445"/>
      <c r="PYP280" s="414"/>
      <c r="PYS280" s="445"/>
      <c r="PYT280" s="414"/>
      <c r="PYW280" s="445"/>
      <c r="PYX280" s="414"/>
      <c r="PZA280" s="445"/>
      <c r="PZB280" s="414"/>
      <c r="PZE280" s="445"/>
      <c r="PZF280" s="414"/>
      <c r="PZI280" s="445"/>
      <c r="PZJ280" s="414"/>
      <c r="PZM280" s="445"/>
      <c r="PZN280" s="414"/>
      <c r="PZQ280" s="445"/>
      <c r="PZR280" s="414"/>
      <c r="PZU280" s="445"/>
      <c r="PZV280" s="414"/>
      <c r="PZY280" s="445"/>
      <c r="PZZ280" s="414"/>
      <c r="QAC280" s="445"/>
      <c r="QAD280" s="414"/>
      <c r="QAG280" s="445"/>
      <c r="QAH280" s="414"/>
      <c r="QAK280" s="445"/>
      <c r="QAL280" s="414"/>
      <c r="QAO280" s="445"/>
      <c r="QAP280" s="414"/>
      <c r="QAS280" s="445"/>
      <c r="QAT280" s="414"/>
      <c r="QAW280" s="445"/>
      <c r="QAX280" s="414"/>
      <c r="QBA280" s="445"/>
      <c r="QBB280" s="414"/>
      <c r="QBE280" s="445"/>
      <c r="QBF280" s="414"/>
      <c r="QBI280" s="445"/>
      <c r="QBJ280" s="414"/>
      <c r="QBM280" s="445"/>
      <c r="QBN280" s="414"/>
      <c r="QBQ280" s="445"/>
      <c r="QBR280" s="414"/>
      <c r="QBU280" s="445"/>
      <c r="QBV280" s="414"/>
      <c r="QBY280" s="445"/>
      <c r="QBZ280" s="414"/>
      <c r="QCC280" s="445"/>
      <c r="QCD280" s="414"/>
      <c r="QCG280" s="445"/>
      <c r="QCH280" s="414"/>
      <c r="QCK280" s="445"/>
      <c r="QCL280" s="414"/>
      <c r="QCO280" s="445"/>
      <c r="QCP280" s="414"/>
      <c r="QCS280" s="445"/>
      <c r="QCT280" s="414"/>
      <c r="QCW280" s="445"/>
      <c r="QCX280" s="414"/>
      <c r="QDA280" s="445"/>
      <c r="QDB280" s="414"/>
      <c r="QDE280" s="445"/>
      <c r="QDF280" s="414"/>
      <c r="QDI280" s="445"/>
      <c r="QDJ280" s="414"/>
      <c r="QDM280" s="445"/>
      <c r="QDN280" s="414"/>
      <c r="QDQ280" s="445"/>
      <c r="QDR280" s="414"/>
      <c r="QDU280" s="445"/>
      <c r="QDV280" s="414"/>
      <c r="QDY280" s="445"/>
      <c r="QDZ280" s="414"/>
      <c r="QEC280" s="445"/>
      <c r="QED280" s="414"/>
      <c r="QEG280" s="445"/>
      <c r="QEH280" s="414"/>
      <c r="QEK280" s="445"/>
      <c r="QEL280" s="414"/>
      <c r="QEO280" s="445"/>
      <c r="QEP280" s="414"/>
      <c r="QES280" s="445"/>
      <c r="QET280" s="414"/>
      <c r="QEW280" s="445"/>
      <c r="QEX280" s="414"/>
      <c r="QFA280" s="445"/>
      <c r="QFB280" s="414"/>
      <c r="QFE280" s="445"/>
      <c r="QFF280" s="414"/>
      <c r="QFI280" s="445"/>
      <c r="QFJ280" s="414"/>
      <c r="QFM280" s="445"/>
      <c r="QFN280" s="414"/>
      <c r="QFQ280" s="445"/>
      <c r="QFR280" s="414"/>
      <c r="QFU280" s="445"/>
      <c r="QFV280" s="414"/>
      <c r="QFY280" s="445"/>
      <c r="QFZ280" s="414"/>
      <c r="QGC280" s="445"/>
      <c r="QGD280" s="414"/>
      <c r="QGG280" s="445"/>
      <c r="QGH280" s="414"/>
      <c r="QGK280" s="445"/>
      <c r="QGL280" s="414"/>
      <c r="QGO280" s="445"/>
      <c r="QGP280" s="414"/>
      <c r="QGS280" s="445"/>
      <c r="QGT280" s="414"/>
      <c r="QGW280" s="445"/>
      <c r="QGX280" s="414"/>
      <c r="QHA280" s="445"/>
      <c r="QHB280" s="414"/>
      <c r="QHE280" s="445"/>
      <c r="QHF280" s="414"/>
      <c r="QHI280" s="445"/>
      <c r="QHJ280" s="414"/>
      <c r="QHM280" s="445"/>
      <c r="QHN280" s="414"/>
      <c r="QHQ280" s="445"/>
      <c r="QHR280" s="414"/>
      <c r="QHU280" s="445"/>
      <c r="QHV280" s="414"/>
      <c r="QHY280" s="445"/>
      <c r="QHZ280" s="414"/>
      <c r="QIC280" s="445"/>
      <c r="QID280" s="414"/>
      <c r="QIG280" s="445"/>
      <c r="QIH280" s="414"/>
      <c r="QIK280" s="445"/>
      <c r="QIL280" s="414"/>
      <c r="QIO280" s="445"/>
      <c r="QIP280" s="414"/>
      <c r="QIS280" s="445"/>
      <c r="QIT280" s="414"/>
      <c r="QIW280" s="445"/>
      <c r="QIX280" s="414"/>
      <c r="QJA280" s="445"/>
      <c r="QJB280" s="414"/>
      <c r="QJE280" s="445"/>
      <c r="QJF280" s="414"/>
      <c r="QJI280" s="445"/>
      <c r="QJJ280" s="414"/>
      <c r="QJM280" s="445"/>
      <c r="QJN280" s="414"/>
      <c r="QJQ280" s="445"/>
      <c r="QJR280" s="414"/>
      <c r="QJU280" s="445"/>
      <c r="QJV280" s="414"/>
      <c r="QJY280" s="445"/>
      <c r="QJZ280" s="414"/>
      <c r="QKC280" s="445"/>
      <c r="QKD280" s="414"/>
      <c r="QKG280" s="445"/>
      <c r="QKH280" s="414"/>
      <c r="QKK280" s="445"/>
      <c r="QKL280" s="414"/>
      <c r="QKO280" s="445"/>
      <c r="QKP280" s="414"/>
      <c r="QKS280" s="445"/>
      <c r="QKT280" s="414"/>
      <c r="QKW280" s="445"/>
      <c r="QKX280" s="414"/>
      <c r="QLA280" s="445"/>
      <c r="QLB280" s="414"/>
      <c r="QLE280" s="445"/>
      <c r="QLF280" s="414"/>
      <c r="QLI280" s="445"/>
      <c r="QLJ280" s="414"/>
      <c r="QLM280" s="445"/>
      <c r="QLN280" s="414"/>
      <c r="QLQ280" s="445"/>
      <c r="QLR280" s="414"/>
      <c r="QLU280" s="445"/>
      <c r="QLV280" s="414"/>
      <c r="QLY280" s="445"/>
      <c r="QLZ280" s="414"/>
      <c r="QMC280" s="445"/>
      <c r="QMD280" s="414"/>
      <c r="QMG280" s="445"/>
      <c r="QMH280" s="414"/>
      <c r="QMK280" s="445"/>
      <c r="QML280" s="414"/>
      <c r="QMO280" s="445"/>
      <c r="QMP280" s="414"/>
      <c r="QMS280" s="445"/>
      <c r="QMT280" s="414"/>
      <c r="QMW280" s="445"/>
      <c r="QMX280" s="414"/>
      <c r="QNA280" s="445"/>
      <c r="QNB280" s="414"/>
      <c r="QNE280" s="445"/>
      <c r="QNF280" s="414"/>
      <c r="QNI280" s="445"/>
      <c r="QNJ280" s="414"/>
      <c r="QNM280" s="445"/>
      <c r="QNN280" s="414"/>
      <c r="QNQ280" s="445"/>
      <c r="QNR280" s="414"/>
      <c r="QNU280" s="445"/>
      <c r="QNV280" s="414"/>
      <c r="QNY280" s="445"/>
      <c r="QNZ280" s="414"/>
      <c r="QOC280" s="445"/>
      <c r="QOD280" s="414"/>
      <c r="QOG280" s="445"/>
      <c r="QOH280" s="414"/>
      <c r="QOK280" s="445"/>
      <c r="QOL280" s="414"/>
      <c r="QOO280" s="445"/>
      <c r="QOP280" s="414"/>
      <c r="QOS280" s="445"/>
      <c r="QOT280" s="414"/>
      <c r="QOW280" s="445"/>
      <c r="QOX280" s="414"/>
      <c r="QPA280" s="445"/>
      <c r="QPB280" s="414"/>
      <c r="QPE280" s="445"/>
      <c r="QPF280" s="414"/>
      <c r="QPI280" s="445"/>
      <c r="QPJ280" s="414"/>
      <c r="QPM280" s="445"/>
      <c r="QPN280" s="414"/>
      <c r="QPQ280" s="445"/>
      <c r="QPR280" s="414"/>
      <c r="QPU280" s="445"/>
      <c r="QPV280" s="414"/>
      <c r="QPY280" s="445"/>
      <c r="QPZ280" s="414"/>
      <c r="QQC280" s="445"/>
      <c r="QQD280" s="414"/>
      <c r="QQG280" s="445"/>
      <c r="QQH280" s="414"/>
      <c r="QQK280" s="445"/>
      <c r="QQL280" s="414"/>
      <c r="QQO280" s="445"/>
      <c r="QQP280" s="414"/>
      <c r="QQS280" s="445"/>
      <c r="QQT280" s="414"/>
      <c r="QQW280" s="445"/>
      <c r="QQX280" s="414"/>
      <c r="QRA280" s="445"/>
      <c r="QRB280" s="414"/>
      <c r="QRE280" s="445"/>
      <c r="QRF280" s="414"/>
      <c r="QRI280" s="445"/>
      <c r="QRJ280" s="414"/>
      <c r="QRM280" s="445"/>
      <c r="QRN280" s="414"/>
      <c r="QRQ280" s="445"/>
      <c r="QRR280" s="414"/>
      <c r="QRU280" s="445"/>
      <c r="QRV280" s="414"/>
      <c r="QRY280" s="445"/>
      <c r="QRZ280" s="414"/>
      <c r="QSC280" s="445"/>
      <c r="QSD280" s="414"/>
      <c r="QSG280" s="445"/>
      <c r="QSH280" s="414"/>
      <c r="QSK280" s="445"/>
      <c r="QSL280" s="414"/>
      <c r="QSO280" s="445"/>
      <c r="QSP280" s="414"/>
      <c r="QSS280" s="445"/>
      <c r="QST280" s="414"/>
      <c r="QSW280" s="445"/>
      <c r="QSX280" s="414"/>
      <c r="QTA280" s="445"/>
      <c r="QTB280" s="414"/>
      <c r="QTE280" s="445"/>
      <c r="QTF280" s="414"/>
      <c r="QTI280" s="445"/>
      <c r="QTJ280" s="414"/>
      <c r="QTM280" s="445"/>
      <c r="QTN280" s="414"/>
      <c r="QTQ280" s="445"/>
      <c r="QTR280" s="414"/>
      <c r="QTU280" s="445"/>
      <c r="QTV280" s="414"/>
      <c r="QTY280" s="445"/>
      <c r="QTZ280" s="414"/>
      <c r="QUC280" s="445"/>
      <c r="QUD280" s="414"/>
      <c r="QUG280" s="445"/>
      <c r="QUH280" s="414"/>
      <c r="QUK280" s="445"/>
      <c r="QUL280" s="414"/>
      <c r="QUO280" s="445"/>
      <c r="QUP280" s="414"/>
      <c r="QUS280" s="445"/>
      <c r="QUT280" s="414"/>
      <c r="QUW280" s="445"/>
      <c r="QUX280" s="414"/>
      <c r="QVA280" s="445"/>
      <c r="QVB280" s="414"/>
      <c r="QVE280" s="445"/>
      <c r="QVF280" s="414"/>
      <c r="QVI280" s="445"/>
      <c r="QVJ280" s="414"/>
      <c r="QVM280" s="445"/>
      <c r="QVN280" s="414"/>
      <c r="QVQ280" s="445"/>
      <c r="QVR280" s="414"/>
      <c r="QVU280" s="445"/>
      <c r="QVV280" s="414"/>
      <c r="QVY280" s="445"/>
      <c r="QVZ280" s="414"/>
      <c r="QWC280" s="445"/>
      <c r="QWD280" s="414"/>
      <c r="QWG280" s="445"/>
      <c r="QWH280" s="414"/>
      <c r="QWK280" s="445"/>
      <c r="QWL280" s="414"/>
      <c r="QWO280" s="445"/>
      <c r="QWP280" s="414"/>
      <c r="QWS280" s="445"/>
      <c r="QWT280" s="414"/>
      <c r="QWW280" s="445"/>
      <c r="QWX280" s="414"/>
      <c r="QXA280" s="445"/>
      <c r="QXB280" s="414"/>
      <c r="QXE280" s="445"/>
      <c r="QXF280" s="414"/>
      <c r="QXI280" s="445"/>
      <c r="QXJ280" s="414"/>
      <c r="QXM280" s="445"/>
      <c r="QXN280" s="414"/>
      <c r="QXQ280" s="445"/>
      <c r="QXR280" s="414"/>
      <c r="QXU280" s="445"/>
      <c r="QXV280" s="414"/>
      <c r="QXY280" s="445"/>
      <c r="QXZ280" s="414"/>
      <c r="QYC280" s="445"/>
      <c r="QYD280" s="414"/>
      <c r="QYG280" s="445"/>
      <c r="QYH280" s="414"/>
      <c r="QYK280" s="445"/>
      <c r="QYL280" s="414"/>
      <c r="QYO280" s="445"/>
      <c r="QYP280" s="414"/>
      <c r="QYS280" s="445"/>
      <c r="QYT280" s="414"/>
      <c r="QYW280" s="445"/>
      <c r="QYX280" s="414"/>
      <c r="QZA280" s="445"/>
      <c r="QZB280" s="414"/>
      <c r="QZE280" s="445"/>
      <c r="QZF280" s="414"/>
      <c r="QZI280" s="445"/>
      <c r="QZJ280" s="414"/>
      <c r="QZM280" s="445"/>
      <c r="QZN280" s="414"/>
      <c r="QZQ280" s="445"/>
      <c r="QZR280" s="414"/>
      <c r="QZU280" s="445"/>
      <c r="QZV280" s="414"/>
      <c r="QZY280" s="445"/>
      <c r="QZZ280" s="414"/>
      <c r="RAC280" s="445"/>
      <c r="RAD280" s="414"/>
      <c r="RAG280" s="445"/>
      <c r="RAH280" s="414"/>
      <c r="RAK280" s="445"/>
      <c r="RAL280" s="414"/>
      <c r="RAO280" s="445"/>
      <c r="RAP280" s="414"/>
      <c r="RAS280" s="445"/>
      <c r="RAT280" s="414"/>
      <c r="RAW280" s="445"/>
      <c r="RAX280" s="414"/>
      <c r="RBA280" s="445"/>
      <c r="RBB280" s="414"/>
      <c r="RBE280" s="445"/>
      <c r="RBF280" s="414"/>
      <c r="RBI280" s="445"/>
      <c r="RBJ280" s="414"/>
      <c r="RBM280" s="445"/>
      <c r="RBN280" s="414"/>
      <c r="RBQ280" s="445"/>
      <c r="RBR280" s="414"/>
      <c r="RBU280" s="445"/>
      <c r="RBV280" s="414"/>
      <c r="RBY280" s="445"/>
      <c r="RBZ280" s="414"/>
      <c r="RCC280" s="445"/>
      <c r="RCD280" s="414"/>
      <c r="RCG280" s="445"/>
      <c r="RCH280" s="414"/>
      <c r="RCK280" s="445"/>
      <c r="RCL280" s="414"/>
      <c r="RCO280" s="445"/>
      <c r="RCP280" s="414"/>
      <c r="RCS280" s="445"/>
      <c r="RCT280" s="414"/>
      <c r="RCW280" s="445"/>
      <c r="RCX280" s="414"/>
      <c r="RDA280" s="445"/>
      <c r="RDB280" s="414"/>
      <c r="RDE280" s="445"/>
      <c r="RDF280" s="414"/>
      <c r="RDI280" s="445"/>
      <c r="RDJ280" s="414"/>
      <c r="RDM280" s="445"/>
      <c r="RDN280" s="414"/>
      <c r="RDQ280" s="445"/>
      <c r="RDR280" s="414"/>
      <c r="RDU280" s="445"/>
      <c r="RDV280" s="414"/>
      <c r="RDY280" s="445"/>
      <c r="RDZ280" s="414"/>
      <c r="REC280" s="445"/>
      <c r="RED280" s="414"/>
      <c r="REG280" s="445"/>
      <c r="REH280" s="414"/>
      <c r="REK280" s="445"/>
      <c r="REL280" s="414"/>
      <c r="REO280" s="445"/>
      <c r="REP280" s="414"/>
      <c r="RES280" s="445"/>
      <c r="RET280" s="414"/>
      <c r="REW280" s="445"/>
      <c r="REX280" s="414"/>
      <c r="RFA280" s="445"/>
      <c r="RFB280" s="414"/>
      <c r="RFE280" s="445"/>
      <c r="RFF280" s="414"/>
      <c r="RFI280" s="445"/>
      <c r="RFJ280" s="414"/>
      <c r="RFM280" s="445"/>
      <c r="RFN280" s="414"/>
      <c r="RFQ280" s="445"/>
      <c r="RFR280" s="414"/>
      <c r="RFU280" s="445"/>
      <c r="RFV280" s="414"/>
      <c r="RFY280" s="445"/>
      <c r="RFZ280" s="414"/>
      <c r="RGC280" s="445"/>
      <c r="RGD280" s="414"/>
      <c r="RGG280" s="445"/>
      <c r="RGH280" s="414"/>
      <c r="RGK280" s="445"/>
      <c r="RGL280" s="414"/>
      <c r="RGO280" s="445"/>
      <c r="RGP280" s="414"/>
      <c r="RGS280" s="445"/>
      <c r="RGT280" s="414"/>
      <c r="RGW280" s="445"/>
      <c r="RGX280" s="414"/>
      <c r="RHA280" s="445"/>
      <c r="RHB280" s="414"/>
      <c r="RHE280" s="445"/>
      <c r="RHF280" s="414"/>
      <c r="RHI280" s="445"/>
      <c r="RHJ280" s="414"/>
      <c r="RHM280" s="445"/>
      <c r="RHN280" s="414"/>
      <c r="RHQ280" s="445"/>
      <c r="RHR280" s="414"/>
      <c r="RHU280" s="445"/>
      <c r="RHV280" s="414"/>
      <c r="RHY280" s="445"/>
      <c r="RHZ280" s="414"/>
      <c r="RIC280" s="445"/>
      <c r="RID280" s="414"/>
      <c r="RIG280" s="445"/>
      <c r="RIH280" s="414"/>
      <c r="RIK280" s="445"/>
      <c r="RIL280" s="414"/>
      <c r="RIO280" s="445"/>
      <c r="RIP280" s="414"/>
      <c r="RIS280" s="445"/>
      <c r="RIT280" s="414"/>
      <c r="RIW280" s="445"/>
      <c r="RIX280" s="414"/>
      <c r="RJA280" s="445"/>
      <c r="RJB280" s="414"/>
      <c r="RJE280" s="445"/>
      <c r="RJF280" s="414"/>
      <c r="RJI280" s="445"/>
      <c r="RJJ280" s="414"/>
      <c r="RJM280" s="445"/>
      <c r="RJN280" s="414"/>
      <c r="RJQ280" s="445"/>
      <c r="RJR280" s="414"/>
      <c r="RJU280" s="445"/>
      <c r="RJV280" s="414"/>
      <c r="RJY280" s="445"/>
      <c r="RJZ280" s="414"/>
      <c r="RKC280" s="445"/>
      <c r="RKD280" s="414"/>
      <c r="RKG280" s="445"/>
      <c r="RKH280" s="414"/>
      <c r="RKK280" s="445"/>
      <c r="RKL280" s="414"/>
      <c r="RKO280" s="445"/>
      <c r="RKP280" s="414"/>
      <c r="RKS280" s="445"/>
      <c r="RKT280" s="414"/>
      <c r="RKW280" s="445"/>
      <c r="RKX280" s="414"/>
      <c r="RLA280" s="445"/>
      <c r="RLB280" s="414"/>
      <c r="RLE280" s="445"/>
      <c r="RLF280" s="414"/>
      <c r="RLI280" s="445"/>
      <c r="RLJ280" s="414"/>
      <c r="RLM280" s="445"/>
      <c r="RLN280" s="414"/>
      <c r="RLQ280" s="445"/>
      <c r="RLR280" s="414"/>
      <c r="RLU280" s="445"/>
      <c r="RLV280" s="414"/>
      <c r="RLY280" s="445"/>
      <c r="RLZ280" s="414"/>
      <c r="RMC280" s="445"/>
      <c r="RMD280" s="414"/>
      <c r="RMG280" s="445"/>
      <c r="RMH280" s="414"/>
      <c r="RMK280" s="445"/>
      <c r="RML280" s="414"/>
      <c r="RMO280" s="445"/>
      <c r="RMP280" s="414"/>
      <c r="RMS280" s="445"/>
      <c r="RMT280" s="414"/>
      <c r="RMW280" s="445"/>
      <c r="RMX280" s="414"/>
      <c r="RNA280" s="445"/>
      <c r="RNB280" s="414"/>
      <c r="RNE280" s="445"/>
      <c r="RNF280" s="414"/>
      <c r="RNI280" s="445"/>
      <c r="RNJ280" s="414"/>
      <c r="RNM280" s="445"/>
      <c r="RNN280" s="414"/>
      <c r="RNQ280" s="445"/>
      <c r="RNR280" s="414"/>
      <c r="RNU280" s="445"/>
      <c r="RNV280" s="414"/>
      <c r="RNY280" s="445"/>
      <c r="RNZ280" s="414"/>
      <c r="ROC280" s="445"/>
      <c r="ROD280" s="414"/>
      <c r="ROG280" s="445"/>
      <c r="ROH280" s="414"/>
      <c r="ROK280" s="445"/>
      <c r="ROL280" s="414"/>
      <c r="ROO280" s="445"/>
      <c r="ROP280" s="414"/>
      <c r="ROS280" s="445"/>
      <c r="ROT280" s="414"/>
      <c r="ROW280" s="445"/>
      <c r="ROX280" s="414"/>
      <c r="RPA280" s="445"/>
      <c r="RPB280" s="414"/>
      <c r="RPE280" s="445"/>
      <c r="RPF280" s="414"/>
      <c r="RPI280" s="445"/>
      <c r="RPJ280" s="414"/>
      <c r="RPM280" s="445"/>
      <c r="RPN280" s="414"/>
      <c r="RPQ280" s="445"/>
      <c r="RPR280" s="414"/>
      <c r="RPU280" s="445"/>
      <c r="RPV280" s="414"/>
      <c r="RPY280" s="445"/>
      <c r="RPZ280" s="414"/>
      <c r="RQC280" s="445"/>
      <c r="RQD280" s="414"/>
      <c r="RQG280" s="445"/>
      <c r="RQH280" s="414"/>
      <c r="RQK280" s="445"/>
      <c r="RQL280" s="414"/>
      <c r="RQO280" s="445"/>
      <c r="RQP280" s="414"/>
      <c r="RQS280" s="445"/>
      <c r="RQT280" s="414"/>
      <c r="RQW280" s="445"/>
      <c r="RQX280" s="414"/>
      <c r="RRA280" s="445"/>
      <c r="RRB280" s="414"/>
      <c r="RRE280" s="445"/>
      <c r="RRF280" s="414"/>
      <c r="RRI280" s="445"/>
      <c r="RRJ280" s="414"/>
      <c r="RRM280" s="445"/>
      <c r="RRN280" s="414"/>
      <c r="RRQ280" s="445"/>
      <c r="RRR280" s="414"/>
      <c r="RRU280" s="445"/>
      <c r="RRV280" s="414"/>
      <c r="RRY280" s="445"/>
      <c r="RRZ280" s="414"/>
      <c r="RSC280" s="445"/>
      <c r="RSD280" s="414"/>
      <c r="RSG280" s="445"/>
      <c r="RSH280" s="414"/>
      <c r="RSK280" s="445"/>
      <c r="RSL280" s="414"/>
      <c r="RSO280" s="445"/>
      <c r="RSP280" s="414"/>
      <c r="RSS280" s="445"/>
      <c r="RST280" s="414"/>
      <c r="RSW280" s="445"/>
      <c r="RSX280" s="414"/>
      <c r="RTA280" s="445"/>
      <c r="RTB280" s="414"/>
      <c r="RTE280" s="445"/>
      <c r="RTF280" s="414"/>
      <c r="RTI280" s="445"/>
      <c r="RTJ280" s="414"/>
      <c r="RTM280" s="445"/>
      <c r="RTN280" s="414"/>
      <c r="RTQ280" s="445"/>
      <c r="RTR280" s="414"/>
      <c r="RTU280" s="445"/>
      <c r="RTV280" s="414"/>
      <c r="RTY280" s="445"/>
      <c r="RTZ280" s="414"/>
      <c r="RUC280" s="445"/>
      <c r="RUD280" s="414"/>
      <c r="RUG280" s="445"/>
      <c r="RUH280" s="414"/>
      <c r="RUK280" s="445"/>
      <c r="RUL280" s="414"/>
      <c r="RUO280" s="445"/>
      <c r="RUP280" s="414"/>
      <c r="RUS280" s="445"/>
      <c r="RUT280" s="414"/>
      <c r="RUW280" s="445"/>
      <c r="RUX280" s="414"/>
      <c r="RVA280" s="445"/>
      <c r="RVB280" s="414"/>
      <c r="RVE280" s="445"/>
      <c r="RVF280" s="414"/>
      <c r="RVI280" s="445"/>
      <c r="RVJ280" s="414"/>
      <c r="RVM280" s="445"/>
      <c r="RVN280" s="414"/>
      <c r="RVQ280" s="445"/>
      <c r="RVR280" s="414"/>
      <c r="RVU280" s="445"/>
      <c r="RVV280" s="414"/>
      <c r="RVY280" s="445"/>
      <c r="RVZ280" s="414"/>
      <c r="RWC280" s="445"/>
      <c r="RWD280" s="414"/>
      <c r="RWG280" s="445"/>
      <c r="RWH280" s="414"/>
      <c r="RWK280" s="445"/>
      <c r="RWL280" s="414"/>
      <c r="RWO280" s="445"/>
      <c r="RWP280" s="414"/>
      <c r="RWS280" s="445"/>
      <c r="RWT280" s="414"/>
      <c r="RWW280" s="445"/>
      <c r="RWX280" s="414"/>
      <c r="RXA280" s="445"/>
      <c r="RXB280" s="414"/>
      <c r="RXE280" s="445"/>
      <c r="RXF280" s="414"/>
      <c r="RXI280" s="445"/>
      <c r="RXJ280" s="414"/>
      <c r="RXM280" s="445"/>
      <c r="RXN280" s="414"/>
      <c r="RXQ280" s="445"/>
      <c r="RXR280" s="414"/>
      <c r="RXU280" s="445"/>
      <c r="RXV280" s="414"/>
      <c r="RXY280" s="445"/>
      <c r="RXZ280" s="414"/>
      <c r="RYC280" s="445"/>
      <c r="RYD280" s="414"/>
      <c r="RYG280" s="445"/>
      <c r="RYH280" s="414"/>
      <c r="RYK280" s="445"/>
      <c r="RYL280" s="414"/>
      <c r="RYO280" s="445"/>
      <c r="RYP280" s="414"/>
      <c r="RYS280" s="445"/>
      <c r="RYT280" s="414"/>
      <c r="RYW280" s="445"/>
      <c r="RYX280" s="414"/>
      <c r="RZA280" s="445"/>
      <c r="RZB280" s="414"/>
      <c r="RZE280" s="445"/>
      <c r="RZF280" s="414"/>
      <c r="RZI280" s="445"/>
      <c r="RZJ280" s="414"/>
      <c r="RZM280" s="445"/>
      <c r="RZN280" s="414"/>
      <c r="RZQ280" s="445"/>
      <c r="RZR280" s="414"/>
      <c r="RZU280" s="445"/>
      <c r="RZV280" s="414"/>
      <c r="RZY280" s="445"/>
      <c r="RZZ280" s="414"/>
      <c r="SAC280" s="445"/>
      <c r="SAD280" s="414"/>
      <c r="SAG280" s="445"/>
      <c r="SAH280" s="414"/>
      <c r="SAK280" s="445"/>
      <c r="SAL280" s="414"/>
      <c r="SAO280" s="445"/>
      <c r="SAP280" s="414"/>
      <c r="SAS280" s="445"/>
      <c r="SAT280" s="414"/>
      <c r="SAW280" s="445"/>
      <c r="SAX280" s="414"/>
      <c r="SBA280" s="445"/>
      <c r="SBB280" s="414"/>
      <c r="SBE280" s="445"/>
      <c r="SBF280" s="414"/>
      <c r="SBI280" s="445"/>
      <c r="SBJ280" s="414"/>
      <c r="SBM280" s="445"/>
      <c r="SBN280" s="414"/>
      <c r="SBQ280" s="445"/>
      <c r="SBR280" s="414"/>
      <c r="SBU280" s="445"/>
      <c r="SBV280" s="414"/>
      <c r="SBY280" s="445"/>
      <c r="SBZ280" s="414"/>
      <c r="SCC280" s="445"/>
      <c r="SCD280" s="414"/>
      <c r="SCG280" s="445"/>
      <c r="SCH280" s="414"/>
      <c r="SCK280" s="445"/>
      <c r="SCL280" s="414"/>
      <c r="SCO280" s="445"/>
      <c r="SCP280" s="414"/>
      <c r="SCS280" s="445"/>
      <c r="SCT280" s="414"/>
      <c r="SCW280" s="445"/>
      <c r="SCX280" s="414"/>
      <c r="SDA280" s="445"/>
      <c r="SDB280" s="414"/>
      <c r="SDE280" s="445"/>
      <c r="SDF280" s="414"/>
      <c r="SDI280" s="445"/>
      <c r="SDJ280" s="414"/>
      <c r="SDM280" s="445"/>
      <c r="SDN280" s="414"/>
      <c r="SDQ280" s="445"/>
      <c r="SDR280" s="414"/>
      <c r="SDU280" s="445"/>
      <c r="SDV280" s="414"/>
      <c r="SDY280" s="445"/>
      <c r="SDZ280" s="414"/>
      <c r="SEC280" s="445"/>
      <c r="SED280" s="414"/>
      <c r="SEG280" s="445"/>
      <c r="SEH280" s="414"/>
      <c r="SEK280" s="445"/>
      <c r="SEL280" s="414"/>
      <c r="SEO280" s="445"/>
      <c r="SEP280" s="414"/>
      <c r="SES280" s="445"/>
      <c r="SET280" s="414"/>
      <c r="SEW280" s="445"/>
      <c r="SEX280" s="414"/>
      <c r="SFA280" s="445"/>
      <c r="SFB280" s="414"/>
      <c r="SFE280" s="445"/>
      <c r="SFF280" s="414"/>
      <c r="SFI280" s="445"/>
      <c r="SFJ280" s="414"/>
      <c r="SFM280" s="445"/>
      <c r="SFN280" s="414"/>
      <c r="SFQ280" s="445"/>
      <c r="SFR280" s="414"/>
      <c r="SFU280" s="445"/>
      <c r="SFV280" s="414"/>
      <c r="SFY280" s="445"/>
      <c r="SFZ280" s="414"/>
      <c r="SGC280" s="445"/>
      <c r="SGD280" s="414"/>
      <c r="SGG280" s="445"/>
      <c r="SGH280" s="414"/>
      <c r="SGK280" s="445"/>
      <c r="SGL280" s="414"/>
      <c r="SGO280" s="445"/>
      <c r="SGP280" s="414"/>
      <c r="SGS280" s="445"/>
      <c r="SGT280" s="414"/>
      <c r="SGW280" s="445"/>
      <c r="SGX280" s="414"/>
      <c r="SHA280" s="445"/>
      <c r="SHB280" s="414"/>
      <c r="SHE280" s="445"/>
      <c r="SHF280" s="414"/>
      <c r="SHI280" s="445"/>
      <c r="SHJ280" s="414"/>
      <c r="SHM280" s="445"/>
      <c r="SHN280" s="414"/>
      <c r="SHQ280" s="445"/>
      <c r="SHR280" s="414"/>
      <c r="SHU280" s="445"/>
      <c r="SHV280" s="414"/>
      <c r="SHY280" s="445"/>
      <c r="SHZ280" s="414"/>
      <c r="SIC280" s="445"/>
      <c r="SID280" s="414"/>
      <c r="SIG280" s="445"/>
      <c r="SIH280" s="414"/>
      <c r="SIK280" s="445"/>
      <c r="SIL280" s="414"/>
      <c r="SIO280" s="445"/>
      <c r="SIP280" s="414"/>
      <c r="SIS280" s="445"/>
      <c r="SIT280" s="414"/>
      <c r="SIW280" s="445"/>
      <c r="SIX280" s="414"/>
      <c r="SJA280" s="445"/>
      <c r="SJB280" s="414"/>
      <c r="SJE280" s="445"/>
      <c r="SJF280" s="414"/>
      <c r="SJI280" s="445"/>
      <c r="SJJ280" s="414"/>
      <c r="SJM280" s="445"/>
      <c r="SJN280" s="414"/>
      <c r="SJQ280" s="445"/>
      <c r="SJR280" s="414"/>
      <c r="SJU280" s="445"/>
      <c r="SJV280" s="414"/>
      <c r="SJY280" s="445"/>
      <c r="SJZ280" s="414"/>
      <c r="SKC280" s="445"/>
      <c r="SKD280" s="414"/>
      <c r="SKG280" s="445"/>
      <c r="SKH280" s="414"/>
      <c r="SKK280" s="445"/>
      <c r="SKL280" s="414"/>
      <c r="SKO280" s="445"/>
      <c r="SKP280" s="414"/>
      <c r="SKS280" s="445"/>
      <c r="SKT280" s="414"/>
      <c r="SKW280" s="445"/>
      <c r="SKX280" s="414"/>
      <c r="SLA280" s="445"/>
      <c r="SLB280" s="414"/>
      <c r="SLE280" s="445"/>
      <c r="SLF280" s="414"/>
      <c r="SLI280" s="445"/>
      <c r="SLJ280" s="414"/>
      <c r="SLM280" s="445"/>
      <c r="SLN280" s="414"/>
      <c r="SLQ280" s="445"/>
      <c r="SLR280" s="414"/>
      <c r="SLU280" s="445"/>
      <c r="SLV280" s="414"/>
      <c r="SLY280" s="445"/>
      <c r="SLZ280" s="414"/>
      <c r="SMC280" s="445"/>
      <c r="SMD280" s="414"/>
      <c r="SMG280" s="445"/>
      <c r="SMH280" s="414"/>
      <c r="SMK280" s="445"/>
      <c r="SML280" s="414"/>
      <c r="SMO280" s="445"/>
      <c r="SMP280" s="414"/>
      <c r="SMS280" s="445"/>
      <c r="SMT280" s="414"/>
      <c r="SMW280" s="445"/>
      <c r="SMX280" s="414"/>
      <c r="SNA280" s="445"/>
      <c r="SNB280" s="414"/>
      <c r="SNE280" s="445"/>
      <c r="SNF280" s="414"/>
      <c r="SNI280" s="445"/>
      <c r="SNJ280" s="414"/>
      <c r="SNM280" s="445"/>
      <c r="SNN280" s="414"/>
      <c r="SNQ280" s="445"/>
      <c r="SNR280" s="414"/>
      <c r="SNU280" s="445"/>
      <c r="SNV280" s="414"/>
      <c r="SNY280" s="445"/>
      <c r="SNZ280" s="414"/>
      <c r="SOC280" s="445"/>
      <c r="SOD280" s="414"/>
      <c r="SOG280" s="445"/>
      <c r="SOH280" s="414"/>
      <c r="SOK280" s="445"/>
      <c r="SOL280" s="414"/>
      <c r="SOO280" s="445"/>
      <c r="SOP280" s="414"/>
      <c r="SOS280" s="445"/>
      <c r="SOT280" s="414"/>
      <c r="SOW280" s="445"/>
      <c r="SOX280" s="414"/>
      <c r="SPA280" s="445"/>
      <c r="SPB280" s="414"/>
      <c r="SPE280" s="445"/>
      <c r="SPF280" s="414"/>
      <c r="SPI280" s="445"/>
      <c r="SPJ280" s="414"/>
      <c r="SPM280" s="445"/>
      <c r="SPN280" s="414"/>
      <c r="SPQ280" s="445"/>
      <c r="SPR280" s="414"/>
      <c r="SPU280" s="445"/>
      <c r="SPV280" s="414"/>
      <c r="SPY280" s="445"/>
      <c r="SPZ280" s="414"/>
      <c r="SQC280" s="445"/>
      <c r="SQD280" s="414"/>
      <c r="SQG280" s="445"/>
      <c r="SQH280" s="414"/>
      <c r="SQK280" s="445"/>
      <c r="SQL280" s="414"/>
      <c r="SQO280" s="445"/>
      <c r="SQP280" s="414"/>
      <c r="SQS280" s="445"/>
      <c r="SQT280" s="414"/>
      <c r="SQW280" s="445"/>
      <c r="SQX280" s="414"/>
      <c r="SRA280" s="445"/>
      <c r="SRB280" s="414"/>
      <c r="SRE280" s="445"/>
      <c r="SRF280" s="414"/>
      <c r="SRI280" s="445"/>
      <c r="SRJ280" s="414"/>
      <c r="SRM280" s="445"/>
      <c r="SRN280" s="414"/>
      <c r="SRQ280" s="445"/>
      <c r="SRR280" s="414"/>
      <c r="SRU280" s="445"/>
      <c r="SRV280" s="414"/>
      <c r="SRY280" s="445"/>
      <c r="SRZ280" s="414"/>
      <c r="SSC280" s="445"/>
      <c r="SSD280" s="414"/>
      <c r="SSG280" s="445"/>
      <c r="SSH280" s="414"/>
      <c r="SSK280" s="445"/>
      <c r="SSL280" s="414"/>
      <c r="SSO280" s="445"/>
      <c r="SSP280" s="414"/>
      <c r="SSS280" s="445"/>
      <c r="SST280" s="414"/>
      <c r="SSW280" s="445"/>
      <c r="SSX280" s="414"/>
      <c r="STA280" s="445"/>
      <c r="STB280" s="414"/>
      <c r="STE280" s="445"/>
      <c r="STF280" s="414"/>
      <c r="STI280" s="445"/>
      <c r="STJ280" s="414"/>
      <c r="STM280" s="445"/>
      <c r="STN280" s="414"/>
      <c r="STQ280" s="445"/>
      <c r="STR280" s="414"/>
      <c r="STU280" s="445"/>
      <c r="STV280" s="414"/>
      <c r="STY280" s="445"/>
      <c r="STZ280" s="414"/>
      <c r="SUC280" s="445"/>
      <c r="SUD280" s="414"/>
      <c r="SUG280" s="445"/>
      <c r="SUH280" s="414"/>
      <c r="SUK280" s="445"/>
      <c r="SUL280" s="414"/>
      <c r="SUO280" s="445"/>
      <c r="SUP280" s="414"/>
      <c r="SUS280" s="445"/>
      <c r="SUT280" s="414"/>
      <c r="SUW280" s="445"/>
      <c r="SUX280" s="414"/>
      <c r="SVA280" s="445"/>
      <c r="SVB280" s="414"/>
      <c r="SVE280" s="445"/>
      <c r="SVF280" s="414"/>
      <c r="SVI280" s="445"/>
      <c r="SVJ280" s="414"/>
      <c r="SVM280" s="445"/>
      <c r="SVN280" s="414"/>
      <c r="SVQ280" s="445"/>
      <c r="SVR280" s="414"/>
      <c r="SVU280" s="445"/>
      <c r="SVV280" s="414"/>
      <c r="SVY280" s="445"/>
      <c r="SVZ280" s="414"/>
      <c r="SWC280" s="445"/>
      <c r="SWD280" s="414"/>
      <c r="SWG280" s="445"/>
      <c r="SWH280" s="414"/>
      <c r="SWK280" s="445"/>
      <c r="SWL280" s="414"/>
      <c r="SWO280" s="445"/>
      <c r="SWP280" s="414"/>
      <c r="SWS280" s="445"/>
      <c r="SWT280" s="414"/>
      <c r="SWW280" s="445"/>
      <c r="SWX280" s="414"/>
      <c r="SXA280" s="445"/>
      <c r="SXB280" s="414"/>
      <c r="SXE280" s="445"/>
      <c r="SXF280" s="414"/>
      <c r="SXI280" s="445"/>
      <c r="SXJ280" s="414"/>
      <c r="SXM280" s="445"/>
      <c r="SXN280" s="414"/>
      <c r="SXQ280" s="445"/>
      <c r="SXR280" s="414"/>
      <c r="SXU280" s="445"/>
      <c r="SXV280" s="414"/>
      <c r="SXY280" s="445"/>
      <c r="SXZ280" s="414"/>
      <c r="SYC280" s="445"/>
      <c r="SYD280" s="414"/>
      <c r="SYG280" s="445"/>
      <c r="SYH280" s="414"/>
      <c r="SYK280" s="445"/>
      <c r="SYL280" s="414"/>
      <c r="SYO280" s="445"/>
      <c r="SYP280" s="414"/>
      <c r="SYS280" s="445"/>
      <c r="SYT280" s="414"/>
      <c r="SYW280" s="445"/>
      <c r="SYX280" s="414"/>
      <c r="SZA280" s="445"/>
      <c r="SZB280" s="414"/>
      <c r="SZE280" s="445"/>
      <c r="SZF280" s="414"/>
      <c r="SZI280" s="445"/>
      <c r="SZJ280" s="414"/>
      <c r="SZM280" s="445"/>
      <c r="SZN280" s="414"/>
      <c r="SZQ280" s="445"/>
      <c r="SZR280" s="414"/>
      <c r="SZU280" s="445"/>
      <c r="SZV280" s="414"/>
      <c r="SZY280" s="445"/>
      <c r="SZZ280" s="414"/>
      <c r="TAC280" s="445"/>
      <c r="TAD280" s="414"/>
      <c r="TAG280" s="445"/>
      <c r="TAH280" s="414"/>
      <c r="TAK280" s="445"/>
      <c r="TAL280" s="414"/>
      <c r="TAO280" s="445"/>
      <c r="TAP280" s="414"/>
      <c r="TAS280" s="445"/>
      <c r="TAT280" s="414"/>
      <c r="TAW280" s="445"/>
      <c r="TAX280" s="414"/>
      <c r="TBA280" s="445"/>
      <c r="TBB280" s="414"/>
      <c r="TBE280" s="445"/>
      <c r="TBF280" s="414"/>
      <c r="TBI280" s="445"/>
      <c r="TBJ280" s="414"/>
      <c r="TBM280" s="445"/>
      <c r="TBN280" s="414"/>
      <c r="TBQ280" s="445"/>
      <c r="TBR280" s="414"/>
      <c r="TBU280" s="445"/>
      <c r="TBV280" s="414"/>
      <c r="TBY280" s="445"/>
      <c r="TBZ280" s="414"/>
      <c r="TCC280" s="445"/>
      <c r="TCD280" s="414"/>
      <c r="TCG280" s="445"/>
      <c r="TCH280" s="414"/>
      <c r="TCK280" s="445"/>
      <c r="TCL280" s="414"/>
      <c r="TCO280" s="445"/>
      <c r="TCP280" s="414"/>
      <c r="TCS280" s="445"/>
      <c r="TCT280" s="414"/>
      <c r="TCW280" s="445"/>
      <c r="TCX280" s="414"/>
      <c r="TDA280" s="445"/>
      <c r="TDB280" s="414"/>
      <c r="TDE280" s="445"/>
      <c r="TDF280" s="414"/>
      <c r="TDI280" s="445"/>
      <c r="TDJ280" s="414"/>
      <c r="TDM280" s="445"/>
      <c r="TDN280" s="414"/>
      <c r="TDQ280" s="445"/>
      <c r="TDR280" s="414"/>
      <c r="TDU280" s="445"/>
      <c r="TDV280" s="414"/>
      <c r="TDY280" s="445"/>
      <c r="TDZ280" s="414"/>
      <c r="TEC280" s="445"/>
      <c r="TED280" s="414"/>
      <c r="TEG280" s="445"/>
      <c r="TEH280" s="414"/>
      <c r="TEK280" s="445"/>
      <c r="TEL280" s="414"/>
      <c r="TEO280" s="445"/>
      <c r="TEP280" s="414"/>
      <c r="TES280" s="445"/>
      <c r="TET280" s="414"/>
      <c r="TEW280" s="445"/>
      <c r="TEX280" s="414"/>
      <c r="TFA280" s="445"/>
      <c r="TFB280" s="414"/>
      <c r="TFE280" s="445"/>
      <c r="TFF280" s="414"/>
      <c r="TFI280" s="445"/>
      <c r="TFJ280" s="414"/>
      <c r="TFM280" s="445"/>
      <c r="TFN280" s="414"/>
      <c r="TFQ280" s="445"/>
      <c r="TFR280" s="414"/>
      <c r="TFU280" s="445"/>
      <c r="TFV280" s="414"/>
      <c r="TFY280" s="445"/>
      <c r="TFZ280" s="414"/>
      <c r="TGC280" s="445"/>
      <c r="TGD280" s="414"/>
      <c r="TGG280" s="445"/>
      <c r="TGH280" s="414"/>
      <c r="TGK280" s="445"/>
      <c r="TGL280" s="414"/>
      <c r="TGO280" s="445"/>
      <c r="TGP280" s="414"/>
      <c r="TGS280" s="445"/>
      <c r="TGT280" s="414"/>
      <c r="TGW280" s="445"/>
      <c r="TGX280" s="414"/>
      <c r="THA280" s="445"/>
      <c r="THB280" s="414"/>
      <c r="THE280" s="445"/>
      <c r="THF280" s="414"/>
      <c r="THI280" s="445"/>
      <c r="THJ280" s="414"/>
      <c r="THM280" s="445"/>
      <c r="THN280" s="414"/>
      <c r="THQ280" s="445"/>
      <c r="THR280" s="414"/>
      <c r="THU280" s="445"/>
      <c r="THV280" s="414"/>
      <c r="THY280" s="445"/>
      <c r="THZ280" s="414"/>
      <c r="TIC280" s="445"/>
      <c r="TID280" s="414"/>
      <c r="TIG280" s="445"/>
      <c r="TIH280" s="414"/>
      <c r="TIK280" s="445"/>
      <c r="TIL280" s="414"/>
      <c r="TIO280" s="445"/>
      <c r="TIP280" s="414"/>
      <c r="TIS280" s="445"/>
      <c r="TIT280" s="414"/>
      <c r="TIW280" s="445"/>
      <c r="TIX280" s="414"/>
      <c r="TJA280" s="445"/>
      <c r="TJB280" s="414"/>
      <c r="TJE280" s="445"/>
      <c r="TJF280" s="414"/>
      <c r="TJI280" s="445"/>
      <c r="TJJ280" s="414"/>
      <c r="TJM280" s="445"/>
      <c r="TJN280" s="414"/>
      <c r="TJQ280" s="445"/>
      <c r="TJR280" s="414"/>
      <c r="TJU280" s="445"/>
      <c r="TJV280" s="414"/>
      <c r="TJY280" s="445"/>
      <c r="TJZ280" s="414"/>
      <c r="TKC280" s="445"/>
      <c r="TKD280" s="414"/>
      <c r="TKG280" s="445"/>
      <c r="TKH280" s="414"/>
      <c r="TKK280" s="445"/>
      <c r="TKL280" s="414"/>
      <c r="TKO280" s="445"/>
      <c r="TKP280" s="414"/>
      <c r="TKS280" s="445"/>
      <c r="TKT280" s="414"/>
      <c r="TKW280" s="445"/>
      <c r="TKX280" s="414"/>
      <c r="TLA280" s="445"/>
      <c r="TLB280" s="414"/>
      <c r="TLE280" s="445"/>
      <c r="TLF280" s="414"/>
      <c r="TLI280" s="445"/>
      <c r="TLJ280" s="414"/>
      <c r="TLM280" s="445"/>
      <c r="TLN280" s="414"/>
      <c r="TLQ280" s="445"/>
      <c r="TLR280" s="414"/>
      <c r="TLU280" s="445"/>
      <c r="TLV280" s="414"/>
      <c r="TLY280" s="445"/>
      <c r="TLZ280" s="414"/>
      <c r="TMC280" s="445"/>
      <c r="TMD280" s="414"/>
      <c r="TMG280" s="445"/>
      <c r="TMH280" s="414"/>
      <c r="TMK280" s="445"/>
      <c r="TML280" s="414"/>
      <c r="TMO280" s="445"/>
      <c r="TMP280" s="414"/>
      <c r="TMS280" s="445"/>
      <c r="TMT280" s="414"/>
      <c r="TMW280" s="445"/>
      <c r="TMX280" s="414"/>
      <c r="TNA280" s="445"/>
      <c r="TNB280" s="414"/>
      <c r="TNE280" s="445"/>
      <c r="TNF280" s="414"/>
      <c r="TNI280" s="445"/>
      <c r="TNJ280" s="414"/>
      <c r="TNM280" s="445"/>
      <c r="TNN280" s="414"/>
      <c r="TNQ280" s="445"/>
      <c r="TNR280" s="414"/>
      <c r="TNU280" s="445"/>
      <c r="TNV280" s="414"/>
      <c r="TNY280" s="445"/>
      <c r="TNZ280" s="414"/>
      <c r="TOC280" s="445"/>
      <c r="TOD280" s="414"/>
      <c r="TOG280" s="445"/>
      <c r="TOH280" s="414"/>
      <c r="TOK280" s="445"/>
      <c r="TOL280" s="414"/>
      <c r="TOO280" s="445"/>
      <c r="TOP280" s="414"/>
      <c r="TOS280" s="445"/>
      <c r="TOT280" s="414"/>
      <c r="TOW280" s="445"/>
      <c r="TOX280" s="414"/>
      <c r="TPA280" s="445"/>
      <c r="TPB280" s="414"/>
      <c r="TPE280" s="445"/>
      <c r="TPF280" s="414"/>
      <c r="TPI280" s="445"/>
      <c r="TPJ280" s="414"/>
      <c r="TPM280" s="445"/>
      <c r="TPN280" s="414"/>
      <c r="TPQ280" s="445"/>
      <c r="TPR280" s="414"/>
      <c r="TPU280" s="445"/>
      <c r="TPV280" s="414"/>
      <c r="TPY280" s="445"/>
      <c r="TPZ280" s="414"/>
      <c r="TQC280" s="445"/>
      <c r="TQD280" s="414"/>
      <c r="TQG280" s="445"/>
      <c r="TQH280" s="414"/>
      <c r="TQK280" s="445"/>
      <c r="TQL280" s="414"/>
      <c r="TQO280" s="445"/>
      <c r="TQP280" s="414"/>
      <c r="TQS280" s="445"/>
      <c r="TQT280" s="414"/>
      <c r="TQW280" s="445"/>
      <c r="TQX280" s="414"/>
      <c r="TRA280" s="445"/>
      <c r="TRB280" s="414"/>
      <c r="TRE280" s="445"/>
      <c r="TRF280" s="414"/>
      <c r="TRI280" s="445"/>
      <c r="TRJ280" s="414"/>
      <c r="TRM280" s="445"/>
      <c r="TRN280" s="414"/>
      <c r="TRQ280" s="445"/>
      <c r="TRR280" s="414"/>
      <c r="TRU280" s="445"/>
      <c r="TRV280" s="414"/>
      <c r="TRY280" s="445"/>
      <c r="TRZ280" s="414"/>
      <c r="TSC280" s="445"/>
      <c r="TSD280" s="414"/>
      <c r="TSG280" s="445"/>
      <c r="TSH280" s="414"/>
      <c r="TSK280" s="445"/>
      <c r="TSL280" s="414"/>
      <c r="TSO280" s="445"/>
      <c r="TSP280" s="414"/>
      <c r="TSS280" s="445"/>
      <c r="TST280" s="414"/>
      <c r="TSW280" s="445"/>
      <c r="TSX280" s="414"/>
      <c r="TTA280" s="445"/>
      <c r="TTB280" s="414"/>
      <c r="TTE280" s="445"/>
      <c r="TTF280" s="414"/>
      <c r="TTI280" s="445"/>
      <c r="TTJ280" s="414"/>
      <c r="TTM280" s="445"/>
      <c r="TTN280" s="414"/>
      <c r="TTQ280" s="445"/>
      <c r="TTR280" s="414"/>
      <c r="TTU280" s="445"/>
      <c r="TTV280" s="414"/>
      <c r="TTY280" s="445"/>
      <c r="TTZ280" s="414"/>
      <c r="TUC280" s="445"/>
      <c r="TUD280" s="414"/>
      <c r="TUG280" s="445"/>
      <c r="TUH280" s="414"/>
      <c r="TUK280" s="445"/>
      <c r="TUL280" s="414"/>
      <c r="TUO280" s="445"/>
      <c r="TUP280" s="414"/>
      <c r="TUS280" s="445"/>
      <c r="TUT280" s="414"/>
      <c r="TUW280" s="445"/>
      <c r="TUX280" s="414"/>
      <c r="TVA280" s="445"/>
      <c r="TVB280" s="414"/>
      <c r="TVE280" s="445"/>
      <c r="TVF280" s="414"/>
      <c r="TVI280" s="445"/>
      <c r="TVJ280" s="414"/>
      <c r="TVM280" s="445"/>
      <c r="TVN280" s="414"/>
      <c r="TVQ280" s="445"/>
      <c r="TVR280" s="414"/>
      <c r="TVU280" s="445"/>
      <c r="TVV280" s="414"/>
      <c r="TVY280" s="445"/>
      <c r="TVZ280" s="414"/>
      <c r="TWC280" s="445"/>
      <c r="TWD280" s="414"/>
      <c r="TWG280" s="445"/>
      <c r="TWH280" s="414"/>
      <c r="TWK280" s="445"/>
      <c r="TWL280" s="414"/>
      <c r="TWO280" s="445"/>
      <c r="TWP280" s="414"/>
      <c r="TWS280" s="445"/>
      <c r="TWT280" s="414"/>
      <c r="TWW280" s="445"/>
      <c r="TWX280" s="414"/>
      <c r="TXA280" s="445"/>
      <c r="TXB280" s="414"/>
      <c r="TXE280" s="445"/>
      <c r="TXF280" s="414"/>
      <c r="TXI280" s="445"/>
      <c r="TXJ280" s="414"/>
      <c r="TXM280" s="445"/>
      <c r="TXN280" s="414"/>
      <c r="TXQ280" s="445"/>
      <c r="TXR280" s="414"/>
      <c r="TXU280" s="445"/>
      <c r="TXV280" s="414"/>
      <c r="TXY280" s="445"/>
      <c r="TXZ280" s="414"/>
      <c r="TYC280" s="445"/>
      <c r="TYD280" s="414"/>
      <c r="TYG280" s="445"/>
      <c r="TYH280" s="414"/>
      <c r="TYK280" s="445"/>
      <c r="TYL280" s="414"/>
      <c r="TYO280" s="445"/>
      <c r="TYP280" s="414"/>
      <c r="TYS280" s="445"/>
      <c r="TYT280" s="414"/>
      <c r="TYW280" s="445"/>
      <c r="TYX280" s="414"/>
      <c r="TZA280" s="445"/>
      <c r="TZB280" s="414"/>
      <c r="TZE280" s="445"/>
      <c r="TZF280" s="414"/>
      <c r="TZI280" s="445"/>
      <c r="TZJ280" s="414"/>
      <c r="TZM280" s="445"/>
      <c r="TZN280" s="414"/>
      <c r="TZQ280" s="445"/>
      <c r="TZR280" s="414"/>
      <c r="TZU280" s="445"/>
      <c r="TZV280" s="414"/>
      <c r="TZY280" s="445"/>
      <c r="TZZ280" s="414"/>
      <c r="UAC280" s="445"/>
      <c r="UAD280" s="414"/>
      <c r="UAG280" s="445"/>
      <c r="UAH280" s="414"/>
      <c r="UAK280" s="445"/>
      <c r="UAL280" s="414"/>
      <c r="UAO280" s="445"/>
      <c r="UAP280" s="414"/>
      <c r="UAS280" s="445"/>
      <c r="UAT280" s="414"/>
      <c r="UAW280" s="445"/>
      <c r="UAX280" s="414"/>
      <c r="UBA280" s="445"/>
      <c r="UBB280" s="414"/>
      <c r="UBE280" s="445"/>
      <c r="UBF280" s="414"/>
      <c r="UBI280" s="445"/>
      <c r="UBJ280" s="414"/>
      <c r="UBM280" s="445"/>
      <c r="UBN280" s="414"/>
      <c r="UBQ280" s="445"/>
      <c r="UBR280" s="414"/>
      <c r="UBU280" s="445"/>
      <c r="UBV280" s="414"/>
      <c r="UBY280" s="445"/>
      <c r="UBZ280" s="414"/>
      <c r="UCC280" s="445"/>
      <c r="UCD280" s="414"/>
      <c r="UCG280" s="445"/>
      <c r="UCH280" s="414"/>
      <c r="UCK280" s="445"/>
      <c r="UCL280" s="414"/>
      <c r="UCO280" s="445"/>
      <c r="UCP280" s="414"/>
      <c r="UCS280" s="445"/>
      <c r="UCT280" s="414"/>
      <c r="UCW280" s="445"/>
      <c r="UCX280" s="414"/>
      <c r="UDA280" s="445"/>
      <c r="UDB280" s="414"/>
      <c r="UDE280" s="445"/>
      <c r="UDF280" s="414"/>
      <c r="UDI280" s="445"/>
      <c r="UDJ280" s="414"/>
      <c r="UDM280" s="445"/>
      <c r="UDN280" s="414"/>
      <c r="UDQ280" s="445"/>
      <c r="UDR280" s="414"/>
      <c r="UDU280" s="445"/>
      <c r="UDV280" s="414"/>
      <c r="UDY280" s="445"/>
      <c r="UDZ280" s="414"/>
      <c r="UEC280" s="445"/>
      <c r="UED280" s="414"/>
      <c r="UEG280" s="445"/>
      <c r="UEH280" s="414"/>
      <c r="UEK280" s="445"/>
      <c r="UEL280" s="414"/>
      <c r="UEO280" s="445"/>
      <c r="UEP280" s="414"/>
      <c r="UES280" s="445"/>
      <c r="UET280" s="414"/>
      <c r="UEW280" s="445"/>
      <c r="UEX280" s="414"/>
      <c r="UFA280" s="445"/>
      <c r="UFB280" s="414"/>
      <c r="UFE280" s="445"/>
      <c r="UFF280" s="414"/>
      <c r="UFI280" s="445"/>
      <c r="UFJ280" s="414"/>
      <c r="UFM280" s="445"/>
      <c r="UFN280" s="414"/>
      <c r="UFQ280" s="445"/>
      <c r="UFR280" s="414"/>
      <c r="UFU280" s="445"/>
      <c r="UFV280" s="414"/>
      <c r="UFY280" s="445"/>
      <c r="UFZ280" s="414"/>
      <c r="UGC280" s="445"/>
      <c r="UGD280" s="414"/>
      <c r="UGG280" s="445"/>
      <c r="UGH280" s="414"/>
      <c r="UGK280" s="445"/>
      <c r="UGL280" s="414"/>
      <c r="UGO280" s="445"/>
      <c r="UGP280" s="414"/>
      <c r="UGS280" s="445"/>
      <c r="UGT280" s="414"/>
      <c r="UGW280" s="445"/>
      <c r="UGX280" s="414"/>
      <c r="UHA280" s="445"/>
      <c r="UHB280" s="414"/>
      <c r="UHE280" s="445"/>
      <c r="UHF280" s="414"/>
      <c r="UHI280" s="445"/>
      <c r="UHJ280" s="414"/>
      <c r="UHM280" s="445"/>
      <c r="UHN280" s="414"/>
      <c r="UHQ280" s="445"/>
      <c r="UHR280" s="414"/>
      <c r="UHU280" s="445"/>
      <c r="UHV280" s="414"/>
      <c r="UHY280" s="445"/>
      <c r="UHZ280" s="414"/>
      <c r="UIC280" s="445"/>
      <c r="UID280" s="414"/>
      <c r="UIG280" s="445"/>
      <c r="UIH280" s="414"/>
      <c r="UIK280" s="445"/>
      <c r="UIL280" s="414"/>
      <c r="UIO280" s="445"/>
      <c r="UIP280" s="414"/>
      <c r="UIS280" s="445"/>
      <c r="UIT280" s="414"/>
      <c r="UIW280" s="445"/>
      <c r="UIX280" s="414"/>
      <c r="UJA280" s="445"/>
      <c r="UJB280" s="414"/>
      <c r="UJE280" s="445"/>
      <c r="UJF280" s="414"/>
      <c r="UJI280" s="445"/>
      <c r="UJJ280" s="414"/>
      <c r="UJM280" s="445"/>
      <c r="UJN280" s="414"/>
      <c r="UJQ280" s="445"/>
      <c r="UJR280" s="414"/>
      <c r="UJU280" s="445"/>
      <c r="UJV280" s="414"/>
      <c r="UJY280" s="445"/>
      <c r="UJZ280" s="414"/>
      <c r="UKC280" s="445"/>
      <c r="UKD280" s="414"/>
      <c r="UKG280" s="445"/>
      <c r="UKH280" s="414"/>
      <c r="UKK280" s="445"/>
      <c r="UKL280" s="414"/>
      <c r="UKO280" s="445"/>
      <c r="UKP280" s="414"/>
      <c r="UKS280" s="445"/>
      <c r="UKT280" s="414"/>
      <c r="UKW280" s="445"/>
      <c r="UKX280" s="414"/>
      <c r="ULA280" s="445"/>
      <c r="ULB280" s="414"/>
      <c r="ULE280" s="445"/>
      <c r="ULF280" s="414"/>
      <c r="ULI280" s="445"/>
      <c r="ULJ280" s="414"/>
      <c r="ULM280" s="445"/>
      <c r="ULN280" s="414"/>
      <c r="ULQ280" s="445"/>
      <c r="ULR280" s="414"/>
      <c r="ULU280" s="445"/>
      <c r="ULV280" s="414"/>
      <c r="ULY280" s="445"/>
      <c r="ULZ280" s="414"/>
      <c r="UMC280" s="445"/>
      <c r="UMD280" s="414"/>
      <c r="UMG280" s="445"/>
      <c r="UMH280" s="414"/>
      <c r="UMK280" s="445"/>
      <c r="UML280" s="414"/>
      <c r="UMO280" s="445"/>
      <c r="UMP280" s="414"/>
      <c r="UMS280" s="445"/>
      <c r="UMT280" s="414"/>
      <c r="UMW280" s="445"/>
      <c r="UMX280" s="414"/>
      <c r="UNA280" s="445"/>
      <c r="UNB280" s="414"/>
      <c r="UNE280" s="445"/>
      <c r="UNF280" s="414"/>
      <c r="UNI280" s="445"/>
      <c r="UNJ280" s="414"/>
      <c r="UNM280" s="445"/>
      <c r="UNN280" s="414"/>
      <c r="UNQ280" s="445"/>
      <c r="UNR280" s="414"/>
      <c r="UNU280" s="445"/>
      <c r="UNV280" s="414"/>
      <c r="UNY280" s="445"/>
      <c r="UNZ280" s="414"/>
      <c r="UOC280" s="445"/>
      <c r="UOD280" s="414"/>
      <c r="UOG280" s="445"/>
      <c r="UOH280" s="414"/>
      <c r="UOK280" s="445"/>
      <c r="UOL280" s="414"/>
      <c r="UOO280" s="445"/>
      <c r="UOP280" s="414"/>
      <c r="UOS280" s="445"/>
      <c r="UOT280" s="414"/>
      <c r="UOW280" s="445"/>
      <c r="UOX280" s="414"/>
      <c r="UPA280" s="445"/>
      <c r="UPB280" s="414"/>
      <c r="UPE280" s="445"/>
      <c r="UPF280" s="414"/>
      <c r="UPI280" s="445"/>
      <c r="UPJ280" s="414"/>
      <c r="UPM280" s="445"/>
      <c r="UPN280" s="414"/>
      <c r="UPQ280" s="445"/>
      <c r="UPR280" s="414"/>
      <c r="UPU280" s="445"/>
      <c r="UPV280" s="414"/>
      <c r="UPY280" s="445"/>
      <c r="UPZ280" s="414"/>
      <c r="UQC280" s="445"/>
      <c r="UQD280" s="414"/>
      <c r="UQG280" s="445"/>
      <c r="UQH280" s="414"/>
      <c r="UQK280" s="445"/>
      <c r="UQL280" s="414"/>
      <c r="UQO280" s="445"/>
      <c r="UQP280" s="414"/>
      <c r="UQS280" s="445"/>
      <c r="UQT280" s="414"/>
      <c r="UQW280" s="445"/>
      <c r="UQX280" s="414"/>
      <c r="URA280" s="445"/>
      <c r="URB280" s="414"/>
      <c r="URE280" s="445"/>
      <c r="URF280" s="414"/>
      <c r="URI280" s="445"/>
      <c r="URJ280" s="414"/>
      <c r="URM280" s="445"/>
      <c r="URN280" s="414"/>
      <c r="URQ280" s="445"/>
      <c r="URR280" s="414"/>
      <c r="URU280" s="445"/>
      <c r="URV280" s="414"/>
      <c r="URY280" s="445"/>
      <c r="URZ280" s="414"/>
      <c r="USC280" s="445"/>
      <c r="USD280" s="414"/>
      <c r="USG280" s="445"/>
      <c r="USH280" s="414"/>
      <c r="USK280" s="445"/>
      <c r="USL280" s="414"/>
      <c r="USO280" s="445"/>
      <c r="USP280" s="414"/>
      <c r="USS280" s="445"/>
      <c r="UST280" s="414"/>
      <c r="USW280" s="445"/>
      <c r="USX280" s="414"/>
      <c r="UTA280" s="445"/>
      <c r="UTB280" s="414"/>
      <c r="UTE280" s="445"/>
      <c r="UTF280" s="414"/>
      <c r="UTI280" s="445"/>
      <c r="UTJ280" s="414"/>
      <c r="UTM280" s="445"/>
      <c r="UTN280" s="414"/>
      <c r="UTQ280" s="445"/>
      <c r="UTR280" s="414"/>
      <c r="UTU280" s="445"/>
      <c r="UTV280" s="414"/>
      <c r="UTY280" s="445"/>
      <c r="UTZ280" s="414"/>
      <c r="UUC280" s="445"/>
      <c r="UUD280" s="414"/>
      <c r="UUG280" s="445"/>
      <c r="UUH280" s="414"/>
      <c r="UUK280" s="445"/>
      <c r="UUL280" s="414"/>
      <c r="UUO280" s="445"/>
      <c r="UUP280" s="414"/>
      <c r="UUS280" s="445"/>
      <c r="UUT280" s="414"/>
      <c r="UUW280" s="445"/>
      <c r="UUX280" s="414"/>
      <c r="UVA280" s="445"/>
      <c r="UVB280" s="414"/>
      <c r="UVE280" s="445"/>
      <c r="UVF280" s="414"/>
      <c r="UVI280" s="445"/>
      <c r="UVJ280" s="414"/>
      <c r="UVM280" s="445"/>
      <c r="UVN280" s="414"/>
      <c r="UVQ280" s="445"/>
      <c r="UVR280" s="414"/>
      <c r="UVU280" s="445"/>
      <c r="UVV280" s="414"/>
      <c r="UVY280" s="445"/>
      <c r="UVZ280" s="414"/>
      <c r="UWC280" s="445"/>
      <c r="UWD280" s="414"/>
      <c r="UWG280" s="445"/>
      <c r="UWH280" s="414"/>
      <c r="UWK280" s="445"/>
      <c r="UWL280" s="414"/>
      <c r="UWO280" s="445"/>
      <c r="UWP280" s="414"/>
      <c r="UWS280" s="445"/>
      <c r="UWT280" s="414"/>
      <c r="UWW280" s="445"/>
      <c r="UWX280" s="414"/>
      <c r="UXA280" s="445"/>
      <c r="UXB280" s="414"/>
      <c r="UXE280" s="445"/>
      <c r="UXF280" s="414"/>
      <c r="UXI280" s="445"/>
      <c r="UXJ280" s="414"/>
      <c r="UXM280" s="445"/>
      <c r="UXN280" s="414"/>
      <c r="UXQ280" s="445"/>
      <c r="UXR280" s="414"/>
      <c r="UXU280" s="445"/>
      <c r="UXV280" s="414"/>
      <c r="UXY280" s="445"/>
      <c r="UXZ280" s="414"/>
      <c r="UYC280" s="445"/>
      <c r="UYD280" s="414"/>
      <c r="UYG280" s="445"/>
      <c r="UYH280" s="414"/>
      <c r="UYK280" s="445"/>
      <c r="UYL280" s="414"/>
      <c r="UYO280" s="445"/>
      <c r="UYP280" s="414"/>
      <c r="UYS280" s="445"/>
      <c r="UYT280" s="414"/>
      <c r="UYW280" s="445"/>
      <c r="UYX280" s="414"/>
      <c r="UZA280" s="445"/>
      <c r="UZB280" s="414"/>
      <c r="UZE280" s="445"/>
      <c r="UZF280" s="414"/>
      <c r="UZI280" s="445"/>
      <c r="UZJ280" s="414"/>
      <c r="UZM280" s="445"/>
      <c r="UZN280" s="414"/>
      <c r="UZQ280" s="445"/>
      <c r="UZR280" s="414"/>
      <c r="UZU280" s="445"/>
      <c r="UZV280" s="414"/>
      <c r="UZY280" s="445"/>
      <c r="UZZ280" s="414"/>
      <c r="VAC280" s="445"/>
      <c r="VAD280" s="414"/>
      <c r="VAG280" s="445"/>
      <c r="VAH280" s="414"/>
      <c r="VAK280" s="445"/>
      <c r="VAL280" s="414"/>
      <c r="VAO280" s="445"/>
      <c r="VAP280" s="414"/>
      <c r="VAS280" s="445"/>
      <c r="VAT280" s="414"/>
      <c r="VAW280" s="445"/>
      <c r="VAX280" s="414"/>
      <c r="VBA280" s="445"/>
      <c r="VBB280" s="414"/>
      <c r="VBE280" s="445"/>
      <c r="VBF280" s="414"/>
      <c r="VBI280" s="445"/>
      <c r="VBJ280" s="414"/>
      <c r="VBM280" s="445"/>
      <c r="VBN280" s="414"/>
      <c r="VBQ280" s="445"/>
      <c r="VBR280" s="414"/>
      <c r="VBU280" s="445"/>
      <c r="VBV280" s="414"/>
      <c r="VBY280" s="445"/>
      <c r="VBZ280" s="414"/>
      <c r="VCC280" s="445"/>
      <c r="VCD280" s="414"/>
      <c r="VCG280" s="445"/>
      <c r="VCH280" s="414"/>
      <c r="VCK280" s="445"/>
      <c r="VCL280" s="414"/>
      <c r="VCO280" s="445"/>
      <c r="VCP280" s="414"/>
      <c r="VCS280" s="445"/>
      <c r="VCT280" s="414"/>
      <c r="VCW280" s="445"/>
      <c r="VCX280" s="414"/>
      <c r="VDA280" s="445"/>
      <c r="VDB280" s="414"/>
      <c r="VDE280" s="445"/>
      <c r="VDF280" s="414"/>
      <c r="VDI280" s="445"/>
      <c r="VDJ280" s="414"/>
      <c r="VDM280" s="445"/>
      <c r="VDN280" s="414"/>
      <c r="VDQ280" s="445"/>
      <c r="VDR280" s="414"/>
      <c r="VDU280" s="445"/>
      <c r="VDV280" s="414"/>
      <c r="VDY280" s="445"/>
      <c r="VDZ280" s="414"/>
      <c r="VEC280" s="445"/>
      <c r="VED280" s="414"/>
      <c r="VEG280" s="445"/>
      <c r="VEH280" s="414"/>
      <c r="VEK280" s="445"/>
      <c r="VEL280" s="414"/>
      <c r="VEO280" s="445"/>
      <c r="VEP280" s="414"/>
      <c r="VES280" s="445"/>
      <c r="VET280" s="414"/>
      <c r="VEW280" s="445"/>
      <c r="VEX280" s="414"/>
      <c r="VFA280" s="445"/>
      <c r="VFB280" s="414"/>
      <c r="VFE280" s="445"/>
      <c r="VFF280" s="414"/>
      <c r="VFI280" s="445"/>
      <c r="VFJ280" s="414"/>
      <c r="VFM280" s="445"/>
      <c r="VFN280" s="414"/>
      <c r="VFQ280" s="445"/>
      <c r="VFR280" s="414"/>
      <c r="VFU280" s="445"/>
      <c r="VFV280" s="414"/>
      <c r="VFY280" s="445"/>
      <c r="VFZ280" s="414"/>
      <c r="VGC280" s="445"/>
      <c r="VGD280" s="414"/>
      <c r="VGG280" s="445"/>
      <c r="VGH280" s="414"/>
      <c r="VGK280" s="445"/>
      <c r="VGL280" s="414"/>
      <c r="VGO280" s="445"/>
      <c r="VGP280" s="414"/>
      <c r="VGS280" s="445"/>
      <c r="VGT280" s="414"/>
      <c r="VGW280" s="445"/>
      <c r="VGX280" s="414"/>
      <c r="VHA280" s="445"/>
      <c r="VHB280" s="414"/>
      <c r="VHE280" s="445"/>
      <c r="VHF280" s="414"/>
      <c r="VHI280" s="445"/>
      <c r="VHJ280" s="414"/>
      <c r="VHM280" s="445"/>
      <c r="VHN280" s="414"/>
      <c r="VHQ280" s="445"/>
      <c r="VHR280" s="414"/>
      <c r="VHU280" s="445"/>
      <c r="VHV280" s="414"/>
      <c r="VHY280" s="445"/>
      <c r="VHZ280" s="414"/>
      <c r="VIC280" s="445"/>
      <c r="VID280" s="414"/>
      <c r="VIG280" s="445"/>
      <c r="VIH280" s="414"/>
      <c r="VIK280" s="445"/>
      <c r="VIL280" s="414"/>
      <c r="VIO280" s="445"/>
      <c r="VIP280" s="414"/>
      <c r="VIS280" s="445"/>
      <c r="VIT280" s="414"/>
      <c r="VIW280" s="445"/>
      <c r="VIX280" s="414"/>
      <c r="VJA280" s="445"/>
      <c r="VJB280" s="414"/>
      <c r="VJE280" s="445"/>
      <c r="VJF280" s="414"/>
      <c r="VJI280" s="445"/>
      <c r="VJJ280" s="414"/>
      <c r="VJM280" s="445"/>
      <c r="VJN280" s="414"/>
      <c r="VJQ280" s="445"/>
      <c r="VJR280" s="414"/>
      <c r="VJU280" s="445"/>
      <c r="VJV280" s="414"/>
      <c r="VJY280" s="445"/>
      <c r="VJZ280" s="414"/>
      <c r="VKC280" s="445"/>
      <c r="VKD280" s="414"/>
      <c r="VKG280" s="445"/>
      <c r="VKH280" s="414"/>
      <c r="VKK280" s="445"/>
      <c r="VKL280" s="414"/>
      <c r="VKO280" s="445"/>
      <c r="VKP280" s="414"/>
      <c r="VKS280" s="445"/>
      <c r="VKT280" s="414"/>
      <c r="VKW280" s="445"/>
      <c r="VKX280" s="414"/>
      <c r="VLA280" s="445"/>
      <c r="VLB280" s="414"/>
      <c r="VLE280" s="445"/>
      <c r="VLF280" s="414"/>
      <c r="VLI280" s="445"/>
      <c r="VLJ280" s="414"/>
      <c r="VLM280" s="445"/>
      <c r="VLN280" s="414"/>
      <c r="VLQ280" s="445"/>
      <c r="VLR280" s="414"/>
      <c r="VLU280" s="445"/>
      <c r="VLV280" s="414"/>
      <c r="VLY280" s="445"/>
      <c r="VLZ280" s="414"/>
      <c r="VMC280" s="445"/>
      <c r="VMD280" s="414"/>
      <c r="VMG280" s="445"/>
      <c r="VMH280" s="414"/>
      <c r="VMK280" s="445"/>
      <c r="VML280" s="414"/>
      <c r="VMO280" s="445"/>
      <c r="VMP280" s="414"/>
      <c r="VMS280" s="445"/>
      <c r="VMT280" s="414"/>
      <c r="VMW280" s="445"/>
      <c r="VMX280" s="414"/>
      <c r="VNA280" s="445"/>
      <c r="VNB280" s="414"/>
      <c r="VNE280" s="445"/>
      <c r="VNF280" s="414"/>
      <c r="VNI280" s="445"/>
      <c r="VNJ280" s="414"/>
      <c r="VNM280" s="445"/>
      <c r="VNN280" s="414"/>
      <c r="VNQ280" s="445"/>
      <c r="VNR280" s="414"/>
      <c r="VNU280" s="445"/>
      <c r="VNV280" s="414"/>
      <c r="VNY280" s="445"/>
      <c r="VNZ280" s="414"/>
      <c r="VOC280" s="445"/>
      <c r="VOD280" s="414"/>
      <c r="VOG280" s="445"/>
      <c r="VOH280" s="414"/>
      <c r="VOK280" s="445"/>
      <c r="VOL280" s="414"/>
      <c r="VOO280" s="445"/>
      <c r="VOP280" s="414"/>
      <c r="VOS280" s="445"/>
      <c r="VOT280" s="414"/>
      <c r="VOW280" s="445"/>
      <c r="VOX280" s="414"/>
      <c r="VPA280" s="445"/>
      <c r="VPB280" s="414"/>
      <c r="VPE280" s="445"/>
      <c r="VPF280" s="414"/>
      <c r="VPI280" s="445"/>
      <c r="VPJ280" s="414"/>
      <c r="VPM280" s="445"/>
      <c r="VPN280" s="414"/>
      <c r="VPQ280" s="445"/>
      <c r="VPR280" s="414"/>
      <c r="VPU280" s="445"/>
      <c r="VPV280" s="414"/>
      <c r="VPY280" s="445"/>
      <c r="VPZ280" s="414"/>
      <c r="VQC280" s="445"/>
      <c r="VQD280" s="414"/>
      <c r="VQG280" s="445"/>
      <c r="VQH280" s="414"/>
      <c r="VQK280" s="445"/>
      <c r="VQL280" s="414"/>
      <c r="VQO280" s="445"/>
      <c r="VQP280" s="414"/>
      <c r="VQS280" s="445"/>
      <c r="VQT280" s="414"/>
      <c r="VQW280" s="445"/>
      <c r="VQX280" s="414"/>
      <c r="VRA280" s="445"/>
      <c r="VRB280" s="414"/>
      <c r="VRE280" s="445"/>
      <c r="VRF280" s="414"/>
      <c r="VRI280" s="445"/>
      <c r="VRJ280" s="414"/>
      <c r="VRM280" s="445"/>
      <c r="VRN280" s="414"/>
      <c r="VRQ280" s="445"/>
      <c r="VRR280" s="414"/>
      <c r="VRU280" s="445"/>
      <c r="VRV280" s="414"/>
      <c r="VRY280" s="445"/>
      <c r="VRZ280" s="414"/>
      <c r="VSC280" s="445"/>
      <c r="VSD280" s="414"/>
      <c r="VSG280" s="445"/>
      <c r="VSH280" s="414"/>
      <c r="VSK280" s="445"/>
      <c r="VSL280" s="414"/>
      <c r="VSO280" s="445"/>
      <c r="VSP280" s="414"/>
      <c r="VSS280" s="445"/>
      <c r="VST280" s="414"/>
      <c r="VSW280" s="445"/>
      <c r="VSX280" s="414"/>
      <c r="VTA280" s="445"/>
      <c r="VTB280" s="414"/>
      <c r="VTE280" s="445"/>
      <c r="VTF280" s="414"/>
      <c r="VTI280" s="445"/>
      <c r="VTJ280" s="414"/>
      <c r="VTM280" s="445"/>
      <c r="VTN280" s="414"/>
      <c r="VTQ280" s="445"/>
      <c r="VTR280" s="414"/>
      <c r="VTU280" s="445"/>
      <c r="VTV280" s="414"/>
      <c r="VTY280" s="445"/>
      <c r="VTZ280" s="414"/>
      <c r="VUC280" s="445"/>
      <c r="VUD280" s="414"/>
      <c r="VUG280" s="445"/>
      <c r="VUH280" s="414"/>
      <c r="VUK280" s="445"/>
      <c r="VUL280" s="414"/>
      <c r="VUO280" s="445"/>
      <c r="VUP280" s="414"/>
      <c r="VUS280" s="445"/>
      <c r="VUT280" s="414"/>
      <c r="VUW280" s="445"/>
      <c r="VUX280" s="414"/>
      <c r="VVA280" s="445"/>
      <c r="VVB280" s="414"/>
      <c r="VVE280" s="445"/>
      <c r="VVF280" s="414"/>
      <c r="VVI280" s="445"/>
      <c r="VVJ280" s="414"/>
      <c r="VVM280" s="445"/>
      <c r="VVN280" s="414"/>
      <c r="VVQ280" s="445"/>
      <c r="VVR280" s="414"/>
      <c r="VVU280" s="445"/>
      <c r="VVV280" s="414"/>
      <c r="VVY280" s="445"/>
      <c r="VVZ280" s="414"/>
      <c r="VWC280" s="445"/>
      <c r="VWD280" s="414"/>
      <c r="VWG280" s="445"/>
      <c r="VWH280" s="414"/>
      <c r="VWK280" s="445"/>
      <c r="VWL280" s="414"/>
      <c r="VWO280" s="445"/>
      <c r="VWP280" s="414"/>
      <c r="VWS280" s="445"/>
      <c r="VWT280" s="414"/>
      <c r="VWW280" s="445"/>
      <c r="VWX280" s="414"/>
      <c r="VXA280" s="445"/>
      <c r="VXB280" s="414"/>
      <c r="VXE280" s="445"/>
      <c r="VXF280" s="414"/>
      <c r="VXI280" s="445"/>
      <c r="VXJ280" s="414"/>
      <c r="VXM280" s="445"/>
      <c r="VXN280" s="414"/>
      <c r="VXQ280" s="445"/>
      <c r="VXR280" s="414"/>
      <c r="VXU280" s="445"/>
      <c r="VXV280" s="414"/>
      <c r="VXY280" s="445"/>
      <c r="VXZ280" s="414"/>
      <c r="VYC280" s="445"/>
      <c r="VYD280" s="414"/>
      <c r="VYG280" s="445"/>
      <c r="VYH280" s="414"/>
      <c r="VYK280" s="445"/>
      <c r="VYL280" s="414"/>
      <c r="VYO280" s="445"/>
      <c r="VYP280" s="414"/>
      <c r="VYS280" s="445"/>
      <c r="VYT280" s="414"/>
      <c r="VYW280" s="445"/>
      <c r="VYX280" s="414"/>
      <c r="VZA280" s="445"/>
      <c r="VZB280" s="414"/>
      <c r="VZE280" s="445"/>
      <c r="VZF280" s="414"/>
      <c r="VZI280" s="445"/>
      <c r="VZJ280" s="414"/>
      <c r="VZM280" s="445"/>
      <c r="VZN280" s="414"/>
      <c r="VZQ280" s="445"/>
      <c r="VZR280" s="414"/>
      <c r="VZU280" s="445"/>
      <c r="VZV280" s="414"/>
      <c r="VZY280" s="445"/>
      <c r="VZZ280" s="414"/>
      <c r="WAC280" s="445"/>
      <c r="WAD280" s="414"/>
      <c r="WAG280" s="445"/>
      <c r="WAH280" s="414"/>
      <c r="WAK280" s="445"/>
      <c r="WAL280" s="414"/>
      <c r="WAO280" s="445"/>
      <c r="WAP280" s="414"/>
      <c r="WAS280" s="445"/>
      <c r="WAT280" s="414"/>
      <c r="WAW280" s="445"/>
      <c r="WAX280" s="414"/>
      <c r="WBA280" s="445"/>
      <c r="WBB280" s="414"/>
      <c r="WBE280" s="445"/>
      <c r="WBF280" s="414"/>
      <c r="WBI280" s="445"/>
      <c r="WBJ280" s="414"/>
      <c r="WBM280" s="445"/>
      <c r="WBN280" s="414"/>
      <c r="WBQ280" s="445"/>
      <c r="WBR280" s="414"/>
      <c r="WBU280" s="445"/>
      <c r="WBV280" s="414"/>
      <c r="WBY280" s="445"/>
      <c r="WBZ280" s="414"/>
      <c r="WCC280" s="445"/>
      <c r="WCD280" s="414"/>
      <c r="WCG280" s="445"/>
      <c r="WCH280" s="414"/>
      <c r="WCK280" s="445"/>
      <c r="WCL280" s="414"/>
      <c r="WCO280" s="445"/>
      <c r="WCP280" s="414"/>
      <c r="WCS280" s="445"/>
      <c r="WCT280" s="414"/>
      <c r="WCW280" s="445"/>
      <c r="WCX280" s="414"/>
      <c r="WDA280" s="445"/>
      <c r="WDB280" s="414"/>
      <c r="WDE280" s="445"/>
      <c r="WDF280" s="414"/>
      <c r="WDI280" s="445"/>
      <c r="WDJ280" s="414"/>
      <c r="WDM280" s="445"/>
      <c r="WDN280" s="414"/>
      <c r="WDQ280" s="445"/>
      <c r="WDR280" s="414"/>
      <c r="WDU280" s="445"/>
      <c r="WDV280" s="414"/>
      <c r="WDY280" s="445"/>
      <c r="WDZ280" s="414"/>
      <c r="WEC280" s="445"/>
      <c r="WED280" s="414"/>
      <c r="WEG280" s="445"/>
      <c r="WEH280" s="414"/>
      <c r="WEK280" s="445"/>
      <c r="WEL280" s="414"/>
      <c r="WEO280" s="445"/>
      <c r="WEP280" s="414"/>
      <c r="WES280" s="445"/>
      <c r="WET280" s="414"/>
      <c r="WEW280" s="445"/>
      <c r="WEX280" s="414"/>
      <c r="WFA280" s="445"/>
      <c r="WFB280" s="414"/>
      <c r="WFE280" s="445"/>
      <c r="WFF280" s="414"/>
      <c r="WFI280" s="445"/>
      <c r="WFJ280" s="414"/>
      <c r="WFM280" s="445"/>
      <c r="WFN280" s="414"/>
      <c r="WFQ280" s="445"/>
      <c r="WFR280" s="414"/>
      <c r="WFU280" s="445"/>
      <c r="WFV280" s="414"/>
      <c r="WFY280" s="445"/>
      <c r="WFZ280" s="414"/>
      <c r="WGC280" s="445"/>
      <c r="WGD280" s="414"/>
      <c r="WGG280" s="445"/>
      <c r="WGH280" s="414"/>
      <c r="WGK280" s="445"/>
      <c r="WGL280" s="414"/>
      <c r="WGO280" s="445"/>
      <c r="WGP280" s="414"/>
      <c r="WGS280" s="445"/>
      <c r="WGT280" s="414"/>
      <c r="WGW280" s="445"/>
      <c r="WGX280" s="414"/>
      <c r="WHA280" s="445"/>
      <c r="WHB280" s="414"/>
      <c r="WHE280" s="445"/>
      <c r="WHF280" s="414"/>
      <c r="WHI280" s="445"/>
      <c r="WHJ280" s="414"/>
      <c r="WHM280" s="445"/>
      <c r="WHN280" s="414"/>
      <c r="WHQ280" s="445"/>
      <c r="WHR280" s="414"/>
      <c r="WHU280" s="445"/>
      <c r="WHV280" s="414"/>
      <c r="WHY280" s="445"/>
      <c r="WHZ280" s="414"/>
      <c r="WIC280" s="445"/>
      <c r="WID280" s="414"/>
      <c r="WIG280" s="445"/>
      <c r="WIH280" s="414"/>
      <c r="WIK280" s="445"/>
      <c r="WIL280" s="414"/>
      <c r="WIO280" s="445"/>
      <c r="WIP280" s="414"/>
      <c r="WIS280" s="445"/>
      <c r="WIT280" s="414"/>
      <c r="WIW280" s="445"/>
      <c r="WIX280" s="414"/>
      <c r="WJA280" s="445"/>
      <c r="WJB280" s="414"/>
      <c r="WJE280" s="445"/>
      <c r="WJF280" s="414"/>
      <c r="WJI280" s="445"/>
      <c r="WJJ280" s="414"/>
      <c r="WJM280" s="445"/>
      <c r="WJN280" s="414"/>
      <c r="WJQ280" s="445"/>
      <c r="WJR280" s="414"/>
      <c r="WJU280" s="445"/>
      <c r="WJV280" s="414"/>
      <c r="WJY280" s="445"/>
      <c r="WJZ280" s="414"/>
      <c r="WKC280" s="445"/>
      <c r="WKD280" s="414"/>
      <c r="WKG280" s="445"/>
      <c r="WKH280" s="414"/>
      <c r="WKK280" s="445"/>
      <c r="WKL280" s="414"/>
      <c r="WKO280" s="445"/>
      <c r="WKP280" s="414"/>
      <c r="WKS280" s="445"/>
      <c r="WKT280" s="414"/>
      <c r="WKW280" s="445"/>
      <c r="WKX280" s="414"/>
      <c r="WLA280" s="445"/>
      <c r="WLB280" s="414"/>
      <c r="WLE280" s="445"/>
      <c r="WLF280" s="414"/>
      <c r="WLI280" s="445"/>
      <c r="WLJ280" s="414"/>
      <c r="WLM280" s="445"/>
      <c r="WLN280" s="414"/>
      <c r="WLQ280" s="445"/>
      <c r="WLR280" s="414"/>
      <c r="WLU280" s="445"/>
      <c r="WLV280" s="414"/>
      <c r="WLY280" s="445"/>
      <c r="WLZ280" s="414"/>
      <c r="WMC280" s="445"/>
      <c r="WMD280" s="414"/>
      <c r="WMG280" s="445"/>
      <c r="WMH280" s="414"/>
      <c r="WMK280" s="445"/>
      <c r="WML280" s="414"/>
      <c r="WMO280" s="445"/>
      <c r="WMP280" s="414"/>
      <c r="WMS280" s="445"/>
      <c r="WMT280" s="414"/>
      <c r="WMW280" s="445"/>
      <c r="WMX280" s="414"/>
      <c r="WNA280" s="445"/>
      <c r="WNB280" s="414"/>
      <c r="WNE280" s="445"/>
      <c r="WNF280" s="414"/>
      <c r="WNI280" s="445"/>
      <c r="WNJ280" s="414"/>
      <c r="WNM280" s="445"/>
      <c r="WNN280" s="414"/>
      <c r="WNQ280" s="445"/>
      <c r="WNR280" s="414"/>
      <c r="WNU280" s="445"/>
      <c r="WNV280" s="414"/>
      <c r="WNY280" s="445"/>
      <c r="WNZ280" s="414"/>
      <c r="WOC280" s="445"/>
      <c r="WOD280" s="414"/>
      <c r="WOG280" s="445"/>
      <c r="WOH280" s="414"/>
      <c r="WOK280" s="445"/>
      <c r="WOL280" s="414"/>
      <c r="WOO280" s="445"/>
      <c r="WOP280" s="414"/>
      <c r="WOS280" s="445"/>
      <c r="WOT280" s="414"/>
      <c r="WOW280" s="445"/>
      <c r="WOX280" s="414"/>
      <c r="WPA280" s="445"/>
      <c r="WPB280" s="414"/>
      <c r="WPE280" s="445"/>
      <c r="WPF280" s="414"/>
      <c r="WPI280" s="445"/>
      <c r="WPJ280" s="414"/>
      <c r="WPM280" s="445"/>
      <c r="WPN280" s="414"/>
      <c r="WPQ280" s="445"/>
      <c r="WPR280" s="414"/>
      <c r="WPU280" s="445"/>
      <c r="WPV280" s="414"/>
      <c r="WPY280" s="445"/>
      <c r="WPZ280" s="414"/>
      <c r="WQC280" s="445"/>
      <c r="WQD280" s="414"/>
      <c r="WQG280" s="445"/>
      <c r="WQH280" s="414"/>
      <c r="WQK280" s="445"/>
      <c r="WQL280" s="414"/>
      <c r="WQO280" s="445"/>
      <c r="WQP280" s="414"/>
      <c r="WQS280" s="445"/>
      <c r="WQT280" s="414"/>
      <c r="WQW280" s="445"/>
      <c r="WQX280" s="414"/>
      <c r="WRA280" s="445"/>
      <c r="WRB280" s="414"/>
      <c r="WRE280" s="445"/>
      <c r="WRF280" s="414"/>
      <c r="WRI280" s="445"/>
      <c r="WRJ280" s="414"/>
      <c r="WRM280" s="445"/>
      <c r="WRN280" s="414"/>
      <c r="WRQ280" s="445"/>
      <c r="WRR280" s="414"/>
      <c r="WRU280" s="445"/>
      <c r="WRV280" s="414"/>
      <c r="WRY280" s="445"/>
      <c r="WRZ280" s="414"/>
      <c r="WSC280" s="445"/>
      <c r="WSD280" s="414"/>
      <c r="WSG280" s="445"/>
      <c r="WSH280" s="414"/>
      <c r="WSK280" s="445"/>
      <c r="WSL280" s="414"/>
      <c r="WSO280" s="445"/>
      <c r="WSP280" s="414"/>
      <c r="WSS280" s="445"/>
      <c r="WST280" s="414"/>
      <c r="WSW280" s="445"/>
      <c r="WSX280" s="414"/>
      <c r="WTA280" s="445"/>
      <c r="WTB280" s="414"/>
      <c r="WTE280" s="445"/>
      <c r="WTF280" s="414"/>
      <c r="WTI280" s="445"/>
      <c r="WTJ280" s="414"/>
      <c r="WTM280" s="445"/>
      <c r="WTN280" s="414"/>
      <c r="WTQ280" s="445"/>
      <c r="WTR280" s="414"/>
      <c r="WTU280" s="445"/>
      <c r="WTV280" s="414"/>
      <c r="WTY280" s="445"/>
      <c r="WTZ280" s="414"/>
      <c r="WUC280" s="445"/>
      <c r="WUD280" s="414"/>
      <c r="WUG280" s="445"/>
      <c r="WUH280" s="414"/>
      <c r="WUK280" s="445"/>
      <c r="WUL280" s="414"/>
      <c r="WUO280" s="445"/>
      <c r="WUP280" s="414"/>
      <c r="WUS280" s="445"/>
      <c r="WUT280" s="414"/>
      <c r="WUW280" s="445"/>
      <c r="WUX280" s="414"/>
      <c r="WVA280" s="445"/>
      <c r="WVB280" s="414"/>
      <c r="WVE280" s="445"/>
      <c r="WVF280" s="414"/>
      <c r="WVI280" s="445"/>
      <c r="WVJ280" s="414"/>
      <c r="WVM280" s="445"/>
      <c r="WVN280" s="414"/>
      <c r="WVQ280" s="445"/>
      <c r="WVR280" s="414"/>
      <c r="WVU280" s="445"/>
      <c r="WVV280" s="414"/>
      <c r="WVY280" s="445"/>
      <c r="WVZ280" s="414"/>
      <c r="WWC280" s="445"/>
      <c r="WWD280" s="414"/>
      <c r="WWG280" s="445"/>
      <c r="WWH280" s="414"/>
      <c r="WWK280" s="445"/>
      <c r="WWL280" s="414"/>
      <c r="WWO280" s="445"/>
      <c r="WWP280" s="414"/>
      <c r="WWS280" s="445"/>
      <c r="WWT280" s="414"/>
      <c r="WWW280" s="445"/>
      <c r="WWX280" s="414"/>
      <c r="WXA280" s="445"/>
      <c r="WXB280" s="414"/>
      <c r="WXE280" s="445"/>
      <c r="WXF280" s="414"/>
      <c r="WXI280" s="445"/>
      <c r="WXJ280" s="414"/>
      <c r="WXM280" s="445"/>
      <c r="WXN280" s="414"/>
      <c r="WXQ280" s="445"/>
      <c r="WXR280" s="414"/>
      <c r="WXU280" s="445"/>
      <c r="WXV280" s="414"/>
      <c r="WXY280" s="445"/>
      <c r="WXZ280" s="414"/>
      <c r="WYC280" s="445"/>
      <c r="WYD280" s="414"/>
      <c r="WYG280" s="445"/>
      <c r="WYH280" s="414"/>
      <c r="WYK280" s="445"/>
      <c r="WYL280" s="414"/>
      <c r="WYO280" s="445"/>
      <c r="WYP280" s="414"/>
      <c r="WYS280" s="445"/>
      <c r="WYT280" s="414"/>
      <c r="WYW280" s="445"/>
      <c r="WYX280" s="414"/>
      <c r="WZA280" s="445"/>
      <c r="WZB280" s="414"/>
      <c r="WZE280" s="445"/>
      <c r="WZF280" s="414"/>
      <c r="WZI280" s="445"/>
      <c r="WZJ280" s="414"/>
      <c r="WZM280" s="445"/>
      <c r="WZN280" s="414"/>
      <c r="WZQ280" s="445"/>
      <c r="WZR280" s="414"/>
      <c r="WZU280" s="445"/>
      <c r="WZV280" s="414"/>
      <c r="WZY280" s="445"/>
      <c r="WZZ280" s="414"/>
      <c r="XAC280" s="445"/>
      <c r="XAD280" s="414"/>
      <c r="XAG280" s="445"/>
      <c r="XAH280" s="414"/>
      <c r="XAK280" s="445"/>
      <c r="XAL280" s="414"/>
      <c r="XAO280" s="445"/>
      <c r="XAP280" s="414"/>
      <c r="XAS280" s="445"/>
      <c r="XAT280" s="414"/>
      <c r="XAW280" s="445"/>
      <c r="XAX280" s="414"/>
      <c r="XBA280" s="445"/>
      <c r="XBB280" s="414"/>
      <c r="XBE280" s="445"/>
      <c r="XBF280" s="414"/>
      <c r="XBI280" s="445"/>
      <c r="XBJ280" s="414"/>
      <c r="XBM280" s="445"/>
      <c r="XBN280" s="414"/>
      <c r="XBQ280" s="445"/>
      <c r="XBR280" s="414"/>
      <c r="XBU280" s="445"/>
      <c r="XBV280" s="414"/>
      <c r="XBY280" s="445"/>
      <c r="XBZ280" s="414"/>
      <c r="XCC280" s="445"/>
      <c r="XCD280" s="414"/>
      <c r="XCG280" s="445"/>
      <c r="XCH280" s="414"/>
      <c r="XCK280" s="445"/>
      <c r="XCL280" s="414"/>
      <c r="XCO280" s="445"/>
      <c r="XCP280" s="414"/>
      <c r="XCS280" s="445"/>
      <c r="XCT280" s="414"/>
      <c r="XCW280" s="445"/>
      <c r="XCX280" s="414"/>
      <c r="XDA280" s="445"/>
      <c r="XDB280" s="414"/>
      <c r="XDE280" s="445"/>
      <c r="XDF280" s="414"/>
      <c r="XDI280" s="445"/>
      <c r="XDJ280" s="414"/>
      <c r="XDM280" s="445"/>
      <c r="XDN280" s="414"/>
      <c r="XDQ280" s="445"/>
      <c r="XDR280" s="414"/>
      <c r="XDU280" s="445"/>
      <c r="XDV280" s="414"/>
      <c r="XDY280" s="445"/>
      <c r="XDZ280" s="414"/>
      <c r="XEC280" s="445"/>
      <c r="XED280" s="414"/>
      <c r="XEG280" s="445"/>
      <c r="XEH280" s="414"/>
      <c r="XEK280" s="445"/>
      <c r="XEL280" s="414"/>
      <c r="XEO280" s="445"/>
      <c r="XEP280" s="414"/>
      <c r="XES280" s="445"/>
      <c r="XET280" s="414"/>
      <c r="XEW280" s="445"/>
      <c r="XEX280" s="414"/>
      <c r="XFA280" s="445"/>
    </row>
    <row r="281" spans="1:1022 1025:2046 2049:3070 3073:4094 4097:5118 5121:6142 6145:7166 7169:8190 8193:9214 9217:10238 10241:11262 11265:12286 12289:13310 13313:14334 14337:15358 15361:16381">
      <c r="B281" s="443">
        <v>91</v>
      </c>
      <c r="C281" s="447"/>
      <c r="D281" s="614" t="s">
        <v>2113</v>
      </c>
      <c r="E281" s="447" t="s">
        <v>1997</v>
      </c>
      <c r="F281" s="444" t="s">
        <v>133</v>
      </c>
      <c r="G281" s="416"/>
      <c r="H281" s="687"/>
      <c r="I281" s="444"/>
      <c r="AW281" s="445"/>
      <c r="AX281" s="414"/>
      <c r="BA281" s="445"/>
      <c r="BB281" s="414"/>
      <c r="BE281" s="445"/>
      <c r="BF281" s="414"/>
      <c r="BI281" s="445"/>
      <c r="BJ281" s="414"/>
      <c r="BM281" s="445"/>
      <c r="BN281" s="414"/>
      <c r="BQ281" s="445"/>
      <c r="BR281" s="414"/>
      <c r="BU281" s="445"/>
      <c r="BV281" s="414"/>
      <c r="BY281" s="445"/>
      <c r="BZ281" s="414"/>
      <c r="CC281" s="445"/>
      <c r="CD281" s="414"/>
      <c r="CG281" s="445"/>
      <c r="CH281" s="414"/>
      <c r="CK281" s="445"/>
      <c r="CL281" s="414"/>
      <c r="CO281" s="445"/>
      <c r="CP281" s="414"/>
      <c r="CS281" s="445"/>
      <c r="CT281" s="414"/>
      <c r="CW281" s="445"/>
      <c r="CX281" s="414"/>
      <c r="DA281" s="445"/>
      <c r="DB281" s="414"/>
      <c r="DE281" s="445"/>
      <c r="DF281" s="414"/>
      <c r="DI281" s="445"/>
      <c r="DJ281" s="414"/>
      <c r="DM281" s="445"/>
      <c r="DN281" s="414"/>
      <c r="DQ281" s="445"/>
      <c r="DR281" s="414"/>
      <c r="DU281" s="445"/>
      <c r="DV281" s="414"/>
      <c r="DY281" s="445"/>
      <c r="DZ281" s="414"/>
      <c r="EC281" s="445"/>
      <c r="ED281" s="414"/>
      <c r="EG281" s="445"/>
      <c r="EH281" s="414"/>
      <c r="EK281" s="445"/>
      <c r="EL281" s="414"/>
      <c r="EO281" s="445"/>
      <c r="EP281" s="414"/>
      <c r="ES281" s="445"/>
      <c r="ET281" s="414"/>
      <c r="EW281" s="445"/>
      <c r="EX281" s="414"/>
      <c r="FA281" s="445"/>
      <c r="FB281" s="414"/>
      <c r="FE281" s="445"/>
      <c r="FF281" s="414"/>
      <c r="FI281" s="445"/>
      <c r="FJ281" s="414"/>
      <c r="FM281" s="445"/>
      <c r="FN281" s="414"/>
      <c r="FQ281" s="445"/>
      <c r="FR281" s="414"/>
      <c r="FU281" s="445"/>
      <c r="FV281" s="414"/>
      <c r="FY281" s="445"/>
      <c r="FZ281" s="414"/>
      <c r="GC281" s="445"/>
      <c r="GD281" s="414"/>
      <c r="GG281" s="445"/>
      <c r="GH281" s="414"/>
      <c r="GK281" s="445"/>
      <c r="GL281" s="414"/>
      <c r="GO281" s="445"/>
      <c r="GP281" s="414"/>
      <c r="GS281" s="445"/>
      <c r="GT281" s="414"/>
      <c r="GW281" s="445"/>
      <c r="GX281" s="414"/>
      <c r="HA281" s="445"/>
      <c r="HB281" s="414"/>
      <c r="HE281" s="445"/>
      <c r="HF281" s="414"/>
      <c r="HI281" s="445"/>
      <c r="HJ281" s="414"/>
      <c r="HM281" s="445"/>
      <c r="HN281" s="414"/>
      <c r="HQ281" s="445"/>
      <c r="HR281" s="414"/>
      <c r="HU281" s="445"/>
      <c r="HV281" s="414"/>
      <c r="HY281" s="445"/>
      <c r="HZ281" s="414"/>
      <c r="IC281" s="445"/>
      <c r="ID281" s="414"/>
      <c r="IG281" s="445"/>
      <c r="IH281" s="414"/>
      <c r="IK281" s="445"/>
      <c r="IL281" s="414"/>
      <c r="IO281" s="445"/>
      <c r="IP281" s="414"/>
      <c r="IS281" s="445"/>
      <c r="IT281" s="414"/>
      <c r="IW281" s="445"/>
      <c r="IX281" s="414"/>
      <c r="JA281" s="445"/>
      <c r="JB281" s="414"/>
      <c r="JE281" s="445"/>
      <c r="JF281" s="414"/>
      <c r="JI281" s="445"/>
      <c r="JJ281" s="414"/>
      <c r="JM281" s="445"/>
      <c r="JN281" s="414"/>
      <c r="JQ281" s="445"/>
      <c r="JR281" s="414"/>
      <c r="JU281" s="445"/>
      <c r="JV281" s="414"/>
      <c r="JY281" s="445"/>
      <c r="JZ281" s="414"/>
      <c r="KC281" s="445"/>
      <c r="KD281" s="414"/>
      <c r="KG281" s="445"/>
      <c r="KH281" s="414"/>
      <c r="KK281" s="445"/>
      <c r="KL281" s="414"/>
      <c r="KO281" s="445"/>
      <c r="KP281" s="414"/>
      <c r="KS281" s="445"/>
      <c r="KT281" s="414"/>
      <c r="KW281" s="445"/>
      <c r="KX281" s="414"/>
      <c r="LA281" s="445"/>
      <c r="LB281" s="414"/>
      <c r="LE281" s="445"/>
      <c r="LF281" s="414"/>
      <c r="LI281" s="445"/>
      <c r="LJ281" s="414"/>
      <c r="LM281" s="445"/>
      <c r="LN281" s="414"/>
      <c r="LQ281" s="445"/>
      <c r="LR281" s="414"/>
      <c r="LU281" s="445"/>
      <c r="LV281" s="414"/>
      <c r="LY281" s="445"/>
      <c r="LZ281" s="414"/>
      <c r="MC281" s="445"/>
      <c r="MD281" s="414"/>
      <c r="MG281" s="445"/>
      <c r="MH281" s="414"/>
      <c r="MK281" s="445"/>
      <c r="ML281" s="414"/>
      <c r="MO281" s="445"/>
      <c r="MP281" s="414"/>
      <c r="MS281" s="445"/>
      <c r="MT281" s="414"/>
      <c r="MW281" s="445"/>
      <c r="MX281" s="414"/>
      <c r="NA281" s="445"/>
      <c r="NB281" s="414"/>
      <c r="NE281" s="445"/>
      <c r="NF281" s="414"/>
      <c r="NI281" s="445"/>
      <c r="NJ281" s="414"/>
      <c r="NM281" s="445"/>
      <c r="NN281" s="414"/>
      <c r="NQ281" s="445"/>
      <c r="NR281" s="414"/>
      <c r="NU281" s="445"/>
      <c r="NV281" s="414"/>
      <c r="NY281" s="445"/>
      <c r="NZ281" s="414"/>
      <c r="OC281" s="445"/>
      <c r="OD281" s="414"/>
      <c r="OG281" s="445"/>
      <c r="OH281" s="414"/>
      <c r="OK281" s="445"/>
      <c r="OL281" s="414"/>
      <c r="OO281" s="445"/>
      <c r="OP281" s="414"/>
      <c r="OS281" s="445"/>
      <c r="OT281" s="414"/>
      <c r="OW281" s="445"/>
      <c r="OX281" s="414"/>
      <c r="PA281" s="445"/>
      <c r="PB281" s="414"/>
      <c r="PE281" s="445"/>
      <c r="PF281" s="414"/>
      <c r="PI281" s="445"/>
      <c r="PJ281" s="414"/>
      <c r="PM281" s="445"/>
      <c r="PN281" s="414"/>
      <c r="PQ281" s="445"/>
      <c r="PR281" s="414"/>
      <c r="PU281" s="445"/>
      <c r="PV281" s="414"/>
      <c r="PY281" s="445"/>
      <c r="PZ281" s="414"/>
      <c r="QC281" s="445"/>
      <c r="QD281" s="414"/>
      <c r="QG281" s="445"/>
      <c r="QH281" s="414"/>
      <c r="QK281" s="445"/>
      <c r="QL281" s="414"/>
      <c r="QO281" s="445"/>
      <c r="QP281" s="414"/>
      <c r="QS281" s="445"/>
      <c r="QT281" s="414"/>
      <c r="QW281" s="445"/>
      <c r="QX281" s="414"/>
      <c r="RA281" s="445"/>
      <c r="RB281" s="414"/>
      <c r="RE281" s="445"/>
      <c r="RF281" s="414"/>
      <c r="RI281" s="445"/>
      <c r="RJ281" s="414"/>
      <c r="RM281" s="445"/>
      <c r="RN281" s="414"/>
      <c r="RQ281" s="445"/>
      <c r="RR281" s="414"/>
      <c r="RU281" s="445"/>
      <c r="RV281" s="414"/>
      <c r="RY281" s="445"/>
      <c r="RZ281" s="414"/>
      <c r="SC281" s="445"/>
      <c r="SD281" s="414"/>
      <c r="SG281" s="445"/>
      <c r="SH281" s="414"/>
      <c r="SK281" s="445"/>
      <c r="SL281" s="414"/>
      <c r="SO281" s="445"/>
      <c r="SP281" s="414"/>
      <c r="SS281" s="445"/>
      <c r="ST281" s="414"/>
      <c r="SW281" s="445"/>
      <c r="SX281" s="414"/>
      <c r="TA281" s="445"/>
      <c r="TB281" s="414"/>
      <c r="TE281" s="445"/>
      <c r="TF281" s="414"/>
      <c r="TI281" s="445"/>
      <c r="TJ281" s="414"/>
      <c r="TM281" s="445"/>
      <c r="TN281" s="414"/>
      <c r="TQ281" s="445"/>
      <c r="TR281" s="414"/>
      <c r="TU281" s="445"/>
      <c r="TV281" s="414"/>
      <c r="TY281" s="445"/>
      <c r="TZ281" s="414"/>
      <c r="UC281" s="445"/>
      <c r="UD281" s="414"/>
      <c r="UG281" s="445"/>
      <c r="UH281" s="414"/>
      <c r="UK281" s="445"/>
      <c r="UL281" s="414"/>
      <c r="UO281" s="445"/>
      <c r="UP281" s="414"/>
      <c r="US281" s="445"/>
      <c r="UT281" s="414"/>
      <c r="UW281" s="445"/>
      <c r="UX281" s="414"/>
      <c r="VA281" s="445"/>
      <c r="VB281" s="414"/>
      <c r="VE281" s="445"/>
      <c r="VF281" s="414"/>
      <c r="VI281" s="445"/>
      <c r="VJ281" s="414"/>
      <c r="VM281" s="445"/>
      <c r="VN281" s="414"/>
      <c r="VQ281" s="445"/>
      <c r="VR281" s="414"/>
      <c r="VU281" s="445"/>
      <c r="VV281" s="414"/>
      <c r="VY281" s="445"/>
      <c r="VZ281" s="414"/>
      <c r="WC281" s="445"/>
      <c r="WD281" s="414"/>
      <c r="WG281" s="445"/>
      <c r="WH281" s="414"/>
      <c r="WK281" s="445"/>
      <c r="WL281" s="414"/>
      <c r="WO281" s="445"/>
      <c r="WP281" s="414"/>
      <c r="WS281" s="445"/>
      <c r="WT281" s="414"/>
      <c r="WW281" s="445"/>
      <c r="WX281" s="414"/>
      <c r="XA281" s="445"/>
      <c r="XB281" s="414"/>
      <c r="XE281" s="445"/>
      <c r="XF281" s="414"/>
      <c r="XI281" s="445"/>
      <c r="XJ281" s="414"/>
      <c r="XM281" s="445"/>
      <c r="XN281" s="414"/>
      <c r="XQ281" s="445"/>
      <c r="XR281" s="414"/>
      <c r="XU281" s="445"/>
      <c r="XV281" s="414"/>
      <c r="XY281" s="445"/>
      <c r="XZ281" s="414"/>
      <c r="YC281" s="445"/>
      <c r="YD281" s="414"/>
      <c r="YG281" s="445"/>
      <c r="YH281" s="414"/>
      <c r="YK281" s="445"/>
      <c r="YL281" s="414"/>
      <c r="YO281" s="445"/>
      <c r="YP281" s="414"/>
      <c r="YS281" s="445"/>
      <c r="YT281" s="414"/>
      <c r="YW281" s="445"/>
      <c r="YX281" s="414"/>
      <c r="ZA281" s="445"/>
      <c r="ZB281" s="414"/>
      <c r="ZE281" s="445"/>
      <c r="ZF281" s="414"/>
      <c r="ZI281" s="445"/>
      <c r="ZJ281" s="414"/>
      <c r="ZM281" s="445"/>
      <c r="ZN281" s="414"/>
      <c r="ZQ281" s="445"/>
      <c r="ZR281" s="414"/>
      <c r="ZU281" s="445"/>
      <c r="ZV281" s="414"/>
      <c r="ZY281" s="445"/>
      <c r="ZZ281" s="414"/>
      <c r="AAC281" s="445"/>
      <c r="AAD281" s="414"/>
      <c r="AAG281" s="445"/>
      <c r="AAH281" s="414"/>
      <c r="AAK281" s="445"/>
      <c r="AAL281" s="414"/>
      <c r="AAO281" s="445"/>
      <c r="AAP281" s="414"/>
      <c r="AAS281" s="445"/>
      <c r="AAT281" s="414"/>
      <c r="AAW281" s="445"/>
      <c r="AAX281" s="414"/>
      <c r="ABA281" s="445"/>
      <c r="ABB281" s="414"/>
      <c r="ABE281" s="445"/>
      <c r="ABF281" s="414"/>
      <c r="ABI281" s="445"/>
      <c r="ABJ281" s="414"/>
      <c r="ABM281" s="445"/>
      <c r="ABN281" s="414"/>
      <c r="ABQ281" s="445"/>
      <c r="ABR281" s="414"/>
      <c r="ABU281" s="445"/>
      <c r="ABV281" s="414"/>
      <c r="ABY281" s="445"/>
      <c r="ABZ281" s="414"/>
      <c r="ACC281" s="445"/>
      <c r="ACD281" s="414"/>
      <c r="ACG281" s="445"/>
      <c r="ACH281" s="414"/>
      <c r="ACK281" s="445"/>
      <c r="ACL281" s="414"/>
      <c r="ACO281" s="445"/>
      <c r="ACP281" s="414"/>
      <c r="ACS281" s="445"/>
      <c r="ACT281" s="414"/>
      <c r="ACW281" s="445"/>
      <c r="ACX281" s="414"/>
      <c r="ADA281" s="445"/>
      <c r="ADB281" s="414"/>
      <c r="ADE281" s="445"/>
      <c r="ADF281" s="414"/>
      <c r="ADI281" s="445"/>
      <c r="ADJ281" s="414"/>
      <c r="ADM281" s="445"/>
      <c r="ADN281" s="414"/>
      <c r="ADQ281" s="445"/>
      <c r="ADR281" s="414"/>
      <c r="ADU281" s="445"/>
      <c r="ADV281" s="414"/>
      <c r="ADY281" s="445"/>
      <c r="ADZ281" s="414"/>
      <c r="AEC281" s="445"/>
      <c r="AED281" s="414"/>
      <c r="AEG281" s="445"/>
      <c r="AEH281" s="414"/>
      <c r="AEK281" s="445"/>
      <c r="AEL281" s="414"/>
      <c r="AEO281" s="445"/>
      <c r="AEP281" s="414"/>
      <c r="AES281" s="445"/>
      <c r="AET281" s="414"/>
      <c r="AEW281" s="445"/>
      <c r="AEX281" s="414"/>
      <c r="AFA281" s="445"/>
      <c r="AFB281" s="414"/>
      <c r="AFE281" s="445"/>
      <c r="AFF281" s="414"/>
      <c r="AFI281" s="445"/>
      <c r="AFJ281" s="414"/>
      <c r="AFM281" s="445"/>
      <c r="AFN281" s="414"/>
      <c r="AFQ281" s="445"/>
      <c r="AFR281" s="414"/>
      <c r="AFU281" s="445"/>
      <c r="AFV281" s="414"/>
      <c r="AFY281" s="445"/>
      <c r="AFZ281" s="414"/>
      <c r="AGC281" s="445"/>
      <c r="AGD281" s="414"/>
      <c r="AGG281" s="445"/>
      <c r="AGH281" s="414"/>
      <c r="AGK281" s="445"/>
      <c r="AGL281" s="414"/>
      <c r="AGO281" s="445"/>
      <c r="AGP281" s="414"/>
      <c r="AGS281" s="445"/>
      <c r="AGT281" s="414"/>
      <c r="AGW281" s="445"/>
      <c r="AGX281" s="414"/>
      <c r="AHA281" s="445"/>
      <c r="AHB281" s="414"/>
      <c r="AHE281" s="445"/>
      <c r="AHF281" s="414"/>
      <c r="AHI281" s="445"/>
      <c r="AHJ281" s="414"/>
      <c r="AHM281" s="445"/>
      <c r="AHN281" s="414"/>
      <c r="AHQ281" s="445"/>
      <c r="AHR281" s="414"/>
      <c r="AHU281" s="445"/>
      <c r="AHV281" s="414"/>
      <c r="AHY281" s="445"/>
      <c r="AHZ281" s="414"/>
      <c r="AIC281" s="445"/>
      <c r="AID281" s="414"/>
      <c r="AIG281" s="445"/>
      <c r="AIH281" s="414"/>
      <c r="AIK281" s="445"/>
      <c r="AIL281" s="414"/>
      <c r="AIO281" s="445"/>
      <c r="AIP281" s="414"/>
      <c r="AIS281" s="445"/>
      <c r="AIT281" s="414"/>
      <c r="AIW281" s="445"/>
      <c r="AIX281" s="414"/>
      <c r="AJA281" s="445"/>
      <c r="AJB281" s="414"/>
      <c r="AJE281" s="445"/>
      <c r="AJF281" s="414"/>
      <c r="AJI281" s="445"/>
      <c r="AJJ281" s="414"/>
      <c r="AJM281" s="445"/>
      <c r="AJN281" s="414"/>
      <c r="AJQ281" s="445"/>
      <c r="AJR281" s="414"/>
      <c r="AJU281" s="445"/>
      <c r="AJV281" s="414"/>
      <c r="AJY281" s="445"/>
      <c r="AJZ281" s="414"/>
      <c r="AKC281" s="445"/>
      <c r="AKD281" s="414"/>
      <c r="AKG281" s="445"/>
      <c r="AKH281" s="414"/>
      <c r="AKK281" s="445"/>
      <c r="AKL281" s="414"/>
      <c r="AKO281" s="445"/>
      <c r="AKP281" s="414"/>
      <c r="AKS281" s="445"/>
      <c r="AKT281" s="414"/>
      <c r="AKW281" s="445"/>
      <c r="AKX281" s="414"/>
      <c r="ALA281" s="445"/>
      <c r="ALB281" s="414"/>
      <c r="ALE281" s="445"/>
      <c r="ALF281" s="414"/>
      <c r="ALI281" s="445"/>
      <c r="ALJ281" s="414"/>
      <c r="ALM281" s="445"/>
      <c r="ALN281" s="414"/>
      <c r="ALQ281" s="445"/>
      <c r="ALR281" s="414"/>
      <c r="ALU281" s="445"/>
      <c r="ALV281" s="414"/>
      <c r="ALY281" s="445"/>
      <c r="ALZ281" s="414"/>
      <c r="AMC281" s="445"/>
      <c r="AMD281" s="414"/>
      <c r="AMG281" s="445"/>
      <c r="AMH281" s="414"/>
      <c r="AMK281" s="445"/>
      <c r="AML281" s="414"/>
      <c r="AMO281" s="445"/>
      <c r="AMP281" s="414"/>
      <c r="AMS281" s="445"/>
      <c r="AMT281" s="414"/>
      <c r="AMW281" s="445"/>
      <c r="AMX281" s="414"/>
      <c r="ANA281" s="445"/>
      <c r="ANB281" s="414"/>
      <c r="ANE281" s="445"/>
      <c r="ANF281" s="414"/>
      <c r="ANI281" s="445"/>
      <c r="ANJ281" s="414"/>
      <c r="ANM281" s="445"/>
      <c r="ANN281" s="414"/>
      <c r="ANQ281" s="445"/>
      <c r="ANR281" s="414"/>
      <c r="ANU281" s="445"/>
      <c r="ANV281" s="414"/>
      <c r="ANY281" s="445"/>
      <c r="ANZ281" s="414"/>
      <c r="AOC281" s="445"/>
      <c r="AOD281" s="414"/>
      <c r="AOG281" s="445"/>
      <c r="AOH281" s="414"/>
      <c r="AOK281" s="445"/>
      <c r="AOL281" s="414"/>
      <c r="AOO281" s="445"/>
      <c r="AOP281" s="414"/>
      <c r="AOS281" s="445"/>
      <c r="AOT281" s="414"/>
      <c r="AOW281" s="445"/>
      <c r="AOX281" s="414"/>
      <c r="APA281" s="445"/>
      <c r="APB281" s="414"/>
      <c r="APE281" s="445"/>
      <c r="APF281" s="414"/>
      <c r="API281" s="445"/>
      <c r="APJ281" s="414"/>
      <c r="APM281" s="445"/>
      <c r="APN281" s="414"/>
      <c r="APQ281" s="445"/>
      <c r="APR281" s="414"/>
      <c r="APU281" s="445"/>
      <c r="APV281" s="414"/>
      <c r="APY281" s="445"/>
      <c r="APZ281" s="414"/>
      <c r="AQC281" s="445"/>
      <c r="AQD281" s="414"/>
      <c r="AQG281" s="445"/>
      <c r="AQH281" s="414"/>
      <c r="AQK281" s="445"/>
      <c r="AQL281" s="414"/>
      <c r="AQO281" s="445"/>
      <c r="AQP281" s="414"/>
      <c r="AQS281" s="445"/>
      <c r="AQT281" s="414"/>
      <c r="AQW281" s="445"/>
      <c r="AQX281" s="414"/>
      <c r="ARA281" s="445"/>
      <c r="ARB281" s="414"/>
      <c r="ARE281" s="445"/>
      <c r="ARF281" s="414"/>
      <c r="ARI281" s="445"/>
      <c r="ARJ281" s="414"/>
      <c r="ARM281" s="445"/>
      <c r="ARN281" s="414"/>
      <c r="ARQ281" s="445"/>
      <c r="ARR281" s="414"/>
      <c r="ARU281" s="445"/>
      <c r="ARV281" s="414"/>
      <c r="ARY281" s="445"/>
      <c r="ARZ281" s="414"/>
      <c r="ASC281" s="445"/>
      <c r="ASD281" s="414"/>
      <c r="ASG281" s="445"/>
      <c r="ASH281" s="414"/>
      <c r="ASK281" s="445"/>
      <c r="ASL281" s="414"/>
      <c r="ASO281" s="445"/>
      <c r="ASP281" s="414"/>
      <c r="ASS281" s="445"/>
      <c r="AST281" s="414"/>
      <c r="ASW281" s="445"/>
      <c r="ASX281" s="414"/>
      <c r="ATA281" s="445"/>
      <c r="ATB281" s="414"/>
      <c r="ATE281" s="445"/>
      <c r="ATF281" s="414"/>
      <c r="ATI281" s="445"/>
      <c r="ATJ281" s="414"/>
      <c r="ATM281" s="445"/>
      <c r="ATN281" s="414"/>
      <c r="ATQ281" s="445"/>
      <c r="ATR281" s="414"/>
      <c r="ATU281" s="445"/>
      <c r="ATV281" s="414"/>
      <c r="ATY281" s="445"/>
      <c r="ATZ281" s="414"/>
      <c r="AUC281" s="445"/>
      <c r="AUD281" s="414"/>
      <c r="AUG281" s="445"/>
      <c r="AUH281" s="414"/>
      <c r="AUK281" s="445"/>
      <c r="AUL281" s="414"/>
      <c r="AUO281" s="445"/>
      <c r="AUP281" s="414"/>
      <c r="AUS281" s="445"/>
      <c r="AUT281" s="414"/>
      <c r="AUW281" s="445"/>
      <c r="AUX281" s="414"/>
      <c r="AVA281" s="445"/>
      <c r="AVB281" s="414"/>
      <c r="AVE281" s="445"/>
      <c r="AVF281" s="414"/>
      <c r="AVI281" s="445"/>
      <c r="AVJ281" s="414"/>
      <c r="AVM281" s="445"/>
      <c r="AVN281" s="414"/>
      <c r="AVQ281" s="445"/>
      <c r="AVR281" s="414"/>
      <c r="AVU281" s="445"/>
      <c r="AVV281" s="414"/>
      <c r="AVY281" s="445"/>
      <c r="AVZ281" s="414"/>
      <c r="AWC281" s="445"/>
      <c r="AWD281" s="414"/>
      <c r="AWG281" s="445"/>
      <c r="AWH281" s="414"/>
      <c r="AWK281" s="445"/>
      <c r="AWL281" s="414"/>
      <c r="AWO281" s="445"/>
      <c r="AWP281" s="414"/>
      <c r="AWS281" s="445"/>
      <c r="AWT281" s="414"/>
      <c r="AWW281" s="445"/>
      <c r="AWX281" s="414"/>
      <c r="AXA281" s="445"/>
      <c r="AXB281" s="414"/>
      <c r="AXE281" s="445"/>
      <c r="AXF281" s="414"/>
      <c r="AXI281" s="445"/>
      <c r="AXJ281" s="414"/>
      <c r="AXM281" s="445"/>
      <c r="AXN281" s="414"/>
      <c r="AXQ281" s="445"/>
      <c r="AXR281" s="414"/>
      <c r="AXU281" s="445"/>
      <c r="AXV281" s="414"/>
      <c r="AXY281" s="445"/>
      <c r="AXZ281" s="414"/>
      <c r="AYC281" s="445"/>
      <c r="AYD281" s="414"/>
      <c r="AYG281" s="445"/>
      <c r="AYH281" s="414"/>
      <c r="AYK281" s="445"/>
      <c r="AYL281" s="414"/>
      <c r="AYO281" s="445"/>
      <c r="AYP281" s="414"/>
      <c r="AYS281" s="445"/>
      <c r="AYT281" s="414"/>
      <c r="AYW281" s="445"/>
      <c r="AYX281" s="414"/>
      <c r="AZA281" s="445"/>
      <c r="AZB281" s="414"/>
      <c r="AZE281" s="445"/>
      <c r="AZF281" s="414"/>
      <c r="AZI281" s="445"/>
      <c r="AZJ281" s="414"/>
      <c r="AZM281" s="445"/>
      <c r="AZN281" s="414"/>
      <c r="AZQ281" s="445"/>
      <c r="AZR281" s="414"/>
      <c r="AZU281" s="445"/>
      <c r="AZV281" s="414"/>
      <c r="AZY281" s="445"/>
      <c r="AZZ281" s="414"/>
      <c r="BAC281" s="445"/>
      <c r="BAD281" s="414"/>
      <c r="BAG281" s="445"/>
      <c r="BAH281" s="414"/>
      <c r="BAK281" s="445"/>
      <c r="BAL281" s="414"/>
      <c r="BAO281" s="445"/>
      <c r="BAP281" s="414"/>
      <c r="BAS281" s="445"/>
      <c r="BAT281" s="414"/>
      <c r="BAW281" s="445"/>
      <c r="BAX281" s="414"/>
      <c r="BBA281" s="445"/>
      <c r="BBB281" s="414"/>
      <c r="BBE281" s="445"/>
      <c r="BBF281" s="414"/>
      <c r="BBI281" s="445"/>
      <c r="BBJ281" s="414"/>
      <c r="BBM281" s="445"/>
      <c r="BBN281" s="414"/>
      <c r="BBQ281" s="445"/>
      <c r="BBR281" s="414"/>
      <c r="BBU281" s="445"/>
      <c r="BBV281" s="414"/>
      <c r="BBY281" s="445"/>
      <c r="BBZ281" s="414"/>
      <c r="BCC281" s="445"/>
      <c r="BCD281" s="414"/>
      <c r="BCG281" s="445"/>
      <c r="BCH281" s="414"/>
      <c r="BCK281" s="445"/>
      <c r="BCL281" s="414"/>
      <c r="BCO281" s="445"/>
      <c r="BCP281" s="414"/>
      <c r="BCS281" s="445"/>
      <c r="BCT281" s="414"/>
      <c r="BCW281" s="445"/>
      <c r="BCX281" s="414"/>
      <c r="BDA281" s="445"/>
      <c r="BDB281" s="414"/>
      <c r="BDE281" s="445"/>
      <c r="BDF281" s="414"/>
      <c r="BDI281" s="445"/>
      <c r="BDJ281" s="414"/>
      <c r="BDM281" s="445"/>
      <c r="BDN281" s="414"/>
      <c r="BDQ281" s="445"/>
      <c r="BDR281" s="414"/>
      <c r="BDU281" s="445"/>
      <c r="BDV281" s="414"/>
      <c r="BDY281" s="445"/>
      <c r="BDZ281" s="414"/>
      <c r="BEC281" s="445"/>
      <c r="BED281" s="414"/>
      <c r="BEG281" s="445"/>
      <c r="BEH281" s="414"/>
      <c r="BEK281" s="445"/>
      <c r="BEL281" s="414"/>
      <c r="BEO281" s="445"/>
      <c r="BEP281" s="414"/>
      <c r="BES281" s="445"/>
      <c r="BET281" s="414"/>
      <c r="BEW281" s="445"/>
      <c r="BEX281" s="414"/>
      <c r="BFA281" s="445"/>
      <c r="BFB281" s="414"/>
      <c r="BFE281" s="445"/>
      <c r="BFF281" s="414"/>
      <c r="BFI281" s="445"/>
      <c r="BFJ281" s="414"/>
      <c r="BFM281" s="445"/>
      <c r="BFN281" s="414"/>
      <c r="BFQ281" s="445"/>
      <c r="BFR281" s="414"/>
      <c r="BFU281" s="445"/>
      <c r="BFV281" s="414"/>
      <c r="BFY281" s="445"/>
      <c r="BFZ281" s="414"/>
      <c r="BGC281" s="445"/>
      <c r="BGD281" s="414"/>
      <c r="BGG281" s="445"/>
      <c r="BGH281" s="414"/>
      <c r="BGK281" s="445"/>
      <c r="BGL281" s="414"/>
      <c r="BGO281" s="445"/>
      <c r="BGP281" s="414"/>
      <c r="BGS281" s="445"/>
      <c r="BGT281" s="414"/>
      <c r="BGW281" s="445"/>
      <c r="BGX281" s="414"/>
      <c r="BHA281" s="445"/>
      <c r="BHB281" s="414"/>
      <c r="BHE281" s="445"/>
      <c r="BHF281" s="414"/>
      <c r="BHI281" s="445"/>
      <c r="BHJ281" s="414"/>
      <c r="BHM281" s="445"/>
      <c r="BHN281" s="414"/>
      <c r="BHQ281" s="445"/>
      <c r="BHR281" s="414"/>
      <c r="BHU281" s="445"/>
      <c r="BHV281" s="414"/>
      <c r="BHY281" s="445"/>
      <c r="BHZ281" s="414"/>
      <c r="BIC281" s="445"/>
      <c r="BID281" s="414"/>
      <c r="BIG281" s="445"/>
      <c r="BIH281" s="414"/>
      <c r="BIK281" s="445"/>
      <c r="BIL281" s="414"/>
      <c r="BIO281" s="445"/>
      <c r="BIP281" s="414"/>
      <c r="BIS281" s="445"/>
      <c r="BIT281" s="414"/>
      <c r="BIW281" s="445"/>
      <c r="BIX281" s="414"/>
      <c r="BJA281" s="445"/>
      <c r="BJB281" s="414"/>
      <c r="BJE281" s="445"/>
      <c r="BJF281" s="414"/>
      <c r="BJI281" s="445"/>
      <c r="BJJ281" s="414"/>
      <c r="BJM281" s="445"/>
      <c r="BJN281" s="414"/>
      <c r="BJQ281" s="445"/>
      <c r="BJR281" s="414"/>
      <c r="BJU281" s="445"/>
      <c r="BJV281" s="414"/>
      <c r="BJY281" s="445"/>
      <c r="BJZ281" s="414"/>
      <c r="BKC281" s="445"/>
      <c r="BKD281" s="414"/>
      <c r="BKG281" s="445"/>
      <c r="BKH281" s="414"/>
      <c r="BKK281" s="445"/>
      <c r="BKL281" s="414"/>
      <c r="BKO281" s="445"/>
      <c r="BKP281" s="414"/>
      <c r="BKS281" s="445"/>
      <c r="BKT281" s="414"/>
      <c r="BKW281" s="445"/>
      <c r="BKX281" s="414"/>
      <c r="BLA281" s="445"/>
      <c r="BLB281" s="414"/>
      <c r="BLE281" s="445"/>
      <c r="BLF281" s="414"/>
      <c r="BLI281" s="445"/>
      <c r="BLJ281" s="414"/>
      <c r="BLM281" s="445"/>
      <c r="BLN281" s="414"/>
      <c r="BLQ281" s="445"/>
      <c r="BLR281" s="414"/>
      <c r="BLU281" s="445"/>
      <c r="BLV281" s="414"/>
      <c r="BLY281" s="445"/>
      <c r="BLZ281" s="414"/>
      <c r="BMC281" s="445"/>
      <c r="BMD281" s="414"/>
      <c r="BMG281" s="445"/>
      <c r="BMH281" s="414"/>
      <c r="BMK281" s="445"/>
      <c r="BML281" s="414"/>
      <c r="BMO281" s="445"/>
      <c r="BMP281" s="414"/>
      <c r="BMS281" s="445"/>
      <c r="BMT281" s="414"/>
      <c r="BMW281" s="445"/>
      <c r="BMX281" s="414"/>
      <c r="BNA281" s="445"/>
      <c r="BNB281" s="414"/>
      <c r="BNE281" s="445"/>
      <c r="BNF281" s="414"/>
      <c r="BNI281" s="445"/>
      <c r="BNJ281" s="414"/>
      <c r="BNM281" s="445"/>
      <c r="BNN281" s="414"/>
      <c r="BNQ281" s="445"/>
      <c r="BNR281" s="414"/>
      <c r="BNU281" s="445"/>
      <c r="BNV281" s="414"/>
      <c r="BNY281" s="445"/>
      <c r="BNZ281" s="414"/>
      <c r="BOC281" s="445"/>
      <c r="BOD281" s="414"/>
      <c r="BOG281" s="445"/>
      <c r="BOH281" s="414"/>
      <c r="BOK281" s="445"/>
      <c r="BOL281" s="414"/>
      <c r="BOO281" s="445"/>
      <c r="BOP281" s="414"/>
      <c r="BOS281" s="445"/>
      <c r="BOT281" s="414"/>
      <c r="BOW281" s="445"/>
      <c r="BOX281" s="414"/>
      <c r="BPA281" s="445"/>
      <c r="BPB281" s="414"/>
      <c r="BPE281" s="445"/>
      <c r="BPF281" s="414"/>
      <c r="BPI281" s="445"/>
      <c r="BPJ281" s="414"/>
      <c r="BPM281" s="445"/>
      <c r="BPN281" s="414"/>
      <c r="BPQ281" s="445"/>
      <c r="BPR281" s="414"/>
      <c r="BPU281" s="445"/>
      <c r="BPV281" s="414"/>
      <c r="BPY281" s="445"/>
      <c r="BPZ281" s="414"/>
      <c r="BQC281" s="445"/>
      <c r="BQD281" s="414"/>
      <c r="BQG281" s="445"/>
      <c r="BQH281" s="414"/>
      <c r="BQK281" s="445"/>
      <c r="BQL281" s="414"/>
      <c r="BQO281" s="445"/>
      <c r="BQP281" s="414"/>
      <c r="BQS281" s="445"/>
      <c r="BQT281" s="414"/>
      <c r="BQW281" s="445"/>
      <c r="BQX281" s="414"/>
      <c r="BRA281" s="445"/>
      <c r="BRB281" s="414"/>
      <c r="BRE281" s="445"/>
      <c r="BRF281" s="414"/>
      <c r="BRI281" s="445"/>
      <c r="BRJ281" s="414"/>
      <c r="BRM281" s="445"/>
      <c r="BRN281" s="414"/>
      <c r="BRQ281" s="445"/>
      <c r="BRR281" s="414"/>
      <c r="BRU281" s="445"/>
      <c r="BRV281" s="414"/>
      <c r="BRY281" s="445"/>
      <c r="BRZ281" s="414"/>
      <c r="BSC281" s="445"/>
      <c r="BSD281" s="414"/>
      <c r="BSG281" s="445"/>
      <c r="BSH281" s="414"/>
      <c r="BSK281" s="445"/>
      <c r="BSL281" s="414"/>
      <c r="BSO281" s="445"/>
      <c r="BSP281" s="414"/>
      <c r="BSS281" s="445"/>
      <c r="BST281" s="414"/>
      <c r="BSW281" s="445"/>
      <c r="BSX281" s="414"/>
      <c r="BTA281" s="445"/>
      <c r="BTB281" s="414"/>
      <c r="BTE281" s="445"/>
      <c r="BTF281" s="414"/>
      <c r="BTI281" s="445"/>
      <c r="BTJ281" s="414"/>
      <c r="BTM281" s="445"/>
      <c r="BTN281" s="414"/>
      <c r="BTQ281" s="445"/>
      <c r="BTR281" s="414"/>
      <c r="BTU281" s="445"/>
      <c r="BTV281" s="414"/>
      <c r="BTY281" s="445"/>
      <c r="BTZ281" s="414"/>
      <c r="BUC281" s="445"/>
      <c r="BUD281" s="414"/>
      <c r="BUG281" s="445"/>
      <c r="BUH281" s="414"/>
      <c r="BUK281" s="445"/>
      <c r="BUL281" s="414"/>
      <c r="BUO281" s="445"/>
      <c r="BUP281" s="414"/>
      <c r="BUS281" s="445"/>
      <c r="BUT281" s="414"/>
      <c r="BUW281" s="445"/>
      <c r="BUX281" s="414"/>
      <c r="BVA281" s="445"/>
      <c r="BVB281" s="414"/>
      <c r="BVE281" s="445"/>
      <c r="BVF281" s="414"/>
      <c r="BVI281" s="445"/>
      <c r="BVJ281" s="414"/>
      <c r="BVM281" s="445"/>
      <c r="BVN281" s="414"/>
      <c r="BVQ281" s="445"/>
      <c r="BVR281" s="414"/>
      <c r="BVU281" s="445"/>
      <c r="BVV281" s="414"/>
      <c r="BVY281" s="445"/>
      <c r="BVZ281" s="414"/>
      <c r="BWC281" s="445"/>
      <c r="BWD281" s="414"/>
      <c r="BWG281" s="445"/>
      <c r="BWH281" s="414"/>
      <c r="BWK281" s="445"/>
      <c r="BWL281" s="414"/>
      <c r="BWO281" s="445"/>
      <c r="BWP281" s="414"/>
      <c r="BWS281" s="445"/>
      <c r="BWT281" s="414"/>
      <c r="BWW281" s="445"/>
      <c r="BWX281" s="414"/>
      <c r="BXA281" s="445"/>
      <c r="BXB281" s="414"/>
      <c r="BXE281" s="445"/>
      <c r="BXF281" s="414"/>
      <c r="BXI281" s="445"/>
      <c r="BXJ281" s="414"/>
      <c r="BXM281" s="445"/>
      <c r="BXN281" s="414"/>
      <c r="BXQ281" s="445"/>
      <c r="BXR281" s="414"/>
      <c r="BXU281" s="445"/>
      <c r="BXV281" s="414"/>
      <c r="BXY281" s="445"/>
      <c r="BXZ281" s="414"/>
      <c r="BYC281" s="445"/>
      <c r="BYD281" s="414"/>
      <c r="BYG281" s="445"/>
      <c r="BYH281" s="414"/>
      <c r="BYK281" s="445"/>
      <c r="BYL281" s="414"/>
      <c r="BYO281" s="445"/>
      <c r="BYP281" s="414"/>
      <c r="BYS281" s="445"/>
      <c r="BYT281" s="414"/>
      <c r="BYW281" s="445"/>
      <c r="BYX281" s="414"/>
      <c r="BZA281" s="445"/>
      <c r="BZB281" s="414"/>
      <c r="BZE281" s="445"/>
      <c r="BZF281" s="414"/>
      <c r="BZI281" s="445"/>
      <c r="BZJ281" s="414"/>
      <c r="BZM281" s="445"/>
      <c r="BZN281" s="414"/>
      <c r="BZQ281" s="445"/>
      <c r="BZR281" s="414"/>
      <c r="BZU281" s="445"/>
      <c r="BZV281" s="414"/>
      <c r="BZY281" s="445"/>
      <c r="BZZ281" s="414"/>
      <c r="CAC281" s="445"/>
      <c r="CAD281" s="414"/>
      <c r="CAG281" s="445"/>
      <c r="CAH281" s="414"/>
      <c r="CAK281" s="445"/>
      <c r="CAL281" s="414"/>
      <c r="CAO281" s="445"/>
      <c r="CAP281" s="414"/>
      <c r="CAS281" s="445"/>
      <c r="CAT281" s="414"/>
      <c r="CAW281" s="445"/>
      <c r="CAX281" s="414"/>
      <c r="CBA281" s="445"/>
      <c r="CBB281" s="414"/>
      <c r="CBE281" s="445"/>
      <c r="CBF281" s="414"/>
      <c r="CBI281" s="445"/>
      <c r="CBJ281" s="414"/>
      <c r="CBM281" s="445"/>
      <c r="CBN281" s="414"/>
      <c r="CBQ281" s="445"/>
      <c r="CBR281" s="414"/>
      <c r="CBU281" s="445"/>
      <c r="CBV281" s="414"/>
      <c r="CBY281" s="445"/>
      <c r="CBZ281" s="414"/>
      <c r="CCC281" s="445"/>
      <c r="CCD281" s="414"/>
      <c r="CCG281" s="445"/>
      <c r="CCH281" s="414"/>
      <c r="CCK281" s="445"/>
      <c r="CCL281" s="414"/>
      <c r="CCO281" s="445"/>
      <c r="CCP281" s="414"/>
      <c r="CCS281" s="445"/>
      <c r="CCT281" s="414"/>
      <c r="CCW281" s="445"/>
      <c r="CCX281" s="414"/>
      <c r="CDA281" s="445"/>
      <c r="CDB281" s="414"/>
      <c r="CDE281" s="445"/>
      <c r="CDF281" s="414"/>
      <c r="CDI281" s="445"/>
      <c r="CDJ281" s="414"/>
      <c r="CDM281" s="445"/>
      <c r="CDN281" s="414"/>
      <c r="CDQ281" s="445"/>
      <c r="CDR281" s="414"/>
      <c r="CDU281" s="445"/>
      <c r="CDV281" s="414"/>
      <c r="CDY281" s="445"/>
      <c r="CDZ281" s="414"/>
      <c r="CEC281" s="445"/>
      <c r="CED281" s="414"/>
      <c r="CEG281" s="445"/>
      <c r="CEH281" s="414"/>
      <c r="CEK281" s="445"/>
      <c r="CEL281" s="414"/>
      <c r="CEO281" s="445"/>
      <c r="CEP281" s="414"/>
      <c r="CES281" s="445"/>
      <c r="CET281" s="414"/>
      <c r="CEW281" s="445"/>
      <c r="CEX281" s="414"/>
      <c r="CFA281" s="445"/>
      <c r="CFB281" s="414"/>
      <c r="CFE281" s="445"/>
      <c r="CFF281" s="414"/>
      <c r="CFI281" s="445"/>
      <c r="CFJ281" s="414"/>
      <c r="CFM281" s="445"/>
      <c r="CFN281" s="414"/>
      <c r="CFQ281" s="445"/>
      <c r="CFR281" s="414"/>
      <c r="CFU281" s="445"/>
      <c r="CFV281" s="414"/>
      <c r="CFY281" s="445"/>
      <c r="CFZ281" s="414"/>
      <c r="CGC281" s="445"/>
      <c r="CGD281" s="414"/>
      <c r="CGG281" s="445"/>
      <c r="CGH281" s="414"/>
      <c r="CGK281" s="445"/>
      <c r="CGL281" s="414"/>
      <c r="CGO281" s="445"/>
      <c r="CGP281" s="414"/>
      <c r="CGS281" s="445"/>
      <c r="CGT281" s="414"/>
      <c r="CGW281" s="445"/>
      <c r="CGX281" s="414"/>
      <c r="CHA281" s="445"/>
      <c r="CHB281" s="414"/>
      <c r="CHE281" s="445"/>
      <c r="CHF281" s="414"/>
      <c r="CHI281" s="445"/>
      <c r="CHJ281" s="414"/>
      <c r="CHM281" s="445"/>
      <c r="CHN281" s="414"/>
      <c r="CHQ281" s="445"/>
      <c r="CHR281" s="414"/>
      <c r="CHU281" s="445"/>
      <c r="CHV281" s="414"/>
      <c r="CHY281" s="445"/>
      <c r="CHZ281" s="414"/>
      <c r="CIC281" s="445"/>
      <c r="CID281" s="414"/>
      <c r="CIG281" s="445"/>
      <c r="CIH281" s="414"/>
      <c r="CIK281" s="445"/>
      <c r="CIL281" s="414"/>
      <c r="CIO281" s="445"/>
      <c r="CIP281" s="414"/>
      <c r="CIS281" s="445"/>
      <c r="CIT281" s="414"/>
      <c r="CIW281" s="445"/>
      <c r="CIX281" s="414"/>
      <c r="CJA281" s="445"/>
      <c r="CJB281" s="414"/>
      <c r="CJE281" s="445"/>
      <c r="CJF281" s="414"/>
      <c r="CJI281" s="445"/>
      <c r="CJJ281" s="414"/>
      <c r="CJM281" s="445"/>
      <c r="CJN281" s="414"/>
      <c r="CJQ281" s="445"/>
      <c r="CJR281" s="414"/>
      <c r="CJU281" s="445"/>
      <c r="CJV281" s="414"/>
      <c r="CJY281" s="445"/>
      <c r="CJZ281" s="414"/>
      <c r="CKC281" s="445"/>
      <c r="CKD281" s="414"/>
      <c r="CKG281" s="445"/>
      <c r="CKH281" s="414"/>
      <c r="CKK281" s="445"/>
      <c r="CKL281" s="414"/>
      <c r="CKO281" s="445"/>
      <c r="CKP281" s="414"/>
      <c r="CKS281" s="445"/>
      <c r="CKT281" s="414"/>
      <c r="CKW281" s="445"/>
      <c r="CKX281" s="414"/>
      <c r="CLA281" s="445"/>
      <c r="CLB281" s="414"/>
      <c r="CLE281" s="445"/>
      <c r="CLF281" s="414"/>
      <c r="CLI281" s="445"/>
      <c r="CLJ281" s="414"/>
      <c r="CLM281" s="445"/>
      <c r="CLN281" s="414"/>
      <c r="CLQ281" s="445"/>
      <c r="CLR281" s="414"/>
      <c r="CLU281" s="445"/>
      <c r="CLV281" s="414"/>
      <c r="CLY281" s="445"/>
      <c r="CLZ281" s="414"/>
      <c r="CMC281" s="445"/>
      <c r="CMD281" s="414"/>
      <c r="CMG281" s="445"/>
      <c r="CMH281" s="414"/>
      <c r="CMK281" s="445"/>
      <c r="CML281" s="414"/>
      <c r="CMO281" s="445"/>
      <c r="CMP281" s="414"/>
      <c r="CMS281" s="445"/>
      <c r="CMT281" s="414"/>
      <c r="CMW281" s="445"/>
      <c r="CMX281" s="414"/>
      <c r="CNA281" s="445"/>
      <c r="CNB281" s="414"/>
      <c r="CNE281" s="445"/>
      <c r="CNF281" s="414"/>
      <c r="CNI281" s="445"/>
      <c r="CNJ281" s="414"/>
      <c r="CNM281" s="445"/>
      <c r="CNN281" s="414"/>
      <c r="CNQ281" s="445"/>
      <c r="CNR281" s="414"/>
      <c r="CNU281" s="445"/>
      <c r="CNV281" s="414"/>
      <c r="CNY281" s="445"/>
      <c r="CNZ281" s="414"/>
      <c r="COC281" s="445"/>
      <c r="COD281" s="414"/>
      <c r="COG281" s="445"/>
      <c r="COH281" s="414"/>
      <c r="COK281" s="445"/>
      <c r="COL281" s="414"/>
      <c r="COO281" s="445"/>
      <c r="COP281" s="414"/>
      <c r="COS281" s="445"/>
      <c r="COT281" s="414"/>
      <c r="COW281" s="445"/>
      <c r="COX281" s="414"/>
      <c r="CPA281" s="445"/>
      <c r="CPB281" s="414"/>
      <c r="CPE281" s="445"/>
      <c r="CPF281" s="414"/>
      <c r="CPI281" s="445"/>
      <c r="CPJ281" s="414"/>
      <c r="CPM281" s="445"/>
      <c r="CPN281" s="414"/>
      <c r="CPQ281" s="445"/>
      <c r="CPR281" s="414"/>
      <c r="CPU281" s="445"/>
      <c r="CPV281" s="414"/>
      <c r="CPY281" s="445"/>
      <c r="CPZ281" s="414"/>
      <c r="CQC281" s="445"/>
      <c r="CQD281" s="414"/>
      <c r="CQG281" s="445"/>
      <c r="CQH281" s="414"/>
      <c r="CQK281" s="445"/>
      <c r="CQL281" s="414"/>
      <c r="CQO281" s="445"/>
      <c r="CQP281" s="414"/>
      <c r="CQS281" s="445"/>
      <c r="CQT281" s="414"/>
      <c r="CQW281" s="445"/>
      <c r="CQX281" s="414"/>
      <c r="CRA281" s="445"/>
      <c r="CRB281" s="414"/>
      <c r="CRE281" s="445"/>
      <c r="CRF281" s="414"/>
      <c r="CRI281" s="445"/>
      <c r="CRJ281" s="414"/>
      <c r="CRM281" s="445"/>
      <c r="CRN281" s="414"/>
      <c r="CRQ281" s="445"/>
      <c r="CRR281" s="414"/>
      <c r="CRU281" s="445"/>
      <c r="CRV281" s="414"/>
      <c r="CRY281" s="445"/>
      <c r="CRZ281" s="414"/>
      <c r="CSC281" s="445"/>
      <c r="CSD281" s="414"/>
      <c r="CSG281" s="445"/>
      <c r="CSH281" s="414"/>
      <c r="CSK281" s="445"/>
      <c r="CSL281" s="414"/>
      <c r="CSO281" s="445"/>
      <c r="CSP281" s="414"/>
      <c r="CSS281" s="445"/>
      <c r="CST281" s="414"/>
      <c r="CSW281" s="445"/>
      <c r="CSX281" s="414"/>
      <c r="CTA281" s="445"/>
      <c r="CTB281" s="414"/>
      <c r="CTE281" s="445"/>
      <c r="CTF281" s="414"/>
      <c r="CTI281" s="445"/>
      <c r="CTJ281" s="414"/>
      <c r="CTM281" s="445"/>
      <c r="CTN281" s="414"/>
      <c r="CTQ281" s="445"/>
      <c r="CTR281" s="414"/>
      <c r="CTU281" s="445"/>
      <c r="CTV281" s="414"/>
      <c r="CTY281" s="445"/>
      <c r="CTZ281" s="414"/>
      <c r="CUC281" s="445"/>
      <c r="CUD281" s="414"/>
      <c r="CUG281" s="445"/>
      <c r="CUH281" s="414"/>
      <c r="CUK281" s="445"/>
      <c r="CUL281" s="414"/>
      <c r="CUO281" s="445"/>
      <c r="CUP281" s="414"/>
      <c r="CUS281" s="445"/>
      <c r="CUT281" s="414"/>
      <c r="CUW281" s="445"/>
      <c r="CUX281" s="414"/>
      <c r="CVA281" s="445"/>
      <c r="CVB281" s="414"/>
      <c r="CVE281" s="445"/>
      <c r="CVF281" s="414"/>
      <c r="CVI281" s="445"/>
      <c r="CVJ281" s="414"/>
      <c r="CVM281" s="445"/>
      <c r="CVN281" s="414"/>
      <c r="CVQ281" s="445"/>
      <c r="CVR281" s="414"/>
      <c r="CVU281" s="445"/>
      <c r="CVV281" s="414"/>
      <c r="CVY281" s="445"/>
      <c r="CVZ281" s="414"/>
      <c r="CWC281" s="445"/>
      <c r="CWD281" s="414"/>
      <c r="CWG281" s="445"/>
      <c r="CWH281" s="414"/>
      <c r="CWK281" s="445"/>
      <c r="CWL281" s="414"/>
      <c r="CWO281" s="445"/>
      <c r="CWP281" s="414"/>
      <c r="CWS281" s="445"/>
      <c r="CWT281" s="414"/>
      <c r="CWW281" s="445"/>
      <c r="CWX281" s="414"/>
      <c r="CXA281" s="445"/>
      <c r="CXB281" s="414"/>
      <c r="CXE281" s="445"/>
      <c r="CXF281" s="414"/>
      <c r="CXI281" s="445"/>
      <c r="CXJ281" s="414"/>
      <c r="CXM281" s="445"/>
      <c r="CXN281" s="414"/>
      <c r="CXQ281" s="445"/>
      <c r="CXR281" s="414"/>
      <c r="CXU281" s="445"/>
      <c r="CXV281" s="414"/>
      <c r="CXY281" s="445"/>
      <c r="CXZ281" s="414"/>
      <c r="CYC281" s="445"/>
      <c r="CYD281" s="414"/>
      <c r="CYG281" s="445"/>
      <c r="CYH281" s="414"/>
      <c r="CYK281" s="445"/>
      <c r="CYL281" s="414"/>
      <c r="CYO281" s="445"/>
      <c r="CYP281" s="414"/>
      <c r="CYS281" s="445"/>
      <c r="CYT281" s="414"/>
      <c r="CYW281" s="445"/>
      <c r="CYX281" s="414"/>
      <c r="CZA281" s="445"/>
      <c r="CZB281" s="414"/>
      <c r="CZE281" s="445"/>
      <c r="CZF281" s="414"/>
      <c r="CZI281" s="445"/>
      <c r="CZJ281" s="414"/>
      <c r="CZM281" s="445"/>
      <c r="CZN281" s="414"/>
      <c r="CZQ281" s="445"/>
      <c r="CZR281" s="414"/>
      <c r="CZU281" s="445"/>
      <c r="CZV281" s="414"/>
      <c r="CZY281" s="445"/>
      <c r="CZZ281" s="414"/>
      <c r="DAC281" s="445"/>
      <c r="DAD281" s="414"/>
      <c r="DAG281" s="445"/>
      <c r="DAH281" s="414"/>
      <c r="DAK281" s="445"/>
      <c r="DAL281" s="414"/>
      <c r="DAO281" s="445"/>
      <c r="DAP281" s="414"/>
      <c r="DAS281" s="445"/>
      <c r="DAT281" s="414"/>
      <c r="DAW281" s="445"/>
      <c r="DAX281" s="414"/>
      <c r="DBA281" s="445"/>
      <c r="DBB281" s="414"/>
      <c r="DBE281" s="445"/>
      <c r="DBF281" s="414"/>
      <c r="DBI281" s="445"/>
      <c r="DBJ281" s="414"/>
      <c r="DBM281" s="445"/>
      <c r="DBN281" s="414"/>
      <c r="DBQ281" s="445"/>
      <c r="DBR281" s="414"/>
      <c r="DBU281" s="445"/>
      <c r="DBV281" s="414"/>
      <c r="DBY281" s="445"/>
      <c r="DBZ281" s="414"/>
      <c r="DCC281" s="445"/>
      <c r="DCD281" s="414"/>
      <c r="DCG281" s="445"/>
      <c r="DCH281" s="414"/>
      <c r="DCK281" s="445"/>
      <c r="DCL281" s="414"/>
      <c r="DCO281" s="445"/>
      <c r="DCP281" s="414"/>
      <c r="DCS281" s="445"/>
      <c r="DCT281" s="414"/>
      <c r="DCW281" s="445"/>
      <c r="DCX281" s="414"/>
      <c r="DDA281" s="445"/>
      <c r="DDB281" s="414"/>
      <c r="DDE281" s="445"/>
      <c r="DDF281" s="414"/>
      <c r="DDI281" s="445"/>
      <c r="DDJ281" s="414"/>
      <c r="DDM281" s="445"/>
      <c r="DDN281" s="414"/>
      <c r="DDQ281" s="445"/>
      <c r="DDR281" s="414"/>
      <c r="DDU281" s="445"/>
      <c r="DDV281" s="414"/>
      <c r="DDY281" s="445"/>
      <c r="DDZ281" s="414"/>
      <c r="DEC281" s="445"/>
      <c r="DED281" s="414"/>
      <c r="DEG281" s="445"/>
      <c r="DEH281" s="414"/>
      <c r="DEK281" s="445"/>
      <c r="DEL281" s="414"/>
      <c r="DEO281" s="445"/>
      <c r="DEP281" s="414"/>
      <c r="DES281" s="445"/>
      <c r="DET281" s="414"/>
      <c r="DEW281" s="445"/>
      <c r="DEX281" s="414"/>
      <c r="DFA281" s="445"/>
      <c r="DFB281" s="414"/>
      <c r="DFE281" s="445"/>
      <c r="DFF281" s="414"/>
      <c r="DFI281" s="445"/>
      <c r="DFJ281" s="414"/>
      <c r="DFM281" s="445"/>
      <c r="DFN281" s="414"/>
      <c r="DFQ281" s="445"/>
      <c r="DFR281" s="414"/>
      <c r="DFU281" s="445"/>
      <c r="DFV281" s="414"/>
      <c r="DFY281" s="445"/>
      <c r="DFZ281" s="414"/>
      <c r="DGC281" s="445"/>
      <c r="DGD281" s="414"/>
      <c r="DGG281" s="445"/>
      <c r="DGH281" s="414"/>
      <c r="DGK281" s="445"/>
      <c r="DGL281" s="414"/>
      <c r="DGO281" s="445"/>
      <c r="DGP281" s="414"/>
      <c r="DGS281" s="445"/>
      <c r="DGT281" s="414"/>
      <c r="DGW281" s="445"/>
      <c r="DGX281" s="414"/>
      <c r="DHA281" s="445"/>
      <c r="DHB281" s="414"/>
      <c r="DHE281" s="445"/>
      <c r="DHF281" s="414"/>
      <c r="DHI281" s="445"/>
      <c r="DHJ281" s="414"/>
      <c r="DHM281" s="445"/>
      <c r="DHN281" s="414"/>
      <c r="DHQ281" s="445"/>
      <c r="DHR281" s="414"/>
      <c r="DHU281" s="445"/>
      <c r="DHV281" s="414"/>
      <c r="DHY281" s="445"/>
      <c r="DHZ281" s="414"/>
      <c r="DIC281" s="445"/>
      <c r="DID281" s="414"/>
      <c r="DIG281" s="445"/>
      <c r="DIH281" s="414"/>
      <c r="DIK281" s="445"/>
      <c r="DIL281" s="414"/>
      <c r="DIO281" s="445"/>
      <c r="DIP281" s="414"/>
      <c r="DIS281" s="445"/>
      <c r="DIT281" s="414"/>
      <c r="DIW281" s="445"/>
      <c r="DIX281" s="414"/>
      <c r="DJA281" s="445"/>
      <c r="DJB281" s="414"/>
      <c r="DJE281" s="445"/>
      <c r="DJF281" s="414"/>
      <c r="DJI281" s="445"/>
      <c r="DJJ281" s="414"/>
      <c r="DJM281" s="445"/>
      <c r="DJN281" s="414"/>
      <c r="DJQ281" s="445"/>
      <c r="DJR281" s="414"/>
      <c r="DJU281" s="445"/>
      <c r="DJV281" s="414"/>
      <c r="DJY281" s="445"/>
      <c r="DJZ281" s="414"/>
      <c r="DKC281" s="445"/>
      <c r="DKD281" s="414"/>
      <c r="DKG281" s="445"/>
      <c r="DKH281" s="414"/>
      <c r="DKK281" s="445"/>
      <c r="DKL281" s="414"/>
      <c r="DKO281" s="445"/>
      <c r="DKP281" s="414"/>
      <c r="DKS281" s="445"/>
      <c r="DKT281" s="414"/>
      <c r="DKW281" s="445"/>
      <c r="DKX281" s="414"/>
      <c r="DLA281" s="445"/>
      <c r="DLB281" s="414"/>
      <c r="DLE281" s="445"/>
      <c r="DLF281" s="414"/>
      <c r="DLI281" s="445"/>
      <c r="DLJ281" s="414"/>
      <c r="DLM281" s="445"/>
      <c r="DLN281" s="414"/>
      <c r="DLQ281" s="445"/>
      <c r="DLR281" s="414"/>
      <c r="DLU281" s="445"/>
      <c r="DLV281" s="414"/>
      <c r="DLY281" s="445"/>
      <c r="DLZ281" s="414"/>
      <c r="DMC281" s="445"/>
      <c r="DMD281" s="414"/>
      <c r="DMG281" s="445"/>
      <c r="DMH281" s="414"/>
      <c r="DMK281" s="445"/>
      <c r="DML281" s="414"/>
      <c r="DMO281" s="445"/>
      <c r="DMP281" s="414"/>
      <c r="DMS281" s="445"/>
      <c r="DMT281" s="414"/>
      <c r="DMW281" s="445"/>
      <c r="DMX281" s="414"/>
      <c r="DNA281" s="445"/>
      <c r="DNB281" s="414"/>
      <c r="DNE281" s="445"/>
      <c r="DNF281" s="414"/>
      <c r="DNI281" s="445"/>
      <c r="DNJ281" s="414"/>
      <c r="DNM281" s="445"/>
      <c r="DNN281" s="414"/>
      <c r="DNQ281" s="445"/>
      <c r="DNR281" s="414"/>
      <c r="DNU281" s="445"/>
      <c r="DNV281" s="414"/>
      <c r="DNY281" s="445"/>
      <c r="DNZ281" s="414"/>
      <c r="DOC281" s="445"/>
      <c r="DOD281" s="414"/>
      <c r="DOG281" s="445"/>
      <c r="DOH281" s="414"/>
      <c r="DOK281" s="445"/>
      <c r="DOL281" s="414"/>
      <c r="DOO281" s="445"/>
      <c r="DOP281" s="414"/>
      <c r="DOS281" s="445"/>
      <c r="DOT281" s="414"/>
      <c r="DOW281" s="445"/>
      <c r="DOX281" s="414"/>
      <c r="DPA281" s="445"/>
      <c r="DPB281" s="414"/>
      <c r="DPE281" s="445"/>
      <c r="DPF281" s="414"/>
      <c r="DPI281" s="445"/>
      <c r="DPJ281" s="414"/>
      <c r="DPM281" s="445"/>
      <c r="DPN281" s="414"/>
      <c r="DPQ281" s="445"/>
      <c r="DPR281" s="414"/>
      <c r="DPU281" s="445"/>
      <c r="DPV281" s="414"/>
      <c r="DPY281" s="445"/>
      <c r="DPZ281" s="414"/>
      <c r="DQC281" s="445"/>
      <c r="DQD281" s="414"/>
      <c r="DQG281" s="445"/>
      <c r="DQH281" s="414"/>
      <c r="DQK281" s="445"/>
      <c r="DQL281" s="414"/>
      <c r="DQO281" s="445"/>
      <c r="DQP281" s="414"/>
      <c r="DQS281" s="445"/>
      <c r="DQT281" s="414"/>
      <c r="DQW281" s="445"/>
      <c r="DQX281" s="414"/>
      <c r="DRA281" s="445"/>
      <c r="DRB281" s="414"/>
      <c r="DRE281" s="445"/>
      <c r="DRF281" s="414"/>
      <c r="DRI281" s="445"/>
      <c r="DRJ281" s="414"/>
      <c r="DRM281" s="445"/>
      <c r="DRN281" s="414"/>
      <c r="DRQ281" s="445"/>
      <c r="DRR281" s="414"/>
      <c r="DRU281" s="445"/>
      <c r="DRV281" s="414"/>
      <c r="DRY281" s="445"/>
      <c r="DRZ281" s="414"/>
      <c r="DSC281" s="445"/>
      <c r="DSD281" s="414"/>
      <c r="DSG281" s="445"/>
      <c r="DSH281" s="414"/>
      <c r="DSK281" s="445"/>
      <c r="DSL281" s="414"/>
      <c r="DSO281" s="445"/>
      <c r="DSP281" s="414"/>
      <c r="DSS281" s="445"/>
      <c r="DST281" s="414"/>
      <c r="DSW281" s="445"/>
      <c r="DSX281" s="414"/>
      <c r="DTA281" s="445"/>
      <c r="DTB281" s="414"/>
      <c r="DTE281" s="445"/>
      <c r="DTF281" s="414"/>
      <c r="DTI281" s="445"/>
      <c r="DTJ281" s="414"/>
      <c r="DTM281" s="445"/>
      <c r="DTN281" s="414"/>
      <c r="DTQ281" s="445"/>
      <c r="DTR281" s="414"/>
      <c r="DTU281" s="445"/>
      <c r="DTV281" s="414"/>
      <c r="DTY281" s="445"/>
      <c r="DTZ281" s="414"/>
      <c r="DUC281" s="445"/>
      <c r="DUD281" s="414"/>
      <c r="DUG281" s="445"/>
      <c r="DUH281" s="414"/>
      <c r="DUK281" s="445"/>
      <c r="DUL281" s="414"/>
      <c r="DUO281" s="445"/>
      <c r="DUP281" s="414"/>
      <c r="DUS281" s="445"/>
      <c r="DUT281" s="414"/>
      <c r="DUW281" s="445"/>
      <c r="DUX281" s="414"/>
      <c r="DVA281" s="445"/>
      <c r="DVB281" s="414"/>
      <c r="DVE281" s="445"/>
      <c r="DVF281" s="414"/>
      <c r="DVI281" s="445"/>
      <c r="DVJ281" s="414"/>
      <c r="DVM281" s="445"/>
      <c r="DVN281" s="414"/>
      <c r="DVQ281" s="445"/>
      <c r="DVR281" s="414"/>
      <c r="DVU281" s="445"/>
      <c r="DVV281" s="414"/>
      <c r="DVY281" s="445"/>
      <c r="DVZ281" s="414"/>
      <c r="DWC281" s="445"/>
      <c r="DWD281" s="414"/>
      <c r="DWG281" s="445"/>
      <c r="DWH281" s="414"/>
      <c r="DWK281" s="445"/>
      <c r="DWL281" s="414"/>
      <c r="DWO281" s="445"/>
      <c r="DWP281" s="414"/>
      <c r="DWS281" s="445"/>
      <c r="DWT281" s="414"/>
      <c r="DWW281" s="445"/>
      <c r="DWX281" s="414"/>
      <c r="DXA281" s="445"/>
      <c r="DXB281" s="414"/>
      <c r="DXE281" s="445"/>
      <c r="DXF281" s="414"/>
      <c r="DXI281" s="445"/>
      <c r="DXJ281" s="414"/>
      <c r="DXM281" s="445"/>
      <c r="DXN281" s="414"/>
      <c r="DXQ281" s="445"/>
      <c r="DXR281" s="414"/>
      <c r="DXU281" s="445"/>
      <c r="DXV281" s="414"/>
      <c r="DXY281" s="445"/>
      <c r="DXZ281" s="414"/>
      <c r="DYC281" s="445"/>
      <c r="DYD281" s="414"/>
      <c r="DYG281" s="445"/>
      <c r="DYH281" s="414"/>
      <c r="DYK281" s="445"/>
      <c r="DYL281" s="414"/>
      <c r="DYO281" s="445"/>
      <c r="DYP281" s="414"/>
      <c r="DYS281" s="445"/>
      <c r="DYT281" s="414"/>
      <c r="DYW281" s="445"/>
      <c r="DYX281" s="414"/>
      <c r="DZA281" s="445"/>
      <c r="DZB281" s="414"/>
      <c r="DZE281" s="445"/>
      <c r="DZF281" s="414"/>
      <c r="DZI281" s="445"/>
      <c r="DZJ281" s="414"/>
      <c r="DZM281" s="445"/>
      <c r="DZN281" s="414"/>
      <c r="DZQ281" s="445"/>
      <c r="DZR281" s="414"/>
      <c r="DZU281" s="445"/>
      <c r="DZV281" s="414"/>
      <c r="DZY281" s="445"/>
      <c r="DZZ281" s="414"/>
      <c r="EAC281" s="445"/>
      <c r="EAD281" s="414"/>
      <c r="EAG281" s="445"/>
      <c r="EAH281" s="414"/>
      <c r="EAK281" s="445"/>
      <c r="EAL281" s="414"/>
      <c r="EAO281" s="445"/>
      <c r="EAP281" s="414"/>
      <c r="EAS281" s="445"/>
      <c r="EAT281" s="414"/>
      <c r="EAW281" s="445"/>
      <c r="EAX281" s="414"/>
      <c r="EBA281" s="445"/>
      <c r="EBB281" s="414"/>
      <c r="EBE281" s="445"/>
      <c r="EBF281" s="414"/>
      <c r="EBI281" s="445"/>
      <c r="EBJ281" s="414"/>
      <c r="EBM281" s="445"/>
      <c r="EBN281" s="414"/>
      <c r="EBQ281" s="445"/>
      <c r="EBR281" s="414"/>
      <c r="EBU281" s="445"/>
      <c r="EBV281" s="414"/>
      <c r="EBY281" s="445"/>
      <c r="EBZ281" s="414"/>
      <c r="ECC281" s="445"/>
      <c r="ECD281" s="414"/>
      <c r="ECG281" s="445"/>
      <c r="ECH281" s="414"/>
      <c r="ECK281" s="445"/>
      <c r="ECL281" s="414"/>
      <c r="ECO281" s="445"/>
      <c r="ECP281" s="414"/>
      <c r="ECS281" s="445"/>
      <c r="ECT281" s="414"/>
      <c r="ECW281" s="445"/>
      <c r="ECX281" s="414"/>
      <c r="EDA281" s="445"/>
      <c r="EDB281" s="414"/>
      <c r="EDE281" s="445"/>
      <c r="EDF281" s="414"/>
      <c r="EDI281" s="445"/>
      <c r="EDJ281" s="414"/>
      <c r="EDM281" s="445"/>
      <c r="EDN281" s="414"/>
      <c r="EDQ281" s="445"/>
      <c r="EDR281" s="414"/>
      <c r="EDU281" s="445"/>
      <c r="EDV281" s="414"/>
      <c r="EDY281" s="445"/>
      <c r="EDZ281" s="414"/>
      <c r="EEC281" s="445"/>
      <c r="EED281" s="414"/>
      <c r="EEG281" s="445"/>
      <c r="EEH281" s="414"/>
      <c r="EEK281" s="445"/>
      <c r="EEL281" s="414"/>
      <c r="EEO281" s="445"/>
      <c r="EEP281" s="414"/>
      <c r="EES281" s="445"/>
      <c r="EET281" s="414"/>
      <c r="EEW281" s="445"/>
      <c r="EEX281" s="414"/>
      <c r="EFA281" s="445"/>
      <c r="EFB281" s="414"/>
      <c r="EFE281" s="445"/>
      <c r="EFF281" s="414"/>
      <c r="EFI281" s="445"/>
      <c r="EFJ281" s="414"/>
      <c r="EFM281" s="445"/>
      <c r="EFN281" s="414"/>
      <c r="EFQ281" s="445"/>
      <c r="EFR281" s="414"/>
      <c r="EFU281" s="445"/>
      <c r="EFV281" s="414"/>
      <c r="EFY281" s="445"/>
      <c r="EFZ281" s="414"/>
      <c r="EGC281" s="445"/>
      <c r="EGD281" s="414"/>
      <c r="EGG281" s="445"/>
      <c r="EGH281" s="414"/>
      <c r="EGK281" s="445"/>
      <c r="EGL281" s="414"/>
      <c r="EGO281" s="445"/>
      <c r="EGP281" s="414"/>
      <c r="EGS281" s="445"/>
      <c r="EGT281" s="414"/>
      <c r="EGW281" s="445"/>
      <c r="EGX281" s="414"/>
      <c r="EHA281" s="445"/>
      <c r="EHB281" s="414"/>
      <c r="EHE281" s="445"/>
      <c r="EHF281" s="414"/>
      <c r="EHI281" s="445"/>
      <c r="EHJ281" s="414"/>
      <c r="EHM281" s="445"/>
      <c r="EHN281" s="414"/>
      <c r="EHQ281" s="445"/>
      <c r="EHR281" s="414"/>
      <c r="EHU281" s="445"/>
      <c r="EHV281" s="414"/>
      <c r="EHY281" s="445"/>
      <c r="EHZ281" s="414"/>
      <c r="EIC281" s="445"/>
      <c r="EID281" s="414"/>
      <c r="EIG281" s="445"/>
      <c r="EIH281" s="414"/>
      <c r="EIK281" s="445"/>
      <c r="EIL281" s="414"/>
      <c r="EIO281" s="445"/>
      <c r="EIP281" s="414"/>
      <c r="EIS281" s="445"/>
      <c r="EIT281" s="414"/>
      <c r="EIW281" s="445"/>
      <c r="EIX281" s="414"/>
      <c r="EJA281" s="445"/>
      <c r="EJB281" s="414"/>
      <c r="EJE281" s="445"/>
      <c r="EJF281" s="414"/>
      <c r="EJI281" s="445"/>
      <c r="EJJ281" s="414"/>
      <c r="EJM281" s="445"/>
      <c r="EJN281" s="414"/>
      <c r="EJQ281" s="445"/>
      <c r="EJR281" s="414"/>
      <c r="EJU281" s="445"/>
      <c r="EJV281" s="414"/>
      <c r="EJY281" s="445"/>
      <c r="EJZ281" s="414"/>
      <c r="EKC281" s="445"/>
      <c r="EKD281" s="414"/>
      <c r="EKG281" s="445"/>
      <c r="EKH281" s="414"/>
      <c r="EKK281" s="445"/>
      <c r="EKL281" s="414"/>
      <c r="EKO281" s="445"/>
      <c r="EKP281" s="414"/>
      <c r="EKS281" s="445"/>
      <c r="EKT281" s="414"/>
      <c r="EKW281" s="445"/>
      <c r="EKX281" s="414"/>
      <c r="ELA281" s="445"/>
      <c r="ELB281" s="414"/>
      <c r="ELE281" s="445"/>
      <c r="ELF281" s="414"/>
      <c r="ELI281" s="445"/>
      <c r="ELJ281" s="414"/>
      <c r="ELM281" s="445"/>
      <c r="ELN281" s="414"/>
      <c r="ELQ281" s="445"/>
      <c r="ELR281" s="414"/>
      <c r="ELU281" s="445"/>
      <c r="ELV281" s="414"/>
      <c r="ELY281" s="445"/>
      <c r="ELZ281" s="414"/>
      <c r="EMC281" s="445"/>
      <c r="EMD281" s="414"/>
      <c r="EMG281" s="445"/>
      <c r="EMH281" s="414"/>
      <c r="EMK281" s="445"/>
      <c r="EML281" s="414"/>
      <c r="EMO281" s="445"/>
      <c r="EMP281" s="414"/>
      <c r="EMS281" s="445"/>
      <c r="EMT281" s="414"/>
      <c r="EMW281" s="445"/>
      <c r="EMX281" s="414"/>
      <c r="ENA281" s="445"/>
      <c r="ENB281" s="414"/>
      <c r="ENE281" s="445"/>
      <c r="ENF281" s="414"/>
      <c r="ENI281" s="445"/>
      <c r="ENJ281" s="414"/>
      <c r="ENM281" s="445"/>
      <c r="ENN281" s="414"/>
      <c r="ENQ281" s="445"/>
      <c r="ENR281" s="414"/>
      <c r="ENU281" s="445"/>
      <c r="ENV281" s="414"/>
      <c r="ENY281" s="445"/>
      <c r="ENZ281" s="414"/>
      <c r="EOC281" s="445"/>
      <c r="EOD281" s="414"/>
      <c r="EOG281" s="445"/>
      <c r="EOH281" s="414"/>
      <c r="EOK281" s="445"/>
      <c r="EOL281" s="414"/>
      <c r="EOO281" s="445"/>
      <c r="EOP281" s="414"/>
      <c r="EOS281" s="445"/>
      <c r="EOT281" s="414"/>
      <c r="EOW281" s="445"/>
      <c r="EOX281" s="414"/>
      <c r="EPA281" s="445"/>
      <c r="EPB281" s="414"/>
      <c r="EPE281" s="445"/>
      <c r="EPF281" s="414"/>
      <c r="EPI281" s="445"/>
      <c r="EPJ281" s="414"/>
      <c r="EPM281" s="445"/>
      <c r="EPN281" s="414"/>
      <c r="EPQ281" s="445"/>
      <c r="EPR281" s="414"/>
      <c r="EPU281" s="445"/>
      <c r="EPV281" s="414"/>
      <c r="EPY281" s="445"/>
      <c r="EPZ281" s="414"/>
      <c r="EQC281" s="445"/>
      <c r="EQD281" s="414"/>
      <c r="EQG281" s="445"/>
      <c r="EQH281" s="414"/>
      <c r="EQK281" s="445"/>
      <c r="EQL281" s="414"/>
      <c r="EQO281" s="445"/>
      <c r="EQP281" s="414"/>
      <c r="EQS281" s="445"/>
      <c r="EQT281" s="414"/>
      <c r="EQW281" s="445"/>
      <c r="EQX281" s="414"/>
      <c r="ERA281" s="445"/>
      <c r="ERB281" s="414"/>
      <c r="ERE281" s="445"/>
      <c r="ERF281" s="414"/>
      <c r="ERI281" s="445"/>
      <c r="ERJ281" s="414"/>
      <c r="ERM281" s="445"/>
      <c r="ERN281" s="414"/>
      <c r="ERQ281" s="445"/>
      <c r="ERR281" s="414"/>
      <c r="ERU281" s="445"/>
      <c r="ERV281" s="414"/>
      <c r="ERY281" s="445"/>
      <c r="ERZ281" s="414"/>
      <c r="ESC281" s="445"/>
      <c r="ESD281" s="414"/>
      <c r="ESG281" s="445"/>
      <c r="ESH281" s="414"/>
      <c r="ESK281" s="445"/>
      <c r="ESL281" s="414"/>
      <c r="ESO281" s="445"/>
      <c r="ESP281" s="414"/>
      <c r="ESS281" s="445"/>
      <c r="EST281" s="414"/>
      <c r="ESW281" s="445"/>
      <c r="ESX281" s="414"/>
      <c r="ETA281" s="445"/>
      <c r="ETB281" s="414"/>
      <c r="ETE281" s="445"/>
      <c r="ETF281" s="414"/>
      <c r="ETI281" s="445"/>
      <c r="ETJ281" s="414"/>
      <c r="ETM281" s="445"/>
      <c r="ETN281" s="414"/>
      <c r="ETQ281" s="445"/>
      <c r="ETR281" s="414"/>
      <c r="ETU281" s="445"/>
      <c r="ETV281" s="414"/>
      <c r="ETY281" s="445"/>
      <c r="ETZ281" s="414"/>
      <c r="EUC281" s="445"/>
      <c r="EUD281" s="414"/>
      <c r="EUG281" s="445"/>
      <c r="EUH281" s="414"/>
      <c r="EUK281" s="445"/>
      <c r="EUL281" s="414"/>
      <c r="EUO281" s="445"/>
      <c r="EUP281" s="414"/>
      <c r="EUS281" s="445"/>
      <c r="EUT281" s="414"/>
      <c r="EUW281" s="445"/>
      <c r="EUX281" s="414"/>
      <c r="EVA281" s="445"/>
      <c r="EVB281" s="414"/>
      <c r="EVE281" s="445"/>
      <c r="EVF281" s="414"/>
      <c r="EVI281" s="445"/>
      <c r="EVJ281" s="414"/>
      <c r="EVM281" s="445"/>
      <c r="EVN281" s="414"/>
      <c r="EVQ281" s="445"/>
      <c r="EVR281" s="414"/>
      <c r="EVU281" s="445"/>
      <c r="EVV281" s="414"/>
      <c r="EVY281" s="445"/>
      <c r="EVZ281" s="414"/>
      <c r="EWC281" s="445"/>
      <c r="EWD281" s="414"/>
      <c r="EWG281" s="445"/>
      <c r="EWH281" s="414"/>
      <c r="EWK281" s="445"/>
      <c r="EWL281" s="414"/>
      <c r="EWO281" s="445"/>
      <c r="EWP281" s="414"/>
      <c r="EWS281" s="445"/>
      <c r="EWT281" s="414"/>
      <c r="EWW281" s="445"/>
      <c r="EWX281" s="414"/>
      <c r="EXA281" s="445"/>
      <c r="EXB281" s="414"/>
      <c r="EXE281" s="445"/>
      <c r="EXF281" s="414"/>
      <c r="EXI281" s="445"/>
      <c r="EXJ281" s="414"/>
      <c r="EXM281" s="445"/>
      <c r="EXN281" s="414"/>
      <c r="EXQ281" s="445"/>
      <c r="EXR281" s="414"/>
      <c r="EXU281" s="445"/>
      <c r="EXV281" s="414"/>
      <c r="EXY281" s="445"/>
      <c r="EXZ281" s="414"/>
      <c r="EYC281" s="445"/>
      <c r="EYD281" s="414"/>
      <c r="EYG281" s="445"/>
      <c r="EYH281" s="414"/>
      <c r="EYK281" s="445"/>
      <c r="EYL281" s="414"/>
      <c r="EYO281" s="445"/>
      <c r="EYP281" s="414"/>
      <c r="EYS281" s="445"/>
      <c r="EYT281" s="414"/>
      <c r="EYW281" s="445"/>
      <c r="EYX281" s="414"/>
      <c r="EZA281" s="445"/>
      <c r="EZB281" s="414"/>
      <c r="EZE281" s="445"/>
      <c r="EZF281" s="414"/>
      <c r="EZI281" s="445"/>
      <c r="EZJ281" s="414"/>
      <c r="EZM281" s="445"/>
      <c r="EZN281" s="414"/>
      <c r="EZQ281" s="445"/>
      <c r="EZR281" s="414"/>
      <c r="EZU281" s="445"/>
      <c r="EZV281" s="414"/>
      <c r="EZY281" s="445"/>
      <c r="EZZ281" s="414"/>
      <c r="FAC281" s="445"/>
      <c r="FAD281" s="414"/>
      <c r="FAG281" s="445"/>
      <c r="FAH281" s="414"/>
      <c r="FAK281" s="445"/>
      <c r="FAL281" s="414"/>
      <c r="FAO281" s="445"/>
      <c r="FAP281" s="414"/>
      <c r="FAS281" s="445"/>
      <c r="FAT281" s="414"/>
      <c r="FAW281" s="445"/>
      <c r="FAX281" s="414"/>
      <c r="FBA281" s="445"/>
      <c r="FBB281" s="414"/>
      <c r="FBE281" s="445"/>
      <c r="FBF281" s="414"/>
      <c r="FBI281" s="445"/>
      <c r="FBJ281" s="414"/>
      <c r="FBM281" s="445"/>
      <c r="FBN281" s="414"/>
      <c r="FBQ281" s="445"/>
      <c r="FBR281" s="414"/>
      <c r="FBU281" s="445"/>
      <c r="FBV281" s="414"/>
      <c r="FBY281" s="445"/>
      <c r="FBZ281" s="414"/>
      <c r="FCC281" s="445"/>
      <c r="FCD281" s="414"/>
      <c r="FCG281" s="445"/>
      <c r="FCH281" s="414"/>
      <c r="FCK281" s="445"/>
      <c r="FCL281" s="414"/>
      <c r="FCO281" s="445"/>
      <c r="FCP281" s="414"/>
      <c r="FCS281" s="445"/>
      <c r="FCT281" s="414"/>
      <c r="FCW281" s="445"/>
      <c r="FCX281" s="414"/>
      <c r="FDA281" s="445"/>
      <c r="FDB281" s="414"/>
      <c r="FDE281" s="445"/>
      <c r="FDF281" s="414"/>
      <c r="FDI281" s="445"/>
      <c r="FDJ281" s="414"/>
      <c r="FDM281" s="445"/>
      <c r="FDN281" s="414"/>
      <c r="FDQ281" s="445"/>
      <c r="FDR281" s="414"/>
      <c r="FDU281" s="445"/>
      <c r="FDV281" s="414"/>
      <c r="FDY281" s="445"/>
      <c r="FDZ281" s="414"/>
      <c r="FEC281" s="445"/>
      <c r="FED281" s="414"/>
      <c r="FEG281" s="445"/>
      <c r="FEH281" s="414"/>
      <c r="FEK281" s="445"/>
      <c r="FEL281" s="414"/>
      <c r="FEO281" s="445"/>
      <c r="FEP281" s="414"/>
      <c r="FES281" s="445"/>
      <c r="FET281" s="414"/>
      <c r="FEW281" s="445"/>
      <c r="FEX281" s="414"/>
      <c r="FFA281" s="445"/>
      <c r="FFB281" s="414"/>
      <c r="FFE281" s="445"/>
      <c r="FFF281" s="414"/>
      <c r="FFI281" s="445"/>
      <c r="FFJ281" s="414"/>
      <c r="FFM281" s="445"/>
      <c r="FFN281" s="414"/>
      <c r="FFQ281" s="445"/>
      <c r="FFR281" s="414"/>
      <c r="FFU281" s="445"/>
      <c r="FFV281" s="414"/>
      <c r="FFY281" s="445"/>
      <c r="FFZ281" s="414"/>
      <c r="FGC281" s="445"/>
      <c r="FGD281" s="414"/>
      <c r="FGG281" s="445"/>
      <c r="FGH281" s="414"/>
      <c r="FGK281" s="445"/>
      <c r="FGL281" s="414"/>
      <c r="FGO281" s="445"/>
      <c r="FGP281" s="414"/>
      <c r="FGS281" s="445"/>
      <c r="FGT281" s="414"/>
      <c r="FGW281" s="445"/>
      <c r="FGX281" s="414"/>
      <c r="FHA281" s="445"/>
      <c r="FHB281" s="414"/>
      <c r="FHE281" s="445"/>
      <c r="FHF281" s="414"/>
      <c r="FHI281" s="445"/>
      <c r="FHJ281" s="414"/>
      <c r="FHM281" s="445"/>
      <c r="FHN281" s="414"/>
      <c r="FHQ281" s="445"/>
      <c r="FHR281" s="414"/>
      <c r="FHU281" s="445"/>
      <c r="FHV281" s="414"/>
      <c r="FHY281" s="445"/>
      <c r="FHZ281" s="414"/>
      <c r="FIC281" s="445"/>
      <c r="FID281" s="414"/>
      <c r="FIG281" s="445"/>
      <c r="FIH281" s="414"/>
      <c r="FIK281" s="445"/>
      <c r="FIL281" s="414"/>
      <c r="FIO281" s="445"/>
      <c r="FIP281" s="414"/>
      <c r="FIS281" s="445"/>
      <c r="FIT281" s="414"/>
      <c r="FIW281" s="445"/>
      <c r="FIX281" s="414"/>
      <c r="FJA281" s="445"/>
      <c r="FJB281" s="414"/>
      <c r="FJE281" s="445"/>
      <c r="FJF281" s="414"/>
      <c r="FJI281" s="445"/>
      <c r="FJJ281" s="414"/>
      <c r="FJM281" s="445"/>
      <c r="FJN281" s="414"/>
      <c r="FJQ281" s="445"/>
      <c r="FJR281" s="414"/>
      <c r="FJU281" s="445"/>
      <c r="FJV281" s="414"/>
      <c r="FJY281" s="445"/>
      <c r="FJZ281" s="414"/>
      <c r="FKC281" s="445"/>
      <c r="FKD281" s="414"/>
      <c r="FKG281" s="445"/>
      <c r="FKH281" s="414"/>
      <c r="FKK281" s="445"/>
      <c r="FKL281" s="414"/>
      <c r="FKO281" s="445"/>
      <c r="FKP281" s="414"/>
      <c r="FKS281" s="445"/>
      <c r="FKT281" s="414"/>
      <c r="FKW281" s="445"/>
      <c r="FKX281" s="414"/>
      <c r="FLA281" s="445"/>
      <c r="FLB281" s="414"/>
      <c r="FLE281" s="445"/>
      <c r="FLF281" s="414"/>
      <c r="FLI281" s="445"/>
      <c r="FLJ281" s="414"/>
      <c r="FLM281" s="445"/>
      <c r="FLN281" s="414"/>
      <c r="FLQ281" s="445"/>
      <c r="FLR281" s="414"/>
      <c r="FLU281" s="445"/>
      <c r="FLV281" s="414"/>
      <c r="FLY281" s="445"/>
      <c r="FLZ281" s="414"/>
      <c r="FMC281" s="445"/>
      <c r="FMD281" s="414"/>
      <c r="FMG281" s="445"/>
      <c r="FMH281" s="414"/>
      <c r="FMK281" s="445"/>
      <c r="FML281" s="414"/>
      <c r="FMO281" s="445"/>
      <c r="FMP281" s="414"/>
      <c r="FMS281" s="445"/>
      <c r="FMT281" s="414"/>
      <c r="FMW281" s="445"/>
      <c r="FMX281" s="414"/>
      <c r="FNA281" s="445"/>
      <c r="FNB281" s="414"/>
      <c r="FNE281" s="445"/>
      <c r="FNF281" s="414"/>
      <c r="FNI281" s="445"/>
      <c r="FNJ281" s="414"/>
      <c r="FNM281" s="445"/>
      <c r="FNN281" s="414"/>
      <c r="FNQ281" s="445"/>
      <c r="FNR281" s="414"/>
      <c r="FNU281" s="445"/>
      <c r="FNV281" s="414"/>
      <c r="FNY281" s="445"/>
      <c r="FNZ281" s="414"/>
      <c r="FOC281" s="445"/>
      <c r="FOD281" s="414"/>
      <c r="FOG281" s="445"/>
      <c r="FOH281" s="414"/>
      <c r="FOK281" s="445"/>
      <c r="FOL281" s="414"/>
      <c r="FOO281" s="445"/>
      <c r="FOP281" s="414"/>
      <c r="FOS281" s="445"/>
      <c r="FOT281" s="414"/>
      <c r="FOW281" s="445"/>
      <c r="FOX281" s="414"/>
      <c r="FPA281" s="445"/>
      <c r="FPB281" s="414"/>
      <c r="FPE281" s="445"/>
      <c r="FPF281" s="414"/>
      <c r="FPI281" s="445"/>
      <c r="FPJ281" s="414"/>
      <c r="FPM281" s="445"/>
      <c r="FPN281" s="414"/>
      <c r="FPQ281" s="445"/>
      <c r="FPR281" s="414"/>
      <c r="FPU281" s="445"/>
      <c r="FPV281" s="414"/>
      <c r="FPY281" s="445"/>
      <c r="FPZ281" s="414"/>
      <c r="FQC281" s="445"/>
      <c r="FQD281" s="414"/>
      <c r="FQG281" s="445"/>
      <c r="FQH281" s="414"/>
      <c r="FQK281" s="445"/>
      <c r="FQL281" s="414"/>
      <c r="FQO281" s="445"/>
      <c r="FQP281" s="414"/>
      <c r="FQS281" s="445"/>
      <c r="FQT281" s="414"/>
      <c r="FQW281" s="445"/>
      <c r="FQX281" s="414"/>
      <c r="FRA281" s="445"/>
      <c r="FRB281" s="414"/>
      <c r="FRE281" s="445"/>
      <c r="FRF281" s="414"/>
      <c r="FRI281" s="445"/>
      <c r="FRJ281" s="414"/>
      <c r="FRM281" s="445"/>
      <c r="FRN281" s="414"/>
      <c r="FRQ281" s="445"/>
      <c r="FRR281" s="414"/>
      <c r="FRU281" s="445"/>
      <c r="FRV281" s="414"/>
      <c r="FRY281" s="445"/>
      <c r="FRZ281" s="414"/>
      <c r="FSC281" s="445"/>
      <c r="FSD281" s="414"/>
      <c r="FSG281" s="445"/>
      <c r="FSH281" s="414"/>
      <c r="FSK281" s="445"/>
      <c r="FSL281" s="414"/>
      <c r="FSO281" s="445"/>
      <c r="FSP281" s="414"/>
      <c r="FSS281" s="445"/>
      <c r="FST281" s="414"/>
      <c r="FSW281" s="445"/>
      <c r="FSX281" s="414"/>
      <c r="FTA281" s="445"/>
      <c r="FTB281" s="414"/>
      <c r="FTE281" s="445"/>
      <c r="FTF281" s="414"/>
      <c r="FTI281" s="445"/>
      <c r="FTJ281" s="414"/>
      <c r="FTM281" s="445"/>
      <c r="FTN281" s="414"/>
      <c r="FTQ281" s="445"/>
      <c r="FTR281" s="414"/>
      <c r="FTU281" s="445"/>
      <c r="FTV281" s="414"/>
      <c r="FTY281" s="445"/>
      <c r="FTZ281" s="414"/>
      <c r="FUC281" s="445"/>
      <c r="FUD281" s="414"/>
      <c r="FUG281" s="445"/>
      <c r="FUH281" s="414"/>
      <c r="FUK281" s="445"/>
      <c r="FUL281" s="414"/>
      <c r="FUO281" s="445"/>
      <c r="FUP281" s="414"/>
      <c r="FUS281" s="445"/>
      <c r="FUT281" s="414"/>
      <c r="FUW281" s="445"/>
      <c r="FUX281" s="414"/>
      <c r="FVA281" s="445"/>
      <c r="FVB281" s="414"/>
      <c r="FVE281" s="445"/>
      <c r="FVF281" s="414"/>
      <c r="FVI281" s="445"/>
      <c r="FVJ281" s="414"/>
      <c r="FVM281" s="445"/>
      <c r="FVN281" s="414"/>
      <c r="FVQ281" s="445"/>
      <c r="FVR281" s="414"/>
      <c r="FVU281" s="445"/>
      <c r="FVV281" s="414"/>
      <c r="FVY281" s="445"/>
      <c r="FVZ281" s="414"/>
      <c r="FWC281" s="445"/>
      <c r="FWD281" s="414"/>
      <c r="FWG281" s="445"/>
      <c r="FWH281" s="414"/>
      <c r="FWK281" s="445"/>
      <c r="FWL281" s="414"/>
      <c r="FWO281" s="445"/>
      <c r="FWP281" s="414"/>
      <c r="FWS281" s="445"/>
      <c r="FWT281" s="414"/>
      <c r="FWW281" s="445"/>
      <c r="FWX281" s="414"/>
      <c r="FXA281" s="445"/>
      <c r="FXB281" s="414"/>
      <c r="FXE281" s="445"/>
      <c r="FXF281" s="414"/>
      <c r="FXI281" s="445"/>
      <c r="FXJ281" s="414"/>
      <c r="FXM281" s="445"/>
      <c r="FXN281" s="414"/>
      <c r="FXQ281" s="445"/>
      <c r="FXR281" s="414"/>
      <c r="FXU281" s="445"/>
      <c r="FXV281" s="414"/>
      <c r="FXY281" s="445"/>
      <c r="FXZ281" s="414"/>
      <c r="FYC281" s="445"/>
      <c r="FYD281" s="414"/>
      <c r="FYG281" s="445"/>
      <c r="FYH281" s="414"/>
      <c r="FYK281" s="445"/>
      <c r="FYL281" s="414"/>
      <c r="FYO281" s="445"/>
      <c r="FYP281" s="414"/>
      <c r="FYS281" s="445"/>
      <c r="FYT281" s="414"/>
      <c r="FYW281" s="445"/>
      <c r="FYX281" s="414"/>
      <c r="FZA281" s="445"/>
      <c r="FZB281" s="414"/>
      <c r="FZE281" s="445"/>
      <c r="FZF281" s="414"/>
      <c r="FZI281" s="445"/>
      <c r="FZJ281" s="414"/>
      <c r="FZM281" s="445"/>
      <c r="FZN281" s="414"/>
      <c r="FZQ281" s="445"/>
      <c r="FZR281" s="414"/>
      <c r="FZU281" s="445"/>
      <c r="FZV281" s="414"/>
      <c r="FZY281" s="445"/>
      <c r="FZZ281" s="414"/>
      <c r="GAC281" s="445"/>
      <c r="GAD281" s="414"/>
      <c r="GAG281" s="445"/>
      <c r="GAH281" s="414"/>
      <c r="GAK281" s="445"/>
      <c r="GAL281" s="414"/>
      <c r="GAO281" s="445"/>
      <c r="GAP281" s="414"/>
      <c r="GAS281" s="445"/>
      <c r="GAT281" s="414"/>
      <c r="GAW281" s="445"/>
      <c r="GAX281" s="414"/>
      <c r="GBA281" s="445"/>
      <c r="GBB281" s="414"/>
      <c r="GBE281" s="445"/>
      <c r="GBF281" s="414"/>
      <c r="GBI281" s="445"/>
      <c r="GBJ281" s="414"/>
      <c r="GBM281" s="445"/>
      <c r="GBN281" s="414"/>
      <c r="GBQ281" s="445"/>
      <c r="GBR281" s="414"/>
      <c r="GBU281" s="445"/>
      <c r="GBV281" s="414"/>
      <c r="GBY281" s="445"/>
      <c r="GBZ281" s="414"/>
      <c r="GCC281" s="445"/>
      <c r="GCD281" s="414"/>
      <c r="GCG281" s="445"/>
      <c r="GCH281" s="414"/>
      <c r="GCK281" s="445"/>
      <c r="GCL281" s="414"/>
      <c r="GCO281" s="445"/>
      <c r="GCP281" s="414"/>
      <c r="GCS281" s="445"/>
      <c r="GCT281" s="414"/>
      <c r="GCW281" s="445"/>
      <c r="GCX281" s="414"/>
      <c r="GDA281" s="445"/>
      <c r="GDB281" s="414"/>
      <c r="GDE281" s="445"/>
      <c r="GDF281" s="414"/>
      <c r="GDI281" s="445"/>
      <c r="GDJ281" s="414"/>
      <c r="GDM281" s="445"/>
      <c r="GDN281" s="414"/>
      <c r="GDQ281" s="445"/>
      <c r="GDR281" s="414"/>
      <c r="GDU281" s="445"/>
      <c r="GDV281" s="414"/>
      <c r="GDY281" s="445"/>
      <c r="GDZ281" s="414"/>
      <c r="GEC281" s="445"/>
      <c r="GED281" s="414"/>
      <c r="GEG281" s="445"/>
      <c r="GEH281" s="414"/>
      <c r="GEK281" s="445"/>
      <c r="GEL281" s="414"/>
      <c r="GEO281" s="445"/>
      <c r="GEP281" s="414"/>
      <c r="GES281" s="445"/>
      <c r="GET281" s="414"/>
      <c r="GEW281" s="445"/>
      <c r="GEX281" s="414"/>
      <c r="GFA281" s="445"/>
      <c r="GFB281" s="414"/>
      <c r="GFE281" s="445"/>
      <c r="GFF281" s="414"/>
      <c r="GFI281" s="445"/>
      <c r="GFJ281" s="414"/>
      <c r="GFM281" s="445"/>
      <c r="GFN281" s="414"/>
      <c r="GFQ281" s="445"/>
      <c r="GFR281" s="414"/>
      <c r="GFU281" s="445"/>
      <c r="GFV281" s="414"/>
      <c r="GFY281" s="445"/>
      <c r="GFZ281" s="414"/>
      <c r="GGC281" s="445"/>
      <c r="GGD281" s="414"/>
      <c r="GGG281" s="445"/>
      <c r="GGH281" s="414"/>
      <c r="GGK281" s="445"/>
      <c r="GGL281" s="414"/>
      <c r="GGO281" s="445"/>
      <c r="GGP281" s="414"/>
      <c r="GGS281" s="445"/>
      <c r="GGT281" s="414"/>
      <c r="GGW281" s="445"/>
      <c r="GGX281" s="414"/>
      <c r="GHA281" s="445"/>
      <c r="GHB281" s="414"/>
      <c r="GHE281" s="445"/>
      <c r="GHF281" s="414"/>
      <c r="GHI281" s="445"/>
      <c r="GHJ281" s="414"/>
      <c r="GHM281" s="445"/>
      <c r="GHN281" s="414"/>
      <c r="GHQ281" s="445"/>
      <c r="GHR281" s="414"/>
      <c r="GHU281" s="445"/>
      <c r="GHV281" s="414"/>
      <c r="GHY281" s="445"/>
      <c r="GHZ281" s="414"/>
      <c r="GIC281" s="445"/>
      <c r="GID281" s="414"/>
      <c r="GIG281" s="445"/>
      <c r="GIH281" s="414"/>
      <c r="GIK281" s="445"/>
      <c r="GIL281" s="414"/>
      <c r="GIO281" s="445"/>
      <c r="GIP281" s="414"/>
      <c r="GIS281" s="445"/>
      <c r="GIT281" s="414"/>
      <c r="GIW281" s="445"/>
      <c r="GIX281" s="414"/>
      <c r="GJA281" s="445"/>
      <c r="GJB281" s="414"/>
      <c r="GJE281" s="445"/>
      <c r="GJF281" s="414"/>
      <c r="GJI281" s="445"/>
      <c r="GJJ281" s="414"/>
      <c r="GJM281" s="445"/>
      <c r="GJN281" s="414"/>
      <c r="GJQ281" s="445"/>
      <c r="GJR281" s="414"/>
      <c r="GJU281" s="445"/>
      <c r="GJV281" s="414"/>
      <c r="GJY281" s="445"/>
      <c r="GJZ281" s="414"/>
      <c r="GKC281" s="445"/>
      <c r="GKD281" s="414"/>
      <c r="GKG281" s="445"/>
      <c r="GKH281" s="414"/>
      <c r="GKK281" s="445"/>
      <c r="GKL281" s="414"/>
      <c r="GKO281" s="445"/>
      <c r="GKP281" s="414"/>
      <c r="GKS281" s="445"/>
      <c r="GKT281" s="414"/>
      <c r="GKW281" s="445"/>
      <c r="GKX281" s="414"/>
      <c r="GLA281" s="445"/>
      <c r="GLB281" s="414"/>
      <c r="GLE281" s="445"/>
      <c r="GLF281" s="414"/>
      <c r="GLI281" s="445"/>
      <c r="GLJ281" s="414"/>
      <c r="GLM281" s="445"/>
      <c r="GLN281" s="414"/>
      <c r="GLQ281" s="445"/>
      <c r="GLR281" s="414"/>
      <c r="GLU281" s="445"/>
      <c r="GLV281" s="414"/>
      <c r="GLY281" s="445"/>
      <c r="GLZ281" s="414"/>
      <c r="GMC281" s="445"/>
      <c r="GMD281" s="414"/>
      <c r="GMG281" s="445"/>
      <c r="GMH281" s="414"/>
      <c r="GMK281" s="445"/>
      <c r="GML281" s="414"/>
      <c r="GMO281" s="445"/>
      <c r="GMP281" s="414"/>
      <c r="GMS281" s="445"/>
      <c r="GMT281" s="414"/>
      <c r="GMW281" s="445"/>
      <c r="GMX281" s="414"/>
      <c r="GNA281" s="445"/>
      <c r="GNB281" s="414"/>
      <c r="GNE281" s="445"/>
      <c r="GNF281" s="414"/>
      <c r="GNI281" s="445"/>
      <c r="GNJ281" s="414"/>
      <c r="GNM281" s="445"/>
      <c r="GNN281" s="414"/>
      <c r="GNQ281" s="445"/>
      <c r="GNR281" s="414"/>
      <c r="GNU281" s="445"/>
      <c r="GNV281" s="414"/>
      <c r="GNY281" s="445"/>
      <c r="GNZ281" s="414"/>
      <c r="GOC281" s="445"/>
      <c r="GOD281" s="414"/>
      <c r="GOG281" s="445"/>
      <c r="GOH281" s="414"/>
      <c r="GOK281" s="445"/>
      <c r="GOL281" s="414"/>
      <c r="GOO281" s="445"/>
      <c r="GOP281" s="414"/>
      <c r="GOS281" s="445"/>
      <c r="GOT281" s="414"/>
      <c r="GOW281" s="445"/>
      <c r="GOX281" s="414"/>
      <c r="GPA281" s="445"/>
      <c r="GPB281" s="414"/>
      <c r="GPE281" s="445"/>
      <c r="GPF281" s="414"/>
      <c r="GPI281" s="445"/>
      <c r="GPJ281" s="414"/>
      <c r="GPM281" s="445"/>
      <c r="GPN281" s="414"/>
      <c r="GPQ281" s="445"/>
      <c r="GPR281" s="414"/>
      <c r="GPU281" s="445"/>
      <c r="GPV281" s="414"/>
      <c r="GPY281" s="445"/>
      <c r="GPZ281" s="414"/>
      <c r="GQC281" s="445"/>
      <c r="GQD281" s="414"/>
      <c r="GQG281" s="445"/>
      <c r="GQH281" s="414"/>
      <c r="GQK281" s="445"/>
      <c r="GQL281" s="414"/>
      <c r="GQO281" s="445"/>
      <c r="GQP281" s="414"/>
      <c r="GQS281" s="445"/>
      <c r="GQT281" s="414"/>
      <c r="GQW281" s="445"/>
      <c r="GQX281" s="414"/>
      <c r="GRA281" s="445"/>
      <c r="GRB281" s="414"/>
      <c r="GRE281" s="445"/>
      <c r="GRF281" s="414"/>
      <c r="GRI281" s="445"/>
      <c r="GRJ281" s="414"/>
      <c r="GRM281" s="445"/>
      <c r="GRN281" s="414"/>
      <c r="GRQ281" s="445"/>
      <c r="GRR281" s="414"/>
      <c r="GRU281" s="445"/>
      <c r="GRV281" s="414"/>
      <c r="GRY281" s="445"/>
      <c r="GRZ281" s="414"/>
      <c r="GSC281" s="445"/>
      <c r="GSD281" s="414"/>
      <c r="GSG281" s="445"/>
      <c r="GSH281" s="414"/>
      <c r="GSK281" s="445"/>
      <c r="GSL281" s="414"/>
      <c r="GSO281" s="445"/>
      <c r="GSP281" s="414"/>
      <c r="GSS281" s="445"/>
      <c r="GST281" s="414"/>
      <c r="GSW281" s="445"/>
      <c r="GSX281" s="414"/>
      <c r="GTA281" s="445"/>
      <c r="GTB281" s="414"/>
      <c r="GTE281" s="445"/>
      <c r="GTF281" s="414"/>
      <c r="GTI281" s="445"/>
      <c r="GTJ281" s="414"/>
      <c r="GTM281" s="445"/>
      <c r="GTN281" s="414"/>
      <c r="GTQ281" s="445"/>
      <c r="GTR281" s="414"/>
      <c r="GTU281" s="445"/>
      <c r="GTV281" s="414"/>
      <c r="GTY281" s="445"/>
      <c r="GTZ281" s="414"/>
      <c r="GUC281" s="445"/>
      <c r="GUD281" s="414"/>
      <c r="GUG281" s="445"/>
      <c r="GUH281" s="414"/>
      <c r="GUK281" s="445"/>
      <c r="GUL281" s="414"/>
      <c r="GUO281" s="445"/>
      <c r="GUP281" s="414"/>
      <c r="GUS281" s="445"/>
      <c r="GUT281" s="414"/>
      <c r="GUW281" s="445"/>
      <c r="GUX281" s="414"/>
      <c r="GVA281" s="445"/>
      <c r="GVB281" s="414"/>
      <c r="GVE281" s="445"/>
      <c r="GVF281" s="414"/>
      <c r="GVI281" s="445"/>
      <c r="GVJ281" s="414"/>
      <c r="GVM281" s="445"/>
      <c r="GVN281" s="414"/>
      <c r="GVQ281" s="445"/>
      <c r="GVR281" s="414"/>
      <c r="GVU281" s="445"/>
      <c r="GVV281" s="414"/>
      <c r="GVY281" s="445"/>
      <c r="GVZ281" s="414"/>
      <c r="GWC281" s="445"/>
      <c r="GWD281" s="414"/>
      <c r="GWG281" s="445"/>
      <c r="GWH281" s="414"/>
      <c r="GWK281" s="445"/>
      <c r="GWL281" s="414"/>
      <c r="GWO281" s="445"/>
      <c r="GWP281" s="414"/>
      <c r="GWS281" s="445"/>
      <c r="GWT281" s="414"/>
      <c r="GWW281" s="445"/>
      <c r="GWX281" s="414"/>
      <c r="GXA281" s="445"/>
      <c r="GXB281" s="414"/>
      <c r="GXE281" s="445"/>
      <c r="GXF281" s="414"/>
      <c r="GXI281" s="445"/>
      <c r="GXJ281" s="414"/>
      <c r="GXM281" s="445"/>
      <c r="GXN281" s="414"/>
      <c r="GXQ281" s="445"/>
      <c r="GXR281" s="414"/>
      <c r="GXU281" s="445"/>
      <c r="GXV281" s="414"/>
      <c r="GXY281" s="445"/>
      <c r="GXZ281" s="414"/>
      <c r="GYC281" s="445"/>
      <c r="GYD281" s="414"/>
      <c r="GYG281" s="445"/>
      <c r="GYH281" s="414"/>
      <c r="GYK281" s="445"/>
      <c r="GYL281" s="414"/>
      <c r="GYO281" s="445"/>
      <c r="GYP281" s="414"/>
      <c r="GYS281" s="445"/>
      <c r="GYT281" s="414"/>
      <c r="GYW281" s="445"/>
      <c r="GYX281" s="414"/>
      <c r="GZA281" s="445"/>
      <c r="GZB281" s="414"/>
      <c r="GZE281" s="445"/>
      <c r="GZF281" s="414"/>
      <c r="GZI281" s="445"/>
      <c r="GZJ281" s="414"/>
      <c r="GZM281" s="445"/>
      <c r="GZN281" s="414"/>
      <c r="GZQ281" s="445"/>
      <c r="GZR281" s="414"/>
      <c r="GZU281" s="445"/>
      <c r="GZV281" s="414"/>
      <c r="GZY281" s="445"/>
      <c r="GZZ281" s="414"/>
      <c r="HAC281" s="445"/>
      <c r="HAD281" s="414"/>
      <c r="HAG281" s="445"/>
      <c r="HAH281" s="414"/>
      <c r="HAK281" s="445"/>
      <c r="HAL281" s="414"/>
      <c r="HAO281" s="445"/>
      <c r="HAP281" s="414"/>
      <c r="HAS281" s="445"/>
      <c r="HAT281" s="414"/>
      <c r="HAW281" s="445"/>
      <c r="HAX281" s="414"/>
      <c r="HBA281" s="445"/>
      <c r="HBB281" s="414"/>
      <c r="HBE281" s="445"/>
      <c r="HBF281" s="414"/>
      <c r="HBI281" s="445"/>
      <c r="HBJ281" s="414"/>
      <c r="HBM281" s="445"/>
      <c r="HBN281" s="414"/>
      <c r="HBQ281" s="445"/>
      <c r="HBR281" s="414"/>
      <c r="HBU281" s="445"/>
      <c r="HBV281" s="414"/>
      <c r="HBY281" s="445"/>
      <c r="HBZ281" s="414"/>
      <c r="HCC281" s="445"/>
      <c r="HCD281" s="414"/>
      <c r="HCG281" s="445"/>
      <c r="HCH281" s="414"/>
      <c r="HCK281" s="445"/>
      <c r="HCL281" s="414"/>
      <c r="HCO281" s="445"/>
      <c r="HCP281" s="414"/>
      <c r="HCS281" s="445"/>
      <c r="HCT281" s="414"/>
      <c r="HCW281" s="445"/>
      <c r="HCX281" s="414"/>
      <c r="HDA281" s="445"/>
      <c r="HDB281" s="414"/>
      <c r="HDE281" s="445"/>
      <c r="HDF281" s="414"/>
      <c r="HDI281" s="445"/>
      <c r="HDJ281" s="414"/>
      <c r="HDM281" s="445"/>
      <c r="HDN281" s="414"/>
      <c r="HDQ281" s="445"/>
      <c r="HDR281" s="414"/>
      <c r="HDU281" s="445"/>
      <c r="HDV281" s="414"/>
      <c r="HDY281" s="445"/>
      <c r="HDZ281" s="414"/>
      <c r="HEC281" s="445"/>
      <c r="HED281" s="414"/>
      <c r="HEG281" s="445"/>
      <c r="HEH281" s="414"/>
      <c r="HEK281" s="445"/>
      <c r="HEL281" s="414"/>
      <c r="HEO281" s="445"/>
      <c r="HEP281" s="414"/>
      <c r="HES281" s="445"/>
      <c r="HET281" s="414"/>
      <c r="HEW281" s="445"/>
      <c r="HEX281" s="414"/>
      <c r="HFA281" s="445"/>
      <c r="HFB281" s="414"/>
      <c r="HFE281" s="445"/>
      <c r="HFF281" s="414"/>
      <c r="HFI281" s="445"/>
      <c r="HFJ281" s="414"/>
      <c r="HFM281" s="445"/>
      <c r="HFN281" s="414"/>
      <c r="HFQ281" s="445"/>
      <c r="HFR281" s="414"/>
      <c r="HFU281" s="445"/>
      <c r="HFV281" s="414"/>
      <c r="HFY281" s="445"/>
      <c r="HFZ281" s="414"/>
      <c r="HGC281" s="445"/>
      <c r="HGD281" s="414"/>
      <c r="HGG281" s="445"/>
      <c r="HGH281" s="414"/>
      <c r="HGK281" s="445"/>
      <c r="HGL281" s="414"/>
      <c r="HGO281" s="445"/>
      <c r="HGP281" s="414"/>
      <c r="HGS281" s="445"/>
      <c r="HGT281" s="414"/>
      <c r="HGW281" s="445"/>
      <c r="HGX281" s="414"/>
      <c r="HHA281" s="445"/>
      <c r="HHB281" s="414"/>
      <c r="HHE281" s="445"/>
      <c r="HHF281" s="414"/>
      <c r="HHI281" s="445"/>
      <c r="HHJ281" s="414"/>
      <c r="HHM281" s="445"/>
      <c r="HHN281" s="414"/>
      <c r="HHQ281" s="445"/>
      <c r="HHR281" s="414"/>
      <c r="HHU281" s="445"/>
      <c r="HHV281" s="414"/>
      <c r="HHY281" s="445"/>
      <c r="HHZ281" s="414"/>
      <c r="HIC281" s="445"/>
      <c r="HID281" s="414"/>
      <c r="HIG281" s="445"/>
      <c r="HIH281" s="414"/>
      <c r="HIK281" s="445"/>
      <c r="HIL281" s="414"/>
      <c r="HIO281" s="445"/>
      <c r="HIP281" s="414"/>
      <c r="HIS281" s="445"/>
      <c r="HIT281" s="414"/>
      <c r="HIW281" s="445"/>
      <c r="HIX281" s="414"/>
      <c r="HJA281" s="445"/>
      <c r="HJB281" s="414"/>
      <c r="HJE281" s="445"/>
      <c r="HJF281" s="414"/>
      <c r="HJI281" s="445"/>
      <c r="HJJ281" s="414"/>
      <c r="HJM281" s="445"/>
      <c r="HJN281" s="414"/>
      <c r="HJQ281" s="445"/>
      <c r="HJR281" s="414"/>
      <c r="HJU281" s="445"/>
      <c r="HJV281" s="414"/>
      <c r="HJY281" s="445"/>
      <c r="HJZ281" s="414"/>
      <c r="HKC281" s="445"/>
      <c r="HKD281" s="414"/>
      <c r="HKG281" s="445"/>
      <c r="HKH281" s="414"/>
      <c r="HKK281" s="445"/>
      <c r="HKL281" s="414"/>
      <c r="HKO281" s="445"/>
      <c r="HKP281" s="414"/>
      <c r="HKS281" s="445"/>
      <c r="HKT281" s="414"/>
      <c r="HKW281" s="445"/>
      <c r="HKX281" s="414"/>
      <c r="HLA281" s="445"/>
      <c r="HLB281" s="414"/>
      <c r="HLE281" s="445"/>
      <c r="HLF281" s="414"/>
      <c r="HLI281" s="445"/>
      <c r="HLJ281" s="414"/>
      <c r="HLM281" s="445"/>
      <c r="HLN281" s="414"/>
      <c r="HLQ281" s="445"/>
      <c r="HLR281" s="414"/>
      <c r="HLU281" s="445"/>
      <c r="HLV281" s="414"/>
      <c r="HLY281" s="445"/>
      <c r="HLZ281" s="414"/>
      <c r="HMC281" s="445"/>
      <c r="HMD281" s="414"/>
      <c r="HMG281" s="445"/>
      <c r="HMH281" s="414"/>
      <c r="HMK281" s="445"/>
      <c r="HML281" s="414"/>
      <c r="HMO281" s="445"/>
      <c r="HMP281" s="414"/>
      <c r="HMS281" s="445"/>
      <c r="HMT281" s="414"/>
      <c r="HMW281" s="445"/>
      <c r="HMX281" s="414"/>
      <c r="HNA281" s="445"/>
      <c r="HNB281" s="414"/>
      <c r="HNE281" s="445"/>
      <c r="HNF281" s="414"/>
      <c r="HNI281" s="445"/>
      <c r="HNJ281" s="414"/>
      <c r="HNM281" s="445"/>
      <c r="HNN281" s="414"/>
      <c r="HNQ281" s="445"/>
      <c r="HNR281" s="414"/>
      <c r="HNU281" s="445"/>
      <c r="HNV281" s="414"/>
      <c r="HNY281" s="445"/>
      <c r="HNZ281" s="414"/>
      <c r="HOC281" s="445"/>
      <c r="HOD281" s="414"/>
      <c r="HOG281" s="445"/>
      <c r="HOH281" s="414"/>
      <c r="HOK281" s="445"/>
      <c r="HOL281" s="414"/>
      <c r="HOO281" s="445"/>
      <c r="HOP281" s="414"/>
      <c r="HOS281" s="445"/>
      <c r="HOT281" s="414"/>
      <c r="HOW281" s="445"/>
      <c r="HOX281" s="414"/>
      <c r="HPA281" s="445"/>
      <c r="HPB281" s="414"/>
      <c r="HPE281" s="445"/>
      <c r="HPF281" s="414"/>
      <c r="HPI281" s="445"/>
      <c r="HPJ281" s="414"/>
      <c r="HPM281" s="445"/>
      <c r="HPN281" s="414"/>
      <c r="HPQ281" s="445"/>
      <c r="HPR281" s="414"/>
      <c r="HPU281" s="445"/>
      <c r="HPV281" s="414"/>
      <c r="HPY281" s="445"/>
      <c r="HPZ281" s="414"/>
      <c r="HQC281" s="445"/>
      <c r="HQD281" s="414"/>
      <c r="HQG281" s="445"/>
      <c r="HQH281" s="414"/>
      <c r="HQK281" s="445"/>
      <c r="HQL281" s="414"/>
      <c r="HQO281" s="445"/>
      <c r="HQP281" s="414"/>
      <c r="HQS281" s="445"/>
      <c r="HQT281" s="414"/>
      <c r="HQW281" s="445"/>
      <c r="HQX281" s="414"/>
      <c r="HRA281" s="445"/>
      <c r="HRB281" s="414"/>
      <c r="HRE281" s="445"/>
      <c r="HRF281" s="414"/>
      <c r="HRI281" s="445"/>
      <c r="HRJ281" s="414"/>
      <c r="HRM281" s="445"/>
      <c r="HRN281" s="414"/>
      <c r="HRQ281" s="445"/>
      <c r="HRR281" s="414"/>
      <c r="HRU281" s="445"/>
      <c r="HRV281" s="414"/>
      <c r="HRY281" s="445"/>
      <c r="HRZ281" s="414"/>
      <c r="HSC281" s="445"/>
      <c r="HSD281" s="414"/>
      <c r="HSG281" s="445"/>
      <c r="HSH281" s="414"/>
      <c r="HSK281" s="445"/>
      <c r="HSL281" s="414"/>
      <c r="HSO281" s="445"/>
      <c r="HSP281" s="414"/>
      <c r="HSS281" s="445"/>
      <c r="HST281" s="414"/>
      <c r="HSW281" s="445"/>
      <c r="HSX281" s="414"/>
      <c r="HTA281" s="445"/>
      <c r="HTB281" s="414"/>
      <c r="HTE281" s="445"/>
      <c r="HTF281" s="414"/>
      <c r="HTI281" s="445"/>
      <c r="HTJ281" s="414"/>
      <c r="HTM281" s="445"/>
      <c r="HTN281" s="414"/>
      <c r="HTQ281" s="445"/>
      <c r="HTR281" s="414"/>
      <c r="HTU281" s="445"/>
      <c r="HTV281" s="414"/>
      <c r="HTY281" s="445"/>
      <c r="HTZ281" s="414"/>
      <c r="HUC281" s="445"/>
      <c r="HUD281" s="414"/>
      <c r="HUG281" s="445"/>
      <c r="HUH281" s="414"/>
      <c r="HUK281" s="445"/>
      <c r="HUL281" s="414"/>
      <c r="HUO281" s="445"/>
      <c r="HUP281" s="414"/>
      <c r="HUS281" s="445"/>
      <c r="HUT281" s="414"/>
      <c r="HUW281" s="445"/>
      <c r="HUX281" s="414"/>
      <c r="HVA281" s="445"/>
      <c r="HVB281" s="414"/>
      <c r="HVE281" s="445"/>
      <c r="HVF281" s="414"/>
      <c r="HVI281" s="445"/>
      <c r="HVJ281" s="414"/>
      <c r="HVM281" s="445"/>
      <c r="HVN281" s="414"/>
      <c r="HVQ281" s="445"/>
      <c r="HVR281" s="414"/>
      <c r="HVU281" s="445"/>
      <c r="HVV281" s="414"/>
      <c r="HVY281" s="445"/>
      <c r="HVZ281" s="414"/>
      <c r="HWC281" s="445"/>
      <c r="HWD281" s="414"/>
      <c r="HWG281" s="445"/>
      <c r="HWH281" s="414"/>
      <c r="HWK281" s="445"/>
      <c r="HWL281" s="414"/>
      <c r="HWO281" s="445"/>
      <c r="HWP281" s="414"/>
      <c r="HWS281" s="445"/>
      <c r="HWT281" s="414"/>
      <c r="HWW281" s="445"/>
      <c r="HWX281" s="414"/>
      <c r="HXA281" s="445"/>
      <c r="HXB281" s="414"/>
      <c r="HXE281" s="445"/>
      <c r="HXF281" s="414"/>
      <c r="HXI281" s="445"/>
      <c r="HXJ281" s="414"/>
      <c r="HXM281" s="445"/>
      <c r="HXN281" s="414"/>
      <c r="HXQ281" s="445"/>
      <c r="HXR281" s="414"/>
      <c r="HXU281" s="445"/>
      <c r="HXV281" s="414"/>
      <c r="HXY281" s="445"/>
      <c r="HXZ281" s="414"/>
      <c r="HYC281" s="445"/>
      <c r="HYD281" s="414"/>
      <c r="HYG281" s="445"/>
      <c r="HYH281" s="414"/>
      <c r="HYK281" s="445"/>
      <c r="HYL281" s="414"/>
      <c r="HYO281" s="445"/>
      <c r="HYP281" s="414"/>
      <c r="HYS281" s="445"/>
      <c r="HYT281" s="414"/>
      <c r="HYW281" s="445"/>
      <c r="HYX281" s="414"/>
      <c r="HZA281" s="445"/>
      <c r="HZB281" s="414"/>
      <c r="HZE281" s="445"/>
      <c r="HZF281" s="414"/>
      <c r="HZI281" s="445"/>
      <c r="HZJ281" s="414"/>
      <c r="HZM281" s="445"/>
      <c r="HZN281" s="414"/>
      <c r="HZQ281" s="445"/>
      <c r="HZR281" s="414"/>
      <c r="HZU281" s="445"/>
      <c r="HZV281" s="414"/>
      <c r="HZY281" s="445"/>
      <c r="HZZ281" s="414"/>
      <c r="IAC281" s="445"/>
      <c r="IAD281" s="414"/>
      <c r="IAG281" s="445"/>
      <c r="IAH281" s="414"/>
      <c r="IAK281" s="445"/>
      <c r="IAL281" s="414"/>
      <c r="IAO281" s="445"/>
      <c r="IAP281" s="414"/>
      <c r="IAS281" s="445"/>
      <c r="IAT281" s="414"/>
      <c r="IAW281" s="445"/>
      <c r="IAX281" s="414"/>
      <c r="IBA281" s="445"/>
      <c r="IBB281" s="414"/>
      <c r="IBE281" s="445"/>
      <c r="IBF281" s="414"/>
      <c r="IBI281" s="445"/>
      <c r="IBJ281" s="414"/>
      <c r="IBM281" s="445"/>
      <c r="IBN281" s="414"/>
      <c r="IBQ281" s="445"/>
      <c r="IBR281" s="414"/>
      <c r="IBU281" s="445"/>
      <c r="IBV281" s="414"/>
      <c r="IBY281" s="445"/>
      <c r="IBZ281" s="414"/>
      <c r="ICC281" s="445"/>
      <c r="ICD281" s="414"/>
      <c r="ICG281" s="445"/>
      <c r="ICH281" s="414"/>
      <c r="ICK281" s="445"/>
      <c r="ICL281" s="414"/>
      <c r="ICO281" s="445"/>
      <c r="ICP281" s="414"/>
      <c r="ICS281" s="445"/>
      <c r="ICT281" s="414"/>
      <c r="ICW281" s="445"/>
      <c r="ICX281" s="414"/>
      <c r="IDA281" s="445"/>
      <c r="IDB281" s="414"/>
      <c r="IDE281" s="445"/>
      <c r="IDF281" s="414"/>
      <c r="IDI281" s="445"/>
      <c r="IDJ281" s="414"/>
      <c r="IDM281" s="445"/>
      <c r="IDN281" s="414"/>
      <c r="IDQ281" s="445"/>
      <c r="IDR281" s="414"/>
      <c r="IDU281" s="445"/>
      <c r="IDV281" s="414"/>
      <c r="IDY281" s="445"/>
      <c r="IDZ281" s="414"/>
      <c r="IEC281" s="445"/>
      <c r="IED281" s="414"/>
      <c r="IEG281" s="445"/>
      <c r="IEH281" s="414"/>
      <c r="IEK281" s="445"/>
      <c r="IEL281" s="414"/>
      <c r="IEO281" s="445"/>
      <c r="IEP281" s="414"/>
      <c r="IES281" s="445"/>
      <c r="IET281" s="414"/>
      <c r="IEW281" s="445"/>
      <c r="IEX281" s="414"/>
      <c r="IFA281" s="445"/>
      <c r="IFB281" s="414"/>
      <c r="IFE281" s="445"/>
      <c r="IFF281" s="414"/>
      <c r="IFI281" s="445"/>
      <c r="IFJ281" s="414"/>
      <c r="IFM281" s="445"/>
      <c r="IFN281" s="414"/>
      <c r="IFQ281" s="445"/>
      <c r="IFR281" s="414"/>
      <c r="IFU281" s="445"/>
      <c r="IFV281" s="414"/>
      <c r="IFY281" s="445"/>
      <c r="IFZ281" s="414"/>
      <c r="IGC281" s="445"/>
      <c r="IGD281" s="414"/>
      <c r="IGG281" s="445"/>
      <c r="IGH281" s="414"/>
      <c r="IGK281" s="445"/>
      <c r="IGL281" s="414"/>
      <c r="IGO281" s="445"/>
      <c r="IGP281" s="414"/>
      <c r="IGS281" s="445"/>
      <c r="IGT281" s="414"/>
      <c r="IGW281" s="445"/>
      <c r="IGX281" s="414"/>
      <c r="IHA281" s="445"/>
      <c r="IHB281" s="414"/>
      <c r="IHE281" s="445"/>
      <c r="IHF281" s="414"/>
      <c r="IHI281" s="445"/>
      <c r="IHJ281" s="414"/>
      <c r="IHM281" s="445"/>
      <c r="IHN281" s="414"/>
      <c r="IHQ281" s="445"/>
      <c r="IHR281" s="414"/>
      <c r="IHU281" s="445"/>
      <c r="IHV281" s="414"/>
      <c r="IHY281" s="445"/>
      <c r="IHZ281" s="414"/>
      <c r="IIC281" s="445"/>
      <c r="IID281" s="414"/>
      <c r="IIG281" s="445"/>
      <c r="IIH281" s="414"/>
      <c r="IIK281" s="445"/>
      <c r="IIL281" s="414"/>
      <c r="IIO281" s="445"/>
      <c r="IIP281" s="414"/>
      <c r="IIS281" s="445"/>
      <c r="IIT281" s="414"/>
      <c r="IIW281" s="445"/>
      <c r="IIX281" s="414"/>
      <c r="IJA281" s="445"/>
      <c r="IJB281" s="414"/>
      <c r="IJE281" s="445"/>
      <c r="IJF281" s="414"/>
      <c r="IJI281" s="445"/>
      <c r="IJJ281" s="414"/>
      <c r="IJM281" s="445"/>
      <c r="IJN281" s="414"/>
      <c r="IJQ281" s="445"/>
      <c r="IJR281" s="414"/>
      <c r="IJU281" s="445"/>
      <c r="IJV281" s="414"/>
      <c r="IJY281" s="445"/>
      <c r="IJZ281" s="414"/>
      <c r="IKC281" s="445"/>
      <c r="IKD281" s="414"/>
      <c r="IKG281" s="445"/>
      <c r="IKH281" s="414"/>
      <c r="IKK281" s="445"/>
      <c r="IKL281" s="414"/>
      <c r="IKO281" s="445"/>
      <c r="IKP281" s="414"/>
      <c r="IKS281" s="445"/>
      <c r="IKT281" s="414"/>
      <c r="IKW281" s="445"/>
      <c r="IKX281" s="414"/>
      <c r="ILA281" s="445"/>
      <c r="ILB281" s="414"/>
      <c r="ILE281" s="445"/>
      <c r="ILF281" s="414"/>
      <c r="ILI281" s="445"/>
      <c r="ILJ281" s="414"/>
      <c r="ILM281" s="445"/>
      <c r="ILN281" s="414"/>
      <c r="ILQ281" s="445"/>
      <c r="ILR281" s="414"/>
      <c r="ILU281" s="445"/>
      <c r="ILV281" s="414"/>
      <c r="ILY281" s="445"/>
      <c r="ILZ281" s="414"/>
      <c r="IMC281" s="445"/>
      <c r="IMD281" s="414"/>
      <c r="IMG281" s="445"/>
      <c r="IMH281" s="414"/>
      <c r="IMK281" s="445"/>
      <c r="IML281" s="414"/>
      <c r="IMO281" s="445"/>
      <c r="IMP281" s="414"/>
      <c r="IMS281" s="445"/>
      <c r="IMT281" s="414"/>
      <c r="IMW281" s="445"/>
      <c r="IMX281" s="414"/>
      <c r="INA281" s="445"/>
      <c r="INB281" s="414"/>
      <c r="INE281" s="445"/>
      <c r="INF281" s="414"/>
      <c r="INI281" s="445"/>
      <c r="INJ281" s="414"/>
      <c r="INM281" s="445"/>
      <c r="INN281" s="414"/>
      <c r="INQ281" s="445"/>
      <c r="INR281" s="414"/>
      <c r="INU281" s="445"/>
      <c r="INV281" s="414"/>
      <c r="INY281" s="445"/>
      <c r="INZ281" s="414"/>
      <c r="IOC281" s="445"/>
      <c r="IOD281" s="414"/>
      <c r="IOG281" s="445"/>
      <c r="IOH281" s="414"/>
      <c r="IOK281" s="445"/>
      <c r="IOL281" s="414"/>
      <c r="IOO281" s="445"/>
      <c r="IOP281" s="414"/>
      <c r="IOS281" s="445"/>
      <c r="IOT281" s="414"/>
      <c r="IOW281" s="445"/>
      <c r="IOX281" s="414"/>
      <c r="IPA281" s="445"/>
      <c r="IPB281" s="414"/>
      <c r="IPE281" s="445"/>
      <c r="IPF281" s="414"/>
      <c r="IPI281" s="445"/>
      <c r="IPJ281" s="414"/>
      <c r="IPM281" s="445"/>
      <c r="IPN281" s="414"/>
      <c r="IPQ281" s="445"/>
      <c r="IPR281" s="414"/>
      <c r="IPU281" s="445"/>
      <c r="IPV281" s="414"/>
      <c r="IPY281" s="445"/>
      <c r="IPZ281" s="414"/>
      <c r="IQC281" s="445"/>
      <c r="IQD281" s="414"/>
      <c r="IQG281" s="445"/>
      <c r="IQH281" s="414"/>
      <c r="IQK281" s="445"/>
      <c r="IQL281" s="414"/>
      <c r="IQO281" s="445"/>
      <c r="IQP281" s="414"/>
      <c r="IQS281" s="445"/>
      <c r="IQT281" s="414"/>
      <c r="IQW281" s="445"/>
      <c r="IQX281" s="414"/>
      <c r="IRA281" s="445"/>
      <c r="IRB281" s="414"/>
      <c r="IRE281" s="445"/>
      <c r="IRF281" s="414"/>
      <c r="IRI281" s="445"/>
      <c r="IRJ281" s="414"/>
      <c r="IRM281" s="445"/>
      <c r="IRN281" s="414"/>
      <c r="IRQ281" s="445"/>
      <c r="IRR281" s="414"/>
      <c r="IRU281" s="445"/>
      <c r="IRV281" s="414"/>
      <c r="IRY281" s="445"/>
      <c r="IRZ281" s="414"/>
      <c r="ISC281" s="445"/>
      <c r="ISD281" s="414"/>
      <c r="ISG281" s="445"/>
      <c r="ISH281" s="414"/>
      <c r="ISK281" s="445"/>
      <c r="ISL281" s="414"/>
      <c r="ISO281" s="445"/>
      <c r="ISP281" s="414"/>
      <c r="ISS281" s="445"/>
      <c r="IST281" s="414"/>
      <c r="ISW281" s="445"/>
      <c r="ISX281" s="414"/>
      <c r="ITA281" s="445"/>
      <c r="ITB281" s="414"/>
      <c r="ITE281" s="445"/>
      <c r="ITF281" s="414"/>
      <c r="ITI281" s="445"/>
      <c r="ITJ281" s="414"/>
      <c r="ITM281" s="445"/>
      <c r="ITN281" s="414"/>
      <c r="ITQ281" s="445"/>
      <c r="ITR281" s="414"/>
      <c r="ITU281" s="445"/>
      <c r="ITV281" s="414"/>
      <c r="ITY281" s="445"/>
      <c r="ITZ281" s="414"/>
      <c r="IUC281" s="445"/>
      <c r="IUD281" s="414"/>
      <c r="IUG281" s="445"/>
      <c r="IUH281" s="414"/>
      <c r="IUK281" s="445"/>
      <c r="IUL281" s="414"/>
      <c r="IUO281" s="445"/>
      <c r="IUP281" s="414"/>
      <c r="IUS281" s="445"/>
      <c r="IUT281" s="414"/>
      <c r="IUW281" s="445"/>
      <c r="IUX281" s="414"/>
      <c r="IVA281" s="445"/>
      <c r="IVB281" s="414"/>
      <c r="IVE281" s="445"/>
      <c r="IVF281" s="414"/>
      <c r="IVI281" s="445"/>
      <c r="IVJ281" s="414"/>
      <c r="IVM281" s="445"/>
      <c r="IVN281" s="414"/>
      <c r="IVQ281" s="445"/>
      <c r="IVR281" s="414"/>
      <c r="IVU281" s="445"/>
      <c r="IVV281" s="414"/>
      <c r="IVY281" s="445"/>
      <c r="IVZ281" s="414"/>
      <c r="IWC281" s="445"/>
      <c r="IWD281" s="414"/>
      <c r="IWG281" s="445"/>
      <c r="IWH281" s="414"/>
      <c r="IWK281" s="445"/>
      <c r="IWL281" s="414"/>
      <c r="IWO281" s="445"/>
      <c r="IWP281" s="414"/>
      <c r="IWS281" s="445"/>
      <c r="IWT281" s="414"/>
      <c r="IWW281" s="445"/>
      <c r="IWX281" s="414"/>
      <c r="IXA281" s="445"/>
      <c r="IXB281" s="414"/>
      <c r="IXE281" s="445"/>
      <c r="IXF281" s="414"/>
      <c r="IXI281" s="445"/>
      <c r="IXJ281" s="414"/>
      <c r="IXM281" s="445"/>
      <c r="IXN281" s="414"/>
      <c r="IXQ281" s="445"/>
      <c r="IXR281" s="414"/>
      <c r="IXU281" s="445"/>
      <c r="IXV281" s="414"/>
      <c r="IXY281" s="445"/>
      <c r="IXZ281" s="414"/>
      <c r="IYC281" s="445"/>
      <c r="IYD281" s="414"/>
      <c r="IYG281" s="445"/>
      <c r="IYH281" s="414"/>
      <c r="IYK281" s="445"/>
      <c r="IYL281" s="414"/>
      <c r="IYO281" s="445"/>
      <c r="IYP281" s="414"/>
      <c r="IYS281" s="445"/>
      <c r="IYT281" s="414"/>
      <c r="IYW281" s="445"/>
      <c r="IYX281" s="414"/>
      <c r="IZA281" s="445"/>
      <c r="IZB281" s="414"/>
      <c r="IZE281" s="445"/>
      <c r="IZF281" s="414"/>
      <c r="IZI281" s="445"/>
      <c r="IZJ281" s="414"/>
      <c r="IZM281" s="445"/>
      <c r="IZN281" s="414"/>
      <c r="IZQ281" s="445"/>
      <c r="IZR281" s="414"/>
      <c r="IZU281" s="445"/>
      <c r="IZV281" s="414"/>
      <c r="IZY281" s="445"/>
      <c r="IZZ281" s="414"/>
      <c r="JAC281" s="445"/>
      <c r="JAD281" s="414"/>
      <c r="JAG281" s="445"/>
      <c r="JAH281" s="414"/>
      <c r="JAK281" s="445"/>
      <c r="JAL281" s="414"/>
      <c r="JAO281" s="445"/>
      <c r="JAP281" s="414"/>
      <c r="JAS281" s="445"/>
      <c r="JAT281" s="414"/>
      <c r="JAW281" s="445"/>
      <c r="JAX281" s="414"/>
      <c r="JBA281" s="445"/>
      <c r="JBB281" s="414"/>
      <c r="JBE281" s="445"/>
      <c r="JBF281" s="414"/>
      <c r="JBI281" s="445"/>
      <c r="JBJ281" s="414"/>
      <c r="JBM281" s="445"/>
      <c r="JBN281" s="414"/>
      <c r="JBQ281" s="445"/>
      <c r="JBR281" s="414"/>
      <c r="JBU281" s="445"/>
      <c r="JBV281" s="414"/>
      <c r="JBY281" s="445"/>
      <c r="JBZ281" s="414"/>
      <c r="JCC281" s="445"/>
      <c r="JCD281" s="414"/>
      <c r="JCG281" s="445"/>
      <c r="JCH281" s="414"/>
      <c r="JCK281" s="445"/>
      <c r="JCL281" s="414"/>
      <c r="JCO281" s="445"/>
      <c r="JCP281" s="414"/>
      <c r="JCS281" s="445"/>
      <c r="JCT281" s="414"/>
      <c r="JCW281" s="445"/>
      <c r="JCX281" s="414"/>
      <c r="JDA281" s="445"/>
      <c r="JDB281" s="414"/>
      <c r="JDE281" s="445"/>
      <c r="JDF281" s="414"/>
      <c r="JDI281" s="445"/>
      <c r="JDJ281" s="414"/>
      <c r="JDM281" s="445"/>
      <c r="JDN281" s="414"/>
      <c r="JDQ281" s="445"/>
      <c r="JDR281" s="414"/>
      <c r="JDU281" s="445"/>
      <c r="JDV281" s="414"/>
      <c r="JDY281" s="445"/>
      <c r="JDZ281" s="414"/>
      <c r="JEC281" s="445"/>
      <c r="JED281" s="414"/>
      <c r="JEG281" s="445"/>
      <c r="JEH281" s="414"/>
      <c r="JEK281" s="445"/>
      <c r="JEL281" s="414"/>
      <c r="JEO281" s="445"/>
      <c r="JEP281" s="414"/>
      <c r="JES281" s="445"/>
      <c r="JET281" s="414"/>
      <c r="JEW281" s="445"/>
      <c r="JEX281" s="414"/>
      <c r="JFA281" s="445"/>
      <c r="JFB281" s="414"/>
      <c r="JFE281" s="445"/>
      <c r="JFF281" s="414"/>
      <c r="JFI281" s="445"/>
      <c r="JFJ281" s="414"/>
      <c r="JFM281" s="445"/>
      <c r="JFN281" s="414"/>
      <c r="JFQ281" s="445"/>
      <c r="JFR281" s="414"/>
      <c r="JFU281" s="445"/>
      <c r="JFV281" s="414"/>
      <c r="JFY281" s="445"/>
      <c r="JFZ281" s="414"/>
      <c r="JGC281" s="445"/>
      <c r="JGD281" s="414"/>
      <c r="JGG281" s="445"/>
      <c r="JGH281" s="414"/>
      <c r="JGK281" s="445"/>
      <c r="JGL281" s="414"/>
      <c r="JGO281" s="445"/>
      <c r="JGP281" s="414"/>
      <c r="JGS281" s="445"/>
      <c r="JGT281" s="414"/>
      <c r="JGW281" s="445"/>
      <c r="JGX281" s="414"/>
      <c r="JHA281" s="445"/>
      <c r="JHB281" s="414"/>
      <c r="JHE281" s="445"/>
      <c r="JHF281" s="414"/>
      <c r="JHI281" s="445"/>
      <c r="JHJ281" s="414"/>
      <c r="JHM281" s="445"/>
      <c r="JHN281" s="414"/>
      <c r="JHQ281" s="445"/>
      <c r="JHR281" s="414"/>
      <c r="JHU281" s="445"/>
      <c r="JHV281" s="414"/>
      <c r="JHY281" s="445"/>
      <c r="JHZ281" s="414"/>
      <c r="JIC281" s="445"/>
      <c r="JID281" s="414"/>
      <c r="JIG281" s="445"/>
      <c r="JIH281" s="414"/>
      <c r="JIK281" s="445"/>
      <c r="JIL281" s="414"/>
      <c r="JIO281" s="445"/>
      <c r="JIP281" s="414"/>
      <c r="JIS281" s="445"/>
      <c r="JIT281" s="414"/>
      <c r="JIW281" s="445"/>
      <c r="JIX281" s="414"/>
      <c r="JJA281" s="445"/>
      <c r="JJB281" s="414"/>
      <c r="JJE281" s="445"/>
      <c r="JJF281" s="414"/>
      <c r="JJI281" s="445"/>
      <c r="JJJ281" s="414"/>
      <c r="JJM281" s="445"/>
      <c r="JJN281" s="414"/>
      <c r="JJQ281" s="445"/>
      <c r="JJR281" s="414"/>
      <c r="JJU281" s="445"/>
      <c r="JJV281" s="414"/>
      <c r="JJY281" s="445"/>
      <c r="JJZ281" s="414"/>
      <c r="JKC281" s="445"/>
      <c r="JKD281" s="414"/>
      <c r="JKG281" s="445"/>
      <c r="JKH281" s="414"/>
      <c r="JKK281" s="445"/>
      <c r="JKL281" s="414"/>
      <c r="JKO281" s="445"/>
      <c r="JKP281" s="414"/>
      <c r="JKS281" s="445"/>
      <c r="JKT281" s="414"/>
      <c r="JKW281" s="445"/>
      <c r="JKX281" s="414"/>
      <c r="JLA281" s="445"/>
      <c r="JLB281" s="414"/>
      <c r="JLE281" s="445"/>
      <c r="JLF281" s="414"/>
      <c r="JLI281" s="445"/>
      <c r="JLJ281" s="414"/>
      <c r="JLM281" s="445"/>
      <c r="JLN281" s="414"/>
      <c r="JLQ281" s="445"/>
      <c r="JLR281" s="414"/>
      <c r="JLU281" s="445"/>
      <c r="JLV281" s="414"/>
      <c r="JLY281" s="445"/>
      <c r="JLZ281" s="414"/>
      <c r="JMC281" s="445"/>
      <c r="JMD281" s="414"/>
      <c r="JMG281" s="445"/>
      <c r="JMH281" s="414"/>
      <c r="JMK281" s="445"/>
      <c r="JML281" s="414"/>
      <c r="JMO281" s="445"/>
      <c r="JMP281" s="414"/>
      <c r="JMS281" s="445"/>
      <c r="JMT281" s="414"/>
      <c r="JMW281" s="445"/>
      <c r="JMX281" s="414"/>
      <c r="JNA281" s="445"/>
      <c r="JNB281" s="414"/>
      <c r="JNE281" s="445"/>
      <c r="JNF281" s="414"/>
      <c r="JNI281" s="445"/>
      <c r="JNJ281" s="414"/>
      <c r="JNM281" s="445"/>
      <c r="JNN281" s="414"/>
      <c r="JNQ281" s="445"/>
      <c r="JNR281" s="414"/>
      <c r="JNU281" s="445"/>
      <c r="JNV281" s="414"/>
      <c r="JNY281" s="445"/>
      <c r="JNZ281" s="414"/>
      <c r="JOC281" s="445"/>
      <c r="JOD281" s="414"/>
      <c r="JOG281" s="445"/>
      <c r="JOH281" s="414"/>
      <c r="JOK281" s="445"/>
      <c r="JOL281" s="414"/>
      <c r="JOO281" s="445"/>
      <c r="JOP281" s="414"/>
      <c r="JOS281" s="445"/>
      <c r="JOT281" s="414"/>
      <c r="JOW281" s="445"/>
      <c r="JOX281" s="414"/>
      <c r="JPA281" s="445"/>
      <c r="JPB281" s="414"/>
      <c r="JPE281" s="445"/>
      <c r="JPF281" s="414"/>
      <c r="JPI281" s="445"/>
      <c r="JPJ281" s="414"/>
      <c r="JPM281" s="445"/>
      <c r="JPN281" s="414"/>
      <c r="JPQ281" s="445"/>
      <c r="JPR281" s="414"/>
      <c r="JPU281" s="445"/>
      <c r="JPV281" s="414"/>
      <c r="JPY281" s="445"/>
      <c r="JPZ281" s="414"/>
      <c r="JQC281" s="445"/>
      <c r="JQD281" s="414"/>
      <c r="JQG281" s="445"/>
      <c r="JQH281" s="414"/>
      <c r="JQK281" s="445"/>
      <c r="JQL281" s="414"/>
      <c r="JQO281" s="445"/>
      <c r="JQP281" s="414"/>
      <c r="JQS281" s="445"/>
      <c r="JQT281" s="414"/>
      <c r="JQW281" s="445"/>
      <c r="JQX281" s="414"/>
      <c r="JRA281" s="445"/>
      <c r="JRB281" s="414"/>
      <c r="JRE281" s="445"/>
      <c r="JRF281" s="414"/>
      <c r="JRI281" s="445"/>
      <c r="JRJ281" s="414"/>
      <c r="JRM281" s="445"/>
      <c r="JRN281" s="414"/>
      <c r="JRQ281" s="445"/>
      <c r="JRR281" s="414"/>
      <c r="JRU281" s="445"/>
      <c r="JRV281" s="414"/>
      <c r="JRY281" s="445"/>
      <c r="JRZ281" s="414"/>
      <c r="JSC281" s="445"/>
      <c r="JSD281" s="414"/>
      <c r="JSG281" s="445"/>
      <c r="JSH281" s="414"/>
      <c r="JSK281" s="445"/>
      <c r="JSL281" s="414"/>
      <c r="JSO281" s="445"/>
      <c r="JSP281" s="414"/>
      <c r="JSS281" s="445"/>
      <c r="JST281" s="414"/>
      <c r="JSW281" s="445"/>
      <c r="JSX281" s="414"/>
      <c r="JTA281" s="445"/>
      <c r="JTB281" s="414"/>
      <c r="JTE281" s="445"/>
      <c r="JTF281" s="414"/>
      <c r="JTI281" s="445"/>
      <c r="JTJ281" s="414"/>
      <c r="JTM281" s="445"/>
      <c r="JTN281" s="414"/>
      <c r="JTQ281" s="445"/>
      <c r="JTR281" s="414"/>
      <c r="JTU281" s="445"/>
      <c r="JTV281" s="414"/>
      <c r="JTY281" s="445"/>
      <c r="JTZ281" s="414"/>
      <c r="JUC281" s="445"/>
      <c r="JUD281" s="414"/>
      <c r="JUG281" s="445"/>
      <c r="JUH281" s="414"/>
      <c r="JUK281" s="445"/>
      <c r="JUL281" s="414"/>
      <c r="JUO281" s="445"/>
      <c r="JUP281" s="414"/>
      <c r="JUS281" s="445"/>
      <c r="JUT281" s="414"/>
      <c r="JUW281" s="445"/>
      <c r="JUX281" s="414"/>
      <c r="JVA281" s="445"/>
      <c r="JVB281" s="414"/>
      <c r="JVE281" s="445"/>
      <c r="JVF281" s="414"/>
      <c r="JVI281" s="445"/>
      <c r="JVJ281" s="414"/>
      <c r="JVM281" s="445"/>
      <c r="JVN281" s="414"/>
      <c r="JVQ281" s="445"/>
      <c r="JVR281" s="414"/>
      <c r="JVU281" s="445"/>
      <c r="JVV281" s="414"/>
      <c r="JVY281" s="445"/>
      <c r="JVZ281" s="414"/>
      <c r="JWC281" s="445"/>
      <c r="JWD281" s="414"/>
      <c r="JWG281" s="445"/>
      <c r="JWH281" s="414"/>
      <c r="JWK281" s="445"/>
      <c r="JWL281" s="414"/>
      <c r="JWO281" s="445"/>
      <c r="JWP281" s="414"/>
      <c r="JWS281" s="445"/>
      <c r="JWT281" s="414"/>
      <c r="JWW281" s="445"/>
      <c r="JWX281" s="414"/>
      <c r="JXA281" s="445"/>
      <c r="JXB281" s="414"/>
      <c r="JXE281" s="445"/>
      <c r="JXF281" s="414"/>
      <c r="JXI281" s="445"/>
      <c r="JXJ281" s="414"/>
      <c r="JXM281" s="445"/>
      <c r="JXN281" s="414"/>
      <c r="JXQ281" s="445"/>
      <c r="JXR281" s="414"/>
      <c r="JXU281" s="445"/>
      <c r="JXV281" s="414"/>
      <c r="JXY281" s="445"/>
      <c r="JXZ281" s="414"/>
      <c r="JYC281" s="445"/>
      <c r="JYD281" s="414"/>
      <c r="JYG281" s="445"/>
      <c r="JYH281" s="414"/>
      <c r="JYK281" s="445"/>
      <c r="JYL281" s="414"/>
      <c r="JYO281" s="445"/>
      <c r="JYP281" s="414"/>
      <c r="JYS281" s="445"/>
      <c r="JYT281" s="414"/>
      <c r="JYW281" s="445"/>
      <c r="JYX281" s="414"/>
      <c r="JZA281" s="445"/>
      <c r="JZB281" s="414"/>
      <c r="JZE281" s="445"/>
      <c r="JZF281" s="414"/>
      <c r="JZI281" s="445"/>
      <c r="JZJ281" s="414"/>
      <c r="JZM281" s="445"/>
      <c r="JZN281" s="414"/>
      <c r="JZQ281" s="445"/>
      <c r="JZR281" s="414"/>
      <c r="JZU281" s="445"/>
      <c r="JZV281" s="414"/>
      <c r="JZY281" s="445"/>
      <c r="JZZ281" s="414"/>
      <c r="KAC281" s="445"/>
      <c r="KAD281" s="414"/>
      <c r="KAG281" s="445"/>
      <c r="KAH281" s="414"/>
      <c r="KAK281" s="445"/>
      <c r="KAL281" s="414"/>
      <c r="KAO281" s="445"/>
      <c r="KAP281" s="414"/>
      <c r="KAS281" s="445"/>
      <c r="KAT281" s="414"/>
      <c r="KAW281" s="445"/>
      <c r="KAX281" s="414"/>
      <c r="KBA281" s="445"/>
      <c r="KBB281" s="414"/>
      <c r="KBE281" s="445"/>
      <c r="KBF281" s="414"/>
      <c r="KBI281" s="445"/>
      <c r="KBJ281" s="414"/>
      <c r="KBM281" s="445"/>
      <c r="KBN281" s="414"/>
      <c r="KBQ281" s="445"/>
      <c r="KBR281" s="414"/>
      <c r="KBU281" s="445"/>
      <c r="KBV281" s="414"/>
      <c r="KBY281" s="445"/>
      <c r="KBZ281" s="414"/>
      <c r="KCC281" s="445"/>
      <c r="KCD281" s="414"/>
      <c r="KCG281" s="445"/>
      <c r="KCH281" s="414"/>
      <c r="KCK281" s="445"/>
      <c r="KCL281" s="414"/>
      <c r="KCO281" s="445"/>
      <c r="KCP281" s="414"/>
      <c r="KCS281" s="445"/>
      <c r="KCT281" s="414"/>
      <c r="KCW281" s="445"/>
      <c r="KCX281" s="414"/>
      <c r="KDA281" s="445"/>
      <c r="KDB281" s="414"/>
      <c r="KDE281" s="445"/>
      <c r="KDF281" s="414"/>
      <c r="KDI281" s="445"/>
      <c r="KDJ281" s="414"/>
      <c r="KDM281" s="445"/>
      <c r="KDN281" s="414"/>
      <c r="KDQ281" s="445"/>
      <c r="KDR281" s="414"/>
      <c r="KDU281" s="445"/>
      <c r="KDV281" s="414"/>
      <c r="KDY281" s="445"/>
      <c r="KDZ281" s="414"/>
      <c r="KEC281" s="445"/>
      <c r="KED281" s="414"/>
      <c r="KEG281" s="445"/>
      <c r="KEH281" s="414"/>
      <c r="KEK281" s="445"/>
      <c r="KEL281" s="414"/>
      <c r="KEO281" s="445"/>
      <c r="KEP281" s="414"/>
      <c r="KES281" s="445"/>
      <c r="KET281" s="414"/>
      <c r="KEW281" s="445"/>
      <c r="KEX281" s="414"/>
      <c r="KFA281" s="445"/>
      <c r="KFB281" s="414"/>
      <c r="KFE281" s="445"/>
      <c r="KFF281" s="414"/>
      <c r="KFI281" s="445"/>
      <c r="KFJ281" s="414"/>
      <c r="KFM281" s="445"/>
      <c r="KFN281" s="414"/>
      <c r="KFQ281" s="445"/>
      <c r="KFR281" s="414"/>
      <c r="KFU281" s="445"/>
      <c r="KFV281" s="414"/>
      <c r="KFY281" s="445"/>
      <c r="KFZ281" s="414"/>
      <c r="KGC281" s="445"/>
      <c r="KGD281" s="414"/>
      <c r="KGG281" s="445"/>
      <c r="KGH281" s="414"/>
      <c r="KGK281" s="445"/>
      <c r="KGL281" s="414"/>
      <c r="KGO281" s="445"/>
      <c r="KGP281" s="414"/>
      <c r="KGS281" s="445"/>
      <c r="KGT281" s="414"/>
      <c r="KGW281" s="445"/>
      <c r="KGX281" s="414"/>
      <c r="KHA281" s="445"/>
      <c r="KHB281" s="414"/>
      <c r="KHE281" s="445"/>
      <c r="KHF281" s="414"/>
      <c r="KHI281" s="445"/>
      <c r="KHJ281" s="414"/>
      <c r="KHM281" s="445"/>
      <c r="KHN281" s="414"/>
      <c r="KHQ281" s="445"/>
      <c r="KHR281" s="414"/>
      <c r="KHU281" s="445"/>
      <c r="KHV281" s="414"/>
      <c r="KHY281" s="445"/>
      <c r="KHZ281" s="414"/>
      <c r="KIC281" s="445"/>
      <c r="KID281" s="414"/>
      <c r="KIG281" s="445"/>
      <c r="KIH281" s="414"/>
      <c r="KIK281" s="445"/>
      <c r="KIL281" s="414"/>
      <c r="KIO281" s="445"/>
      <c r="KIP281" s="414"/>
      <c r="KIS281" s="445"/>
      <c r="KIT281" s="414"/>
      <c r="KIW281" s="445"/>
      <c r="KIX281" s="414"/>
      <c r="KJA281" s="445"/>
      <c r="KJB281" s="414"/>
      <c r="KJE281" s="445"/>
      <c r="KJF281" s="414"/>
      <c r="KJI281" s="445"/>
      <c r="KJJ281" s="414"/>
      <c r="KJM281" s="445"/>
      <c r="KJN281" s="414"/>
      <c r="KJQ281" s="445"/>
      <c r="KJR281" s="414"/>
      <c r="KJU281" s="445"/>
      <c r="KJV281" s="414"/>
      <c r="KJY281" s="445"/>
      <c r="KJZ281" s="414"/>
      <c r="KKC281" s="445"/>
      <c r="KKD281" s="414"/>
      <c r="KKG281" s="445"/>
      <c r="KKH281" s="414"/>
      <c r="KKK281" s="445"/>
      <c r="KKL281" s="414"/>
      <c r="KKO281" s="445"/>
      <c r="KKP281" s="414"/>
      <c r="KKS281" s="445"/>
      <c r="KKT281" s="414"/>
      <c r="KKW281" s="445"/>
      <c r="KKX281" s="414"/>
      <c r="KLA281" s="445"/>
      <c r="KLB281" s="414"/>
      <c r="KLE281" s="445"/>
      <c r="KLF281" s="414"/>
      <c r="KLI281" s="445"/>
      <c r="KLJ281" s="414"/>
      <c r="KLM281" s="445"/>
      <c r="KLN281" s="414"/>
      <c r="KLQ281" s="445"/>
      <c r="KLR281" s="414"/>
      <c r="KLU281" s="445"/>
      <c r="KLV281" s="414"/>
      <c r="KLY281" s="445"/>
      <c r="KLZ281" s="414"/>
      <c r="KMC281" s="445"/>
      <c r="KMD281" s="414"/>
      <c r="KMG281" s="445"/>
      <c r="KMH281" s="414"/>
      <c r="KMK281" s="445"/>
      <c r="KML281" s="414"/>
      <c r="KMO281" s="445"/>
      <c r="KMP281" s="414"/>
      <c r="KMS281" s="445"/>
      <c r="KMT281" s="414"/>
      <c r="KMW281" s="445"/>
      <c r="KMX281" s="414"/>
      <c r="KNA281" s="445"/>
      <c r="KNB281" s="414"/>
      <c r="KNE281" s="445"/>
      <c r="KNF281" s="414"/>
      <c r="KNI281" s="445"/>
      <c r="KNJ281" s="414"/>
      <c r="KNM281" s="445"/>
      <c r="KNN281" s="414"/>
      <c r="KNQ281" s="445"/>
      <c r="KNR281" s="414"/>
      <c r="KNU281" s="445"/>
      <c r="KNV281" s="414"/>
      <c r="KNY281" s="445"/>
      <c r="KNZ281" s="414"/>
      <c r="KOC281" s="445"/>
      <c r="KOD281" s="414"/>
      <c r="KOG281" s="445"/>
      <c r="KOH281" s="414"/>
      <c r="KOK281" s="445"/>
      <c r="KOL281" s="414"/>
      <c r="KOO281" s="445"/>
      <c r="KOP281" s="414"/>
      <c r="KOS281" s="445"/>
      <c r="KOT281" s="414"/>
      <c r="KOW281" s="445"/>
      <c r="KOX281" s="414"/>
      <c r="KPA281" s="445"/>
      <c r="KPB281" s="414"/>
      <c r="KPE281" s="445"/>
      <c r="KPF281" s="414"/>
      <c r="KPI281" s="445"/>
      <c r="KPJ281" s="414"/>
      <c r="KPM281" s="445"/>
      <c r="KPN281" s="414"/>
      <c r="KPQ281" s="445"/>
      <c r="KPR281" s="414"/>
      <c r="KPU281" s="445"/>
      <c r="KPV281" s="414"/>
      <c r="KPY281" s="445"/>
      <c r="KPZ281" s="414"/>
      <c r="KQC281" s="445"/>
      <c r="KQD281" s="414"/>
      <c r="KQG281" s="445"/>
      <c r="KQH281" s="414"/>
      <c r="KQK281" s="445"/>
      <c r="KQL281" s="414"/>
      <c r="KQO281" s="445"/>
      <c r="KQP281" s="414"/>
      <c r="KQS281" s="445"/>
      <c r="KQT281" s="414"/>
      <c r="KQW281" s="445"/>
      <c r="KQX281" s="414"/>
      <c r="KRA281" s="445"/>
      <c r="KRB281" s="414"/>
      <c r="KRE281" s="445"/>
      <c r="KRF281" s="414"/>
      <c r="KRI281" s="445"/>
      <c r="KRJ281" s="414"/>
      <c r="KRM281" s="445"/>
      <c r="KRN281" s="414"/>
      <c r="KRQ281" s="445"/>
      <c r="KRR281" s="414"/>
      <c r="KRU281" s="445"/>
      <c r="KRV281" s="414"/>
      <c r="KRY281" s="445"/>
      <c r="KRZ281" s="414"/>
      <c r="KSC281" s="445"/>
      <c r="KSD281" s="414"/>
      <c r="KSG281" s="445"/>
      <c r="KSH281" s="414"/>
      <c r="KSK281" s="445"/>
      <c r="KSL281" s="414"/>
      <c r="KSO281" s="445"/>
      <c r="KSP281" s="414"/>
      <c r="KSS281" s="445"/>
      <c r="KST281" s="414"/>
      <c r="KSW281" s="445"/>
      <c r="KSX281" s="414"/>
      <c r="KTA281" s="445"/>
      <c r="KTB281" s="414"/>
      <c r="KTE281" s="445"/>
      <c r="KTF281" s="414"/>
      <c r="KTI281" s="445"/>
      <c r="KTJ281" s="414"/>
      <c r="KTM281" s="445"/>
      <c r="KTN281" s="414"/>
      <c r="KTQ281" s="445"/>
      <c r="KTR281" s="414"/>
      <c r="KTU281" s="445"/>
      <c r="KTV281" s="414"/>
      <c r="KTY281" s="445"/>
      <c r="KTZ281" s="414"/>
      <c r="KUC281" s="445"/>
      <c r="KUD281" s="414"/>
      <c r="KUG281" s="445"/>
      <c r="KUH281" s="414"/>
      <c r="KUK281" s="445"/>
      <c r="KUL281" s="414"/>
      <c r="KUO281" s="445"/>
      <c r="KUP281" s="414"/>
      <c r="KUS281" s="445"/>
      <c r="KUT281" s="414"/>
      <c r="KUW281" s="445"/>
      <c r="KUX281" s="414"/>
      <c r="KVA281" s="445"/>
      <c r="KVB281" s="414"/>
      <c r="KVE281" s="445"/>
      <c r="KVF281" s="414"/>
      <c r="KVI281" s="445"/>
      <c r="KVJ281" s="414"/>
      <c r="KVM281" s="445"/>
      <c r="KVN281" s="414"/>
      <c r="KVQ281" s="445"/>
      <c r="KVR281" s="414"/>
      <c r="KVU281" s="445"/>
      <c r="KVV281" s="414"/>
      <c r="KVY281" s="445"/>
      <c r="KVZ281" s="414"/>
      <c r="KWC281" s="445"/>
      <c r="KWD281" s="414"/>
      <c r="KWG281" s="445"/>
      <c r="KWH281" s="414"/>
      <c r="KWK281" s="445"/>
      <c r="KWL281" s="414"/>
      <c r="KWO281" s="445"/>
      <c r="KWP281" s="414"/>
      <c r="KWS281" s="445"/>
      <c r="KWT281" s="414"/>
      <c r="KWW281" s="445"/>
      <c r="KWX281" s="414"/>
      <c r="KXA281" s="445"/>
      <c r="KXB281" s="414"/>
      <c r="KXE281" s="445"/>
      <c r="KXF281" s="414"/>
      <c r="KXI281" s="445"/>
      <c r="KXJ281" s="414"/>
      <c r="KXM281" s="445"/>
      <c r="KXN281" s="414"/>
      <c r="KXQ281" s="445"/>
      <c r="KXR281" s="414"/>
      <c r="KXU281" s="445"/>
      <c r="KXV281" s="414"/>
      <c r="KXY281" s="445"/>
      <c r="KXZ281" s="414"/>
      <c r="KYC281" s="445"/>
      <c r="KYD281" s="414"/>
      <c r="KYG281" s="445"/>
      <c r="KYH281" s="414"/>
      <c r="KYK281" s="445"/>
      <c r="KYL281" s="414"/>
      <c r="KYO281" s="445"/>
      <c r="KYP281" s="414"/>
      <c r="KYS281" s="445"/>
      <c r="KYT281" s="414"/>
      <c r="KYW281" s="445"/>
      <c r="KYX281" s="414"/>
      <c r="KZA281" s="445"/>
      <c r="KZB281" s="414"/>
      <c r="KZE281" s="445"/>
      <c r="KZF281" s="414"/>
      <c r="KZI281" s="445"/>
      <c r="KZJ281" s="414"/>
      <c r="KZM281" s="445"/>
      <c r="KZN281" s="414"/>
      <c r="KZQ281" s="445"/>
      <c r="KZR281" s="414"/>
      <c r="KZU281" s="445"/>
      <c r="KZV281" s="414"/>
      <c r="KZY281" s="445"/>
      <c r="KZZ281" s="414"/>
      <c r="LAC281" s="445"/>
      <c r="LAD281" s="414"/>
      <c r="LAG281" s="445"/>
      <c r="LAH281" s="414"/>
      <c r="LAK281" s="445"/>
      <c r="LAL281" s="414"/>
      <c r="LAO281" s="445"/>
      <c r="LAP281" s="414"/>
      <c r="LAS281" s="445"/>
      <c r="LAT281" s="414"/>
      <c r="LAW281" s="445"/>
      <c r="LAX281" s="414"/>
      <c r="LBA281" s="445"/>
      <c r="LBB281" s="414"/>
      <c r="LBE281" s="445"/>
      <c r="LBF281" s="414"/>
      <c r="LBI281" s="445"/>
      <c r="LBJ281" s="414"/>
      <c r="LBM281" s="445"/>
      <c r="LBN281" s="414"/>
      <c r="LBQ281" s="445"/>
      <c r="LBR281" s="414"/>
      <c r="LBU281" s="445"/>
      <c r="LBV281" s="414"/>
      <c r="LBY281" s="445"/>
      <c r="LBZ281" s="414"/>
      <c r="LCC281" s="445"/>
      <c r="LCD281" s="414"/>
      <c r="LCG281" s="445"/>
      <c r="LCH281" s="414"/>
      <c r="LCK281" s="445"/>
      <c r="LCL281" s="414"/>
      <c r="LCO281" s="445"/>
      <c r="LCP281" s="414"/>
      <c r="LCS281" s="445"/>
      <c r="LCT281" s="414"/>
      <c r="LCW281" s="445"/>
      <c r="LCX281" s="414"/>
      <c r="LDA281" s="445"/>
      <c r="LDB281" s="414"/>
      <c r="LDE281" s="445"/>
      <c r="LDF281" s="414"/>
      <c r="LDI281" s="445"/>
      <c r="LDJ281" s="414"/>
      <c r="LDM281" s="445"/>
      <c r="LDN281" s="414"/>
      <c r="LDQ281" s="445"/>
      <c r="LDR281" s="414"/>
      <c r="LDU281" s="445"/>
      <c r="LDV281" s="414"/>
      <c r="LDY281" s="445"/>
      <c r="LDZ281" s="414"/>
      <c r="LEC281" s="445"/>
      <c r="LED281" s="414"/>
      <c r="LEG281" s="445"/>
      <c r="LEH281" s="414"/>
      <c r="LEK281" s="445"/>
      <c r="LEL281" s="414"/>
      <c r="LEO281" s="445"/>
      <c r="LEP281" s="414"/>
      <c r="LES281" s="445"/>
      <c r="LET281" s="414"/>
      <c r="LEW281" s="445"/>
      <c r="LEX281" s="414"/>
      <c r="LFA281" s="445"/>
      <c r="LFB281" s="414"/>
      <c r="LFE281" s="445"/>
      <c r="LFF281" s="414"/>
      <c r="LFI281" s="445"/>
      <c r="LFJ281" s="414"/>
      <c r="LFM281" s="445"/>
      <c r="LFN281" s="414"/>
      <c r="LFQ281" s="445"/>
      <c r="LFR281" s="414"/>
      <c r="LFU281" s="445"/>
      <c r="LFV281" s="414"/>
      <c r="LFY281" s="445"/>
      <c r="LFZ281" s="414"/>
      <c r="LGC281" s="445"/>
      <c r="LGD281" s="414"/>
      <c r="LGG281" s="445"/>
      <c r="LGH281" s="414"/>
      <c r="LGK281" s="445"/>
      <c r="LGL281" s="414"/>
      <c r="LGO281" s="445"/>
      <c r="LGP281" s="414"/>
      <c r="LGS281" s="445"/>
      <c r="LGT281" s="414"/>
      <c r="LGW281" s="445"/>
      <c r="LGX281" s="414"/>
      <c r="LHA281" s="445"/>
      <c r="LHB281" s="414"/>
      <c r="LHE281" s="445"/>
      <c r="LHF281" s="414"/>
      <c r="LHI281" s="445"/>
      <c r="LHJ281" s="414"/>
      <c r="LHM281" s="445"/>
      <c r="LHN281" s="414"/>
      <c r="LHQ281" s="445"/>
      <c r="LHR281" s="414"/>
      <c r="LHU281" s="445"/>
      <c r="LHV281" s="414"/>
      <c r="LHY281" s="445"/>
      <c r="LHZ281" s="414"/>
      <c r="LIC281" s="445"/>
      <c r="LID281" s="414"/>
      <c r="LIG281" s="445"/>
      <c r="LIH281" s="414"/>
      <c r="LIK281" s="445"/>
      <c r="LIL281" s="414"/>
      <c r="LIO281" s="445"/>
      <c r="LIP281" s="414"/>
      <c r="LIS281" s="445"/>
      <c r="LIT281" s="414"/>
      <c r="LIW281" s="445"/>
      <c r="LIX281" s="414"/>
      <c r="LJA281" s="445"/>
      <c r="LJB281" s="414"/>
      <c r="LJE281" s="445"/>
      <c r="LJF281" s="414"/>
      <c r="LJI281" s="445"/>
      <c r="LJJ281" s="414"/>
      <c r="LJM281" s="445"/>
      <c r="LJN281" s="414"/>
      <c r="LJQ281" s="445"/>
      <c r="LJR281" s="414"/>
      <c r="LJU281" s="445"/>
      <c r="LJV281" s="414"/>
      <c r="LJY281" s="445"/>
      <c r="LJZ281" s="414"/>
      <c r="LKC281" s="445"/>
      <c r="LKD281" s="414"/>
      <c r="LKG281" s="445"/>
      <c r="LKH281" s="414"/>
      <c r="LKK281" s="445"/>
      <c r="LKL281" s="414"/>
      <c r="LKO281" s="445"/>
      <c r="LKP281" s="414"/>
      <c r="LKS281" s="445"/>
      <c r="LKT281" s="414"/>
      <c r="LKW281" s="445"/>
      <c r="LKX281" s="414"/>
      <c r="LLA281" s="445"/>
      <c r="LLB281" s="414"/>
      <c r="LLE281" s="445"/>
      <c r="LLF281" s="414"/>
      <c r="LLI281" s="445"/>
      <c r="LLJ281" s="414"/>
      <c r="LLM281" s="445"/>
      <c r="LLN281" s="414"/>
      <c r="LLQ281" s="445"/>
      <c r="LLR281" s="414"/>
      <c r="LLU281" s="445"/>
      <c r="LLV281" s="414"/>
      <c r="LLY281" s="445"/>
      <c r="LLZ281" s="414"/>
      <c r="LMC281" s="445"/>
      <c r="LMD281" s="414"/>
      <c r="LMG281" s="445"/>
      <c r="LMH281" s="414"/>
      <c r="LMK281" s="445"/>
      <c r="LML281" s="414"/>
      <c r="LMO281" s="445"/>
      <c r="LMP281" s="414"/>
      <c r="LMS281" s="445"/>
      <c r="LMT281" s="414"/>
      <c r="LMW281" s="445"/>
      <c r="LMX281" s="414"/>
      <c r="LNA281" s="445"/>
      <c r="LNB281" s="414"/>
      <c r="LNE281" s="445"/>
      <c r="LNF281" s="414"/>
      <c r="LNI281" s="445"/>
      <c r="LNJ281" s="414"/>
      <c r="LNM281" s="445"/>
      <c r="LNN281" s="414"/>
      <c r="LNQ281" s="445"/>
      <c r="LNR281" s="414"/>
      <c r="LNU281" s="445"/>
      <c r="LNV281" s="414"/>
      <c r="LNY281" s="445"/>
      <c r="LNZ281" s="414"/>
      <c r="LOC281" s="445"/>
      <c r="LOD281" s="414"/>
      <c r="LOG281" s="445"/>
      <c r="LOH281" s="414"/>
      <c r="LOK281" s="445"/>
      <c r="LOL281" s="414"/>
      <c r="LOO281" s="445"/>
      <c r="LOP281" s="414"/>
      <c r="LOS281" s="445"/>
      <c r="LOT281" s="414"/>
      <c r="LOW281" s="445"/>
      <c r="LOX281" s="414"/>
      <c r="LPA281" s="445"/>
      <c r="LPB281" s="414"/>
      <c r="LPE281" s="445"/>
      <c r="LPF281" s="414"/>
      <c r="LPI281" s="445"/>
      <c r="LPJ281" s="414"/>
      <c r="LPM281" s="445"/>
      <c r="LPN281" s="414"/>
      <c r="LPQ281" s="445"/>
      <c r="LPR281" s="414"/>
      <c r="LPU281" s="445"/>
      <c r="LPV281" s="414"/>
      <c r="LPY281" s="445"/>
      <c r="LPZ281" s="414"/>
      <c r="LQC281" s="445"/>
      <c r="LQD281" s="414"/>
      <c r="LQG281" s="445"/>
      <c r="LQH281" s="414"/>
      <c r="LQK281" s="445"/>
      <c r="LQL281" s="414"/>
      <c r="LQO281" s="445"/>
      <c r="LQP281" s="414"/>
      <c r="LQS281" s="445"/>
      <c r="LQT281" s="414"/>
      <c r="LQW281" s="445"/>
      <c r="LQX281" s="414"/>
      <c r="LRA281" s="445"/>
      <c r="LRB281" s="414"/>
      <c r="LRE281" s="445"/>
      <c r="LRF281" s="414"/>
      <c r="LRI281" s="445"/>
      <c r="LRJ281" s="414"/>
      <c r="LRM281" s="445"/>
      <c r="LRN281" s="414"/>
      <c r="LRQ281" s="445"/>
      <c r="LRR281" s="414"/>
      <c r="LRU281" s="445"/>
      <c r="LRV281" s="414"/>
      <c r="LRY281" s="445"/>
      <c r="LRZ281" s="414"/>
      <c r="LSC281" s="445"/>
      <c r="LSD281" s="414"/>
      <c r="LSG281" s="445"/>
      <c r="LSH281" s="414"/>
      <c r="LSK281" s="445"/>
      <c r="LSL281" s="414"/>
      <c r="LSO281" s="445"/>
      <c r="LSP281" s="414"/>
      <c r="LSS281" s="445"/>
      <c r="LST281" s="414"/>
      <c r="LSW281" s="445"/>
      <c r="LSX281" s="414"/>
      <c r="LTA281" s="445"/>
      <c r="LTB281" s="414"/>
      <c r="LTE281" s="445"/>
      <c r="LTF281" s="414"/>
      <c r="LTI281" s="445"/>
      <c r="LTJ281" s="414"/>
      <c r="LTM281" s="445"/>
      <c r="LTN281" s="414"/>
      <c r="LTQ281" s="445"/>
      <c r="LTR281" s="414"/>
      <c r="LTU281" s="445"/>
      <c r="LTV281" s="414"/>
      <c r="LTY281" s="445"/>
      <c r="LTZ281" s="414"/>
      <c r="LUC281" s="445"/>
      <c r="LUD281" s="414"/>
      <c r="LUG281" s="445"/>
      <c r="LUH281" s="414"/>
      <c r="LUK281" s="445"/>
      <c r="LUL281" s="414"/>
      <c r="LUO281" s="445"/>
      <c r="LUP281" s="414"/>
      <c r="LUS281" s="445"/>
      <c r="LUT281" s="414"/>
      <c r="LUW281" s="445"/>
      <c r="LUX281" s="414"/>
      <c r="LVA281" s="445"/>
      <c r="LVB281" s="414"/>
      <c r="LVE281" s="445"/>
      <c r="LVF281" s="414"/>
      <c r="LVI281" s="445"/>
      <c r="LVJ281" s="414"/>
      <c r="LVM281" s="445"/>
      <c r="LVN281" s="414"/>
      <c r="LVQ281" s="445"/>
      <c r="LVR281" s="414"/>
      <c r="LVU281" s="445"/>
      <c r="LVV281" s="414"/>
      <c r="LVY281" s="445"/>
      <c r="LVZ281" s="414"/>
      <c r="LWC281" s="445"/>
      <c r="LWD281" s="414"/>
      <c r="LWG281" s="445"/>
      <c r="LWH281" s="414"/>
      <c r="LWK281" s="445"/>
      <c r="LWL281" s="414"/>
      <c r="LWO281" s="445"/>
      <c r="LWP281" s="414"/>
      <c r="LWS281" s="445"/>
      <c r="LWT281" s="414"/>
      <c r="LWW281" s="445"/>
      <c r="LWX281" s="414"/>
      <c r="LXA281" s="445"/>
      <c r="LXB281" s="414"/>
      <c r="LXE281" s="445"/>
      <c r="LXF281" s="414"/>
      <c r="LXI281" s="445"/>
      <c r="LXJ281" s="414"/>
      <c r="LXM281" s="445"/>
      <c r="LXN281" s="414"/>
      <c r="LXQ281" s="445"/>
      <c r="LXR281" s="414"/>
      <c r="LXU281" s="445"/>
      <c r="LXV281" s="414"/>
      <c r="LXY281" s="445"/>
      <c r="LXZ281" s="414"/>
      <c r="LYC281" s="445"/>
      <c r="LYD281" s="414"/>
      <c r="LYG281" s="445"/>
      <c r="LYH281" s="414"/>
      <c r="LYK281" s="445"/>
      <c r="LYL281" s="414"/>
      <c r="LYO281" s="445"/>
      <c r="LYP281" s="414"/>
      <c r="LYS281" s="445"/>
      <c r="LYT281" s="414"/>
      <c r="LYW281" s="445"/>
      <c r="LYX281" s="414"/>
      <c r="LZA281" s="445"/>
      <c r="LZB281" s="414"/>
      <c r="LZE281" s="445"/>
      <c r="LZF281" s="414"/>
      <c r="LZI281" s="445"/>
      <c r="LZJ281" s="414"/>
      <c r="LZM281" s="445"/>
      <c r="LZN281" s="414"/>
      <c r="LZQ281" s="445"/>
      <c r="LZR281" s="414"/>
      <c r="LZU281" s="445"/>
      <c r="LZV281" s="414"/>
      <c r="LZY281" s="445"/>
      <c r="LZZ281" s="414"/>
      <c r="MAC281" s="445"/>
      <c r="MAD281" s="414"/>
      <c r="MAG281" s="445"/>
      <c r="MAH281" s="414"/>
      <c r="MAK281" s="445"/>
      <c r="MAL281" s="414"/>
      <c r="MAO281" s="445"/>
      <c r="MAP281" s="414"/>
      <c r="MAS281" s="445"/>
      <c r="MAT281" s="414"/>
      <c r="MAW281" s="445"/>
      <c r="MAX281" s="414"/>
      <c r="MBA281" s="445"/>
      <c r="MBB281" s="414"/>
      <c r="MBE281" s="445"/>
      <c r="MBF281" s="414"/>
      <c r="MBI281" s="445"/>
      <c r="MBJ281" s="414"/>
      <c r="MBM281" s="445"/>
      <c r="MBN281" s="414"/>
      <c r="MBQ281" s="445"/>
      <c r="MBR281" s="414"/>
      <c r="MBU281" s="445"/>
      <c r="MBV281" s="414"/>
      <c r="MBY281" s="445"/>
      <c r="MBZ281" s="414"/>
      <c r="MCC281" s="445"/>
      <c r="MCD281" s="414"/>
      <c r="MCG281" s="445"/>
      <c r="MCH281" s="414"/>
      <c r="MCK281" s="445"/>
      <c r="MCL281" s="414"/>
      <c r="MCO281" s="445"/>
      <c r="MCP281" s="414"/>
      <c r="MCS281" s="445"/>
      <c r="MCT281" s="414"/>
      <c r="MCW281" s="445"/>
      <c r="MCX281" s="414"/>
      <c r="MDA281" s="445"/>
      <c r="MDB281" s="414"/>
      <c r="MDE281" s="445"/>
      <c r="MDF281" s="414"/>
      <c r="MDI281" s="445"/>
      <c r="MDJ281" s="414"/>
      <c r="MDM281" s="445"/>
      <c r="MDN281" s="414"/>
      <c r="MDQ281" s="445"/>
      <c r="MDR281" s="414"/>
      <c r="MDU281" s="445"/>
      <c r="MDV281" s="414"/>
      <c r="MDY281" s="445"/>
      <c r="MDZ281" s="414"/>
      <c r="MEC281" s="445"/>
      <c r="MED281" s="414"/>
      <c r="MEG281" s="445"/>
      <c r="MEH281" s="414"/>
      <c r="MEK281" s="445"/>
      <c r="MEL281" s="414"/>
      <c r="MEO281" s="445"/>
      <c r="MEP281" s="414"/>
      <c r="MES281" s="445"/>
      <c r="MET281" s="414"/>
      <c r="MEW281" s="445"/>
      <c r="MEX281" s="414"/>
      <c r="MFA281" s="445"/>
      <c r="MFB281" s="414"/>
      <c r="MFE281" s="445"/>
      <c r="MFF281" s="414"/>
      <c r="MFI281" s="445"/>
      <c r="MFJ281" s="414"/>
      <c r="MFM281" s="445"/>
      <c r="MFN281" s="414"/>
      <c r="MFQ281" s="445"/>
      <c r="MFR281" s="414"/>
      <c r="MFU281" s="445"/>
      <c r="MFV281" s="414"/>
      <c r="MFY281" s="445"/>
      <c r="MFZ281" s="414"/>
      <c r="MGC281" s="445"/>
      <c r="MGD281" s="414"/>
      <c r="MGG281" s="445"/>
      <c r="MGH281" s="414"/>
      <c r="MGK281" s="445"/>
      <c r="MGL281" s="414"/>
      <c r="MGO281" s="445"/>
      <c r="MGP281" s="414"/>
      <c r="MGS281" s="445"/>
      <c r="MGT281" s="414"/>
      <c r="MGW281" s="445"/>
      <c r="MGX281" s="414"/>
      <c r="MHA281" s="445"/>
      <c r="MHB281" s="414"/>
      <c r="MHE281" s="445"/>
      <c r="MHF281" s="414"/>
      <c r="MHI281" s="445"/>
      <c r="MHJ281" s="414"/>
      <c r="MHM281" s="445"/>
      <c r="MHN281" s="414"/>
      <c r="MHQ281" s="445"/>
      <c r="MHR281" s="414"/>
      <c r="MHU281" s="445"/>
      <c r="MHV281" s="414"/>
      <c r="MHY281" s="445"/>
      <c r="MHZ281" s="414"/>
      <c r="MIC281" s="445"/>
      <c r="MID281" s="414"/>
      <c r="MIG281" s="445"/>
      <c r="MIH281" s="414"/>
      <c r="MIK281" s="445"/>
      <c r="MIL281" s="414"/>
      <c r="MIO281" s="445"/>
      <c r="MIP281" s="414"/>
      <c r="MIS281" s="445"/>
      <c r="MIT281" s="414"/>
      <c r="MIW281" s="445"/>
      <c r="MIX281" s="414"/>
      <c r="MJA281" s="445"/>
      <c r="MJB281" s="414"/>
      <c r="MJE281" s="445"/>
      <c r="MJF281" s="414"/>
      <c r="MJI281" s="445"/>
      <c r="MJJ281" s="414"/>
      <c r="MJM281" s="445"/>
      <c r="MJN281" s="414"/>
      <c r="MJQ281" s="445"/>
      <c r="MJR281" s="414"/>
      <c r="MJU281" s="445"/>
      <c r="MJV281" s="414"/>
      <c r="MJY281" s="445"/>
      <c r="MJZ281" s="414"/>
      <c r="MKC281" s="445"/>
      <c r="MKD281" s="414"/>
      <c r="MKG281" s="445"/>
      <c r="MKH281" s="414"/>
      <c r="MKK281" s="445"/>
      <c r="MKL281" s="414"/>
      <c r="MKO281" s="445"/>
      <c r="MKP281" s="414"/>
      <c r="MKS281" s="445"/>
      <c r="MKT281" s="414"/>
      <c r="MKW281" s="445"/>
      <c r="MKX281" s="414"/>
      <c r="MLA281" s="445"/>
      <c r="MLB281" s="414"/>
      <c r="MLE281" s="445"/>
      <c r="MLF281" s="414"/>
      <c r="MLI281" s="445"/>
      <c r="MLJ281" s="414"/>
      <c r="MLM281" s="445"/>
      <c r="MLN281" s="414"/>
      <c r="MLQ281" s="445"/>
      <c r="MLR281" s="414"/>
      <c r="MLU281" s="445"/>
      <c r="MLV281" s="414"/>
      <c r="MLY281" s="445"/>
      <c r="MLZ281" s="414"/>
      <c r="MMC281" s="445"/>
      <c r="MMD281" s="414"/>
      <c r="MMG281" s="445"/>
      <c r="MMH281" s="414"/>
      <c r="MMK281" s="445"/>
      <c r="MML281" s="414"/>
      <c r="MMO281" s="445"/>
      <c r="MMP281" s="414"/>
      <c r="MMS281" s="445"/>
      <c r="MMT281" s="414"/>
      <c r="MMW281" s="445"/>
      <c r="MMX281" s="414"/>
      <c r="MNA281" s="445"/>
      <c r="MNB281" s="414"/>
      <c r="MNE281" s="445"/>
      <c r="MNF281" s="414"/>
      <c r="MNI281" s="445"/>
      <c r="MNJ281" s="414"/>
      <c r="MNM281" s="445"/>
      <c r="MNN281" s="414"/>
      <c r="MNQ281" s="445"/>
      <c r="MNR281" s="414"/>
      <c r="MNU281" s="445"/>
      <c r="MNV281" s="414"/>
      <c r="MNY281" s="445"/>
      <c r="MNZ281" s="414"/>
      <c r="MOC281" s="445"/>
      <c r="MOD281" s="414"/>
      <c r="MOG281" s="445"/>
      <c r="MOH281" s="414"/>
      <c r="MOK281" s="445"/>
      <c r="MOL281" s="414"/>
      <c r="MOO281" s="445"/>
      <c r="MOP281" s="414"/>
      <c r="MOS281" s="445"/>
      <c r="MOT281" s="414"/>
      <c r="MOW281" s="445"/>
      <c r="MOX281" s="414"/>
      <c r="MPA281" s="445"/>
      <c r="MPB281" s="414"/>
      <c r="MPE281" s="445"/>
      <c r="MPF281" s="414"/>
      <c r="MPI281" s="445"/>
      <c r="MPJ281" s="414"/>
      <c r="MPM281" s="445"/>
      <c r="MPN281" s="414"/>
      <c r="MPQ281" s="445"/>
      <c r="MPR281" s="414"/>
      <c r="MPU281" s="445"/>
      <c r="MPV281" s="414"/>
      <c r="MPY281" s="445"/>
      <c r="MPZ281" s="414"/>
      <c r="MQC281" s="445"/>
      <c r="MQD281" s="414"/>
      <c r="MQG281" s="445"/>
      <c r="MQH281" s="414"/>
      <c r="MQK281" s="445"/>
      <c r="MQL281" s="414"/>
      <c r="MQO281" s="445"/>
      <c r="MQP281" s="414"/>
      <c r="MQS281" s="445"/>
      <c r="MQT281" s="414"/>
      <c r="MQW281" s="445"/>
      <c r="MQX281" s="414"/>
      <c r="MRA281" s="445"/>
      <c r="MRB281" s="414"/>
      <c r="MRE281" s="445"/>
      <c r="MRF281" s="414"/>
      <c r="MRI281" s="445"/>
      <c r="MRJ281" s="414"/>
      <c r="MRM281" s="445"/>
      <c r="MRN281" s="414"/>
      <c r="MRQ281" s="445"/>
      <c r="MRR281" s="414"/>
      <c r="MRU281" s="445"/>
      <c r="MRV281" s="414"/>
      <c r="MRY281" s="445"/>
      <c r="MRZ281" s="414"/>
      <c r="MSC281" s="445"/>
      <c r="MSD281" s="414"/>
      <c r="MSG281" s="445"/>
      <c r="MSH281" s="414"/>
      <c r="MSK281" s="445"/>
      <c r="MSL281" s="414"/>
      <c r="MSO281" s="445"/>
      <c r="MSP281" s="414"/>
      <c r="MSS281" s="445"/>
      <c r="MST281" s="414"/>
      <c r="MSW281" s="445"/>
      <c r="MSX281" s="414"/>
      <c r="MTA281" s="445"/>
      <c r="MTB281" s="414"/>
      <c r="MTE281" s="445"/>
      <c r="MTF281" s="414"/>
      <c r="MTI281" s="445"/>
      <c r="MTJ281" s="414"/>
      <c r="MTM281" s="445"/>
      <c r="MTN281" s="414"/>
      <c r="MTQ281" s="445"/>
      <c r="MTR281" s="414"/>
      <c r="MTU281" s="445"/>
      <c r="MTV281" s="414"/>
      <c r="MTY281" s="445"/>
      <c r="MTZ281" s="414"/>
      <c r="MUC281" s="445"/>
      <c r="MUD281" s="414"/>
      <c r="MUG281" s="445"/>
      <c r="MUH281" s="414"/>
      <c r="MUK281" s="445"/>
      <c r="MUL281" s="414"/>
      <c r="MUO281" s="445"/>
      <c r="MUP281" s="414"/>
      <c r="MUS281" s="445"/>
      <c r="MUT281" s="414"/>
      <c r="MUW281" s="445"/>
      <c r="MUX281" s="414"/>
      <c r="MVA281" s="445"/>
      <c r="MVB281" s="414"/>
      <c r="MVE281" s="445"/>
      <c r="MVF281" s="414"/>
      <c r="MVI281" s="445"/>
      <c r="MVJ281" s="414"/>
      <c r="MVM281" s="445"/>
      <c r="MVN281" s="414"/>
      <c r="MVQ281" s="445"/>
      <c r="MVR281" s="414"/>
      <c r="MVU281" s="445"/>
      <c r="MVV281" s="414"/>
      <c r="MVY281" s="445"/>
      <c r="MVZ281" s="414"/>
      <c r="MWC281" s="445"/>
      <c r="MWD281" s="414"/>
      <c r="MWG281" s="445"/>
      <c r="MWH281" s="414"/>
      <c r="MWK281" s="445"/>
      <c r="MWL281" s="414"/>
      <c r="MWO281" s="445"/>
      <c r="MWP281" s="414"/>
      <c r="MWS281" s="445"/>
      <c r="MWT281" s="414"/>
      <c r="MWW281" s="445"/>
      <c r="MWX281" s="414"/>
      <c r="MXA281" s="445"/>
      <c r="MXB281" s="414"/>
      <c r="MXE281" s="445"/>
      <c r="MXF281" s="414"/>
      <c r="MXI281" s="445"/>
      <c r="MXJ281" s="414"/>
      <c r="MXM281" s="445"/>
      <c r="MXN281" s="414"/>
      <c r="MXQ281" s="445"/>
      <c r="MXR281" s="414"/>
      <c r="MXU281" s="445"/>
      <c r="MXV281" s="414"/>
      <c r="MXY281" s="445"/>
      <c r="MXZ281" s="414"/>
      <c r="MYC281" s="445"/>
      <c r="MYD281" s="414"/>
      <c r="MYG281" s="445"/>
      <c r="MYH281" s="414"/>
      <c r="MYK281" s="445"/>
      <c r="MYL281" s="414"/>
      <c r="MYO281" s="445"/>
      <c r="MYP281" s="414"/>
      <c r="MYS281" s="445"/>
      <c r="MYT281" s="414"/>
      <c r="MYW281" s="445"/>
      <c r="MYX281" s="414"/>
      <c r="MZA281" s="445"/>
      <c r="MZB281" s="414"/>
      <c r="MZE281" s="445"/>
      <c r="MZF281" s="414"/>
      <c r="MZI281" s="445"/>
      <c r="MZJ281" s="414"/>
      <c r="MZM281" s="445"/>
      <c r="MZN281" s="414"/>
      <c r="MZQ281" s="445"/>
      <c r="MZR281" s="414"/>
      <c r="MZU281" s="445"/>
      <c r="MZV281" s="414"/>
      <c r="MZY281" s="445"/>
      <c r="MZZ281" s="414"/>
      <c r="NAC281" s="445"/>
      <c r="NAD281" s="414"/>
      <c r="NAG281" s="445"/>
      <c r="NAH281" s="414"/>
      <c r="NAK281" s="445"/>
      <c r="NAL281" s="414"/>
      <c r="NAO281" s="445"/>
      <c r="NAP281" s="414"/>
      <c r="NAS281" s="445"/>
      <c r="NAT281" s="414"/>
      <c r="NAW281" s="445"/>
      <c r="NAX281" s="414"/>
      <c r="NBA281" s="445"/>
      <c r="NBB281" s="414"/>
      <c r="NBE281" s="445"/>
      <c r="NBF281" s="414"/>
      <c r="NBI281" s="445"/>
      <c r="NBJ281" s="414"/>
      <c r="NBM281" s="445"/>
      <c r="NBN281" s="414"/>
      <c r="NBQ281" s="445"/>
      <c r="NBR281" s="414"/>
      <c r="NBU281" s="445"/>
      <c r="NBV281" s="414"/>
      <c r="NBY281" s="445"/>
      <c r="NBZ281" s="414"/>
      <c r="NCC281" s="445"/>
      <c r="NCD281" s="414"/>
      <c r="NCG281" s="445"/>
      <c r="NCH281" s="414"/>
      <c r="NCK281" s="445"/>
      <c r="NCL281" s="414"/>
      <c r="NCO281" s="445"/>
      <c r="NCP281" s="414"/>
      <c r="NCS281" s="445"/>
      <c r="NCT281" s="414"/>
      <c r="NCW281" s="445"/>
      <c r="NCX281" s="414"/>
      <c r="NDA281" s="445"/>
      <c r="NDB281" s="414"/>
      <c r="NDE281" s="445"/>
      <c r="NDF281" s="414"/>
      <c r="NDI281" s="445"/>
      <c r="NDJ281" s="414"/>
      <c r="NDM281" s="445"/>
      <c r="NDN281" s="414"/>
      <c r="NDQ281" s="445"/>
      <c r="NDR281" s="414"/>
      <c r="NDU281" s="445"/>
      <c r="NDV281" s="414"/>
      <c r="NDY281" s="445"/>
      <c r="NDZ281" s="414"/>
      <c r="NEC281" s="445"/>
      <c r="NED281" s="414"/>
      <c r="NEG281" s="445"/>
      <c r="NEH281" s="414"/>
      <c r="NEK281" s="445"/>
      <c r="NEL281" s="414"/>
      <c r="NEO281" s="445"/>
      <c r="NEP281" s="414"/>
      <c r="NES281" s="445"/>
      <c r="NET281" s="414"/>
      <c r="NEW281" s="445"/>
      <c r="NEX281" s="414"/>
      <c r="NFA281" s="445"/>
      <c r="NFB281" s="414"/>
      <c r="NFE281" s="445"/>
      <c r="NFF281" s="414"/>
      <c r="NFI281" s="445"/>
      <c r="NFJ281" s="414"/>
      <c r="NFM281" s="445"/>
      <c r="NFN281" s="414"/>
      <c r="NFQ281" s="445"/>
      <c r="NFR281" s="414"/>
      <c r="NFU281" s="445"/>
      <c r="NFV281" s="414"/>
      <c r="NFY281" s="445"/>
      <c r="NFZ281" s="414"/>
      <c r="NGC281" s="445"/>
      <c r="NGD281" s="414"/>
      <c r="NGG281" s="445"/>
      <c r="NGH281" s="414"/>
      <c r="NGK281" s="445"/>
      <c r="NGL281" s="414"/>
      <c r="NGO281" s="445"/>
      <c r="NGP281" s="414"/>
      <c r="NGS281" s="445"/>
      <c r="NGT281" s="414"/>
      <c r="NGW281" s="445"/>
      <c r="NGX281" s="414"/>
      <c r="NHA281" s="445"/>
      <c r="NHB281" s="414"/>
      <c r="NHE281" s="445"/>
      <c r="NHF281" s="414"/>
      <c r="NHI281" s="445"/>
      <c r="NHJ281" s="414"/>
      <c r="NHM281" s="445"/>
      <c r="NHN281" s="414"/>
      <c r="NHQ281" s="445"/>
      <c r="NHR281" s="414"/>
      <c r="NHU281" s="445"/>
      <c r="NHV281" s="414"/>
      <c r="NHY281" s="445"/>
      <c r="NHZ281" s="414"/>
      <c r="NIC281" s="445"/>
      <c r="NID281" s="414"/>
      <c r="NIG281" s="445"/>
      <c r="NIH281" s="414"/>
      <c r="NIK281" s="445"/>
      <c r="NIL281" s="414"/>
      <c r="NIO281" s="445"/>
      <c r="NIP281" s="414"/>
      <c r="NIS281" s="445"/>
      <c r="NIT281" s="414"/>
      <c r="NIW281" s="445"/>
      <c r="NIX281" s="414"/>
      <c r="NJA281" s="445"/>
      <c r="NJB281" s="414"/>
      <c r="NJE281" s="445"/>
      <c r="NJF281" s="414"/>
      <c r="NJI281" s="445"/>
      <c r="NJJ281" s="414"/>
      <c r="NJM281" s="445"/>
      <c r="NJN281" s="414"/>
      <c r="NJQ281" s="445"/>
      <c r="NJR281" s="414"/>
      <c r="NJU281" s="445"/>
      <c r="NJV281" s="414"/>
      <c r="NJY281" s="445"/>
      <c r="NJZ281" s="414"/>
      <c r="NKC281" s="445"/>
      <c r="NKD281" s="414"/>
      <c r="NKG281" s="445"/>
      <c r="NKH281" s="414"/>
      <c r="NKK281" s="445"/>
      <c r="NKL281" s="414"/>
      <c r="NKO281" s="445"/>
      <c r="NKP281" s="414"/>
      <c r="NKS281" s="445"/>
      <c r="NKT281" s="414"/>
      <c r="NKW281" s="445"/>
      <c r="NKX281" s="414"/>
      <c r="NLA281" s="445"/>
      <c r="NLB281" s="414"/>
      <c r="NLE281" s="445"/>
      <c r="NLF281" s="414"/>
      <c r="NLI281" s="445"/>
      <c r="NLJ281" s="414"/>
      <c r="NLM281" s="445"/>
      <c r="NLN281" s="414"/>
      <c r="NLQ281" s="445"/>
      <c r="NLR281" s="414"/>
      <c r="NLU281" s="445"/>
      <c r="NLV281" s="414"/>
      <c r="NLY281" s="445"/>
      <c r="NLZ281" s="414"/>
      <c r="NMC281" s="445"/>
      <c r="NMD281" s="414"/>
      <c r="NMG281" s="445"/>
      <c r="NMH281" s="414"/>
      <c r="NMK281" s="445"/>
      <c r="NML281" s="414"/>
      <c r="NMO281" s="445"/>
      <c r="NMP281" s="414"/>
      <c r="NMS281" s="445"/>
      <c r="NMT281" s="414"/>
      <c r="NMW281" s="445"/>
      <c r="NMX281" s="414"/>
      <c r="NNA281" s="445"/>
      <c r="NNB281" s="414"/>
      <c r="NNE281" s="445"/>
      <c r="NNF281" s="414"/>
      <c r="NNI281" s="445"/>
      <c r="NNJ281" s="414"/>
      <c r="NNM281" s="445"/>
      <c r="NNN281" s="414"/>
      <c r="NNQ281" s="445"/>
      <c r="NNR281" s="414"/>
      <c r="NNU281" s="445"/>
      <c r="NNV281" s="414"/>
      <c r="NNY281" s="445"/>
      <c r="NNZ281" s="414"/>
      <c r="NOC281" s="445"/>
      <c r="NOD281" s="414"/>
      <c r="NOG281" s="445"/>
      <c r="NOH281" s="414"/>
      <c r="NOK281" s="445"/>
      <c r="NOL281" s="414"/>
      <c r="NOO281" s="445"/>
      <c r="NOP281" s="414"/>
      <c r="NOS281" s="445"/>
      <c r="NOT281" s="414"/>
      <c r="NOW281" s="445"/>
      <c r="NOX281" s="414"/>
      <c r="NPA281" s="445"/>
      <c r="NPB281" s="414"/>
      <c r="NPE281" s="445"/>
      <c r="NPF281" s="414"/>
      <c r="NPI281" s="445"/>
      <c r="NPJ281" s="414"/>
      <c r="NPM281" s="445"/>
      <c r="NPN281" s="414"/>
      <c r="NPQ281" s="445"/>
      <c r="NPR281" s="414"/>
      <c r="NPU281" s="445"/>
      <c r="NPV281" s="414"/>
      <c r="NPY281" s="445"/>
      <c r="NPZ281" s="414"/>
      <c r="NQC281" s="445"/>
      <c r="NQD281" s="414"/>
      <c r="NQG281" s="445"/>
      <c r="NQH281" s="414"/>
      <c r="NQK281" s="445"/>
      <c r="NQL281" s="414"/>
      <c r="NQO281" s="445"/>
      <c r="NQP281" s="414"/>
      <c r="NQS281" s="445"/>
      <c r="NQT281" s="414"/>
      <c r="NQW281" s="445"/>
      <c r="NQX281" s="414"/>
      <c r="NRA281" s="445"/>
      <c r="NRB281" s="414"/>
      <c r="NRE281" s="445"/>
      <c r="NRF281" s="414"/>
      <c r="NRI281" s="445"/>
      <c r="NRJ281" s="414"/>
      <c r="NRM281" s="445"/>
      <c r="NRN281" s="414"/>
      <c r="NRQ281" s="445"/>
      <c r="NRR281" s="414"/>
      <c r="NRU281" s="445"/>
      <c r="NRV281" s="414"/>
      <c r="NRY281" s="445"/>
      <c r="NRZ281" s="414"/>
      <c r="NSC281" s="445"/>
      <c r="NSD281" s="414"/>
      <c r="NSG281" s="445"/>
      <c r="NSH281" s="414"/>
      <c r="NSK281" s="445"/>
      <c r="NSL281" s="414"/>
      <c r="NSO281" s="445"/>
      <c r="NSP281" s="414"/>
      <c r="NSS281" s="445"/>
      <c r="NST281" s="414"/>
      <c r="NSW281" s="445"/>
      <c r="NSX281" s="414"/>
      <c r="NTA281" s="445"/>
      <c r="NTB281" s="414"/>
      <c r="NTE281" s="445"/>
      <c r="NTF281" s="414"/>
      <c r="NTI281" s="445"/>
      <c r="NTJ281" s="414"/>
      <c r="NTM281" s="445"/>
      <c r="NTN281" s="414"/>
      <c r="NTQ281" s="445"/>
      <c r="NTR281" s="414"/>
      <c r="NTU281" s="445"/>
      <c r="NTV281" s="414"/>
      <c r="NTY281" s="445"/>
      <c r="NTZ281" s="414"/>
      <c r="NUC281" s="445"/>
      <c r="NUD281" s="414"/>
      <c r="NUG281" s="445"/>
      <c r="NUH281" s="414"/>
      <c r="NUK281" s="445"/>
      <c r="NUL281" s="414"/>
      <c r="NUO281" s="445"/>
      <c r="NUP281" s="414"/>
      <c r="NUS281" s="445"/>
      <c r="NUT281" s="414"/>
      <c r="NUW281" s="445"/>
      <c r="NUX281" s="414"/>
      <c r="NVA281" s="445"/>
      <c r="NVB281" s="414"/>
      <c r="NVE281" s="445"/>
      <c r="NVF281" s="414"/>
      <c r="NVI281" s="445"/>
      <c r="NVJ281" s="414"/>
      <c r="NVM281" s="445"/>
      <c r="NVN281" s="414"/>
      <c r="NVQ281" s="445"/>
      <c r="NVR281" s="414"/>
      <c r="NVU281" s="445"/>
      <c r="NVV281" s="414"/>
      <c r="NVY281" s="445"/>
      <c r="NVZ281" s="414"/>
      <c r="NWC281" s="445"/>
      <c r="NWD281" s="414"/>
      <c r="NWG281" s="445"/>
      <c r="NWH281" s="414"/>
      <c r="NWK281" s="445"/>
      <c r="NWL281" s="414"/>
      <c r="NWO281" s="445"/>
      <c r="NWP281" s="414"/>
      <c r="NWS281" s="445"/>
      <c r="NWT281" s="414"/>
      <c r="NWW281" s="445"/>
      <c r="NWX281" s="414"/>
      <c r="NXA281" s="445"/>
      <c r="NXB281" s="414"/>
      <c r="NXE281" s="445"/>
      <c r="NXF281" s="414"/>
      <c r="NXI281" s="445"/>
      <c r="NXJ281" s="414"/>
      <c r="NXM281" s="445"/>
      <c r="NXN281" s="414"/>
      <c r="NXQ281" s="445"/>
      <c r="NXR281" s="414"/>
      <c r="NXU281" s="445"/>
      <c r="NXV281" s="414"/>
      <c r="NXY281" s="445"/>
      <c r="NXZ281" s="414"/>
      <c r="NYC281" s="445"/>
      <c r="NYD281" s="414"/>
      <c r="NYG281" s="445"/>
      <c r="NYH281" s="414"/>
      <c r="NYK281" s="445"/>
      <c r="NYL281" s="414"/>
      <c r="NYO281" s="445"/>
      <c r="NYP281" s="414"/>
      <c r="NYS281" s="445"/>
      <c r="NYT281" s="414"/>
      <c r="NYW281" s="445"/>
      <c r="NYX281" s="414"/>
      <c r="NZA281" s="445"/>
      <c r="NZB281" s="414"/>
      <c r="NZE281" s="445"/>
      <c r="NZF281" s="414"/>
      <c r="NZI281" s="445"/>
      <c r="NZJ281" s="414"/>
      <c r="NZM281" s="445"/>
      <c r="NZN281" s="414"/>
      <c r="NZQ281" s="445"/>
      <c r="NZR281" s="414"/>
      <c r="NZU281" s="445"/>
      <c r="NZV281" s="414"/>
      <c r="NZY281" s="445"/>
      <c r="NZZ281" s="414"/>
      <c r="OAC281" s="445"/>
      <c r="OAD281" s="414"/>
      <c r="OAG281" s="445"/>
      <c r="OAH281" s="414"/>
      <c r="OAK281" s="445"/>
      <c r="OAL281" s="414"/>
      <c r="OAO281" s="445"/>
      <c r="OAP281" s="414"/>
      <c r="OAS281" s="445"/>
      <c r="OAT281" s="414"/>
      <c r="OAW281" s="445"/>
      <c r="OAX281" s="414"/>
      <c r="OBA281" s="445"/>
      <c r="OBB281" s="414"/>
      <c r="OBE281" s="445"/>
      <c r="OBF281" s="414"/>
      <c r="OBI281" s="445"/>
      <c r="OBJ281" s="414"/>
      <c r="OBM281" s="445"/>
      <c r="OBN281" s="414"/>
      <c r="OBQ281" s="445"/>
      <c r="OBR281" s="414"/>
      <c r="OBU281" s="445"/>
      <c r="OBV281" s="414"/>
      <c r="OBY281" s="445"/>
      <c r="OBZ281" s="414"/>
      <c r="OCC281" s="445"/>
      <c r="OCD281" s="414"/>
      <c r="OCG281" s="445"/>
      <c r="OCH281" s="414"/>
      <c r="OCK281" s="445"/>
      <c r="OCL281" s="414"/>
      <c r="OCO281" s="445"/>
      <c r="OCP281" s="414"/>
      <c r="OCS281" s="445"/>
      <c r="OCT281" s="414"/>
      <c r="OCW281" s="445"/>
      <c r="OCX281" s="414"/>
      <c r="ODA281" s="445"/>
      <c r="ODB281" s="414"/>
      <c r="ODE281" s="445"/>
      <c r="ODF281" s="414"/>
      <c r="ODI281" s="445"/>
      <c r="ODJ281" s="414"/>
      <c r="ODM281" s="445"/>
      <c r="ODN281" s="414"/>
      <c r="ODQ281" s="445"/>
      <c r="ODR281" s="414"/>
      <c r="ODU281" s="445"/>
      <c r="ODV281" s="414"/>
      <c r="ODY281" s="445"/>
      <c r="ODZ281" s="414"/>
      <c r="OEC281" s="445"/>
      <c r="OED281" s="414"/>
      <c r="OEG281" s="445"/>
      <c r="OEH281" s="414"/>
      <c r="OEK281" s="445"/>
      <c r="OEL281" s="414"/>
      <c r="OEO281" s="445"/>
      <c r="OEP281" s="414"/>
      <c r="OES281" s="445"/>
      <c r="OET281" s="414"/>
      <c r="OEW281" s="445"/>
      <c r="OEX281" s="414"/>
      <c r="OFA281" s="445"/>
      <c r="OFB281" s="414"/>
      <c r="OFE281" s="445"/>
      <c r="OFF281" s="414"/>
      <c r="OFI281" s="445"/>
      <c r="OFJ281" s="414"/>
      <c r="OFM281" s="445"/>
      <c r="OFN281" s="414"/>
      <c r="OFQ281" s="445"/>
      <c r="OFR281" s="414"/>
      <c r="OFU281" s="445"/>
      <c r="OFV281" s="414"/>
      <c r="OFY281" s="445"/>
      <c r="OFZ281" s="414"/>
      <c r="OGC281" s="445"/>
      <c r="OGD281" s="414"/>
      <c r="OGG281" s="445"/>
      <c r="OGH281" s="414"/>
      <c r="OGK281" s="445"/>
      <c r="OGL281" s="414"/>
      <c r="OGO281" s="445"/>
      <c r="OGP281" s="414"/>
      <c r="OGS281" s="445"/>
      <c r="OGT281" s="414"/>
      <c r="OGW281" s="445"/>
      <c r="OGX281" s="414"/>
      <c r="OHA281" s="445"/>
      <c r="OHB281" s="414"/>
      <c r="OHE281" s="445"/>
      <c r="OHF281" s="414"/>
      <c r="OHI281" s="445"/>
      <c r="OHJ281" s="414"/>
      <c r="OHM281" s="445"/>
      <c r="OHN281" s="414"/>
      <c r="OHQ281" s="445"/>
      <c r="OHR281" s="414"/>
      <c r="OHU281" s="445"/>
      <c r="OHV281" s="414"/>
      <c r="OHY281" s="445"/>
      <c r="OHZ281" s="414"/>
      <c r="OIC281" s="445"/>
      <c r="OID281" s="414"/>
      <c r="OIG281" s="445"/>
      <c r="OIH281" s="414"/>
      <c r="OIK281" s="445"/>
      <c r="OIL281" s="414"/>
      <c r="OIO281" s="445"/>
      <c r="OIP281" s="414"/>
      <c r="OIS281" s="445"/>
      <c r="OIT281" s="414"/>
      <c r="OIW281" s="445"/>
      <c r="OIX281" s="414"/>
      <c r="OJA281" s="445"/>
      <c r="OJB281" s="414"/>
      <c r="OJE281" s="445"/>
      <c r="OJF281" s="414"/>
      <c r="OJI281" s="445"/>
      <c r="OJJ281" s="414"/>
      <c r="OJM281" s="445"/>
      <c r="OJN281" s="414"/>
      <c r="OJQ281" s="445"/>
      <c r="OJR281" s="414"/>
      <c r="OJU281" s="445"/>
      <c r="OJV281" s="414"/>
      <c r="OJY281" s="445"/>
      <c r="OJZ281" s="414"/>
      <c r="OKC281" s="445"/>
      <c r="OKD281" s="414"/>
      <c r="OKG281" s="445"/>
      <c r="OKH281" s="414"/>
      <c r="OKK281" s="445"/>
      <c r="OKL281" s="414"/>
      <c r="OKO281" s="445"/>
      <c r="OKP281" s="414"/>
      <c r="OKS281" s="445"/>
      <c r="OKT281" s="414"/>
      <c r="OKW281" s="445"/>
      <c r="OKX281" s="414"/>
      <c r="OLA281" s="445"/>
      <c r="OLB281" s="414"/>
      <c r="OLE281" s="445"/>
      <c r="OLF281" s="414"/>
      <c r="OLI281" s="445"/>
      <c r="OLJ281" s="414"/>
      <c r="OLM281" s="445"/>
      <c r="OLN281" s="414"/>
      <c r="OLQ281" s="445"/>
      <c r="OLR281" s="414"/>
      <c r="OLU281" s="445"/>
      <c r="OLV281" s="414"/>
      <c r="OLY281" s="445"/>
      <c r="OLZ281" s="414"/>
      <c r="OMC281" s="445"/>
      <c r="OMD281" s="414"/>
      <c r="OMG281" s="445"/>
      <c r="OMH281" s="414"/>
      <c r="OMK281" s="445"/>
      <c r="OML281" s="414"/>
      <c r="OMO281" s="445"/>
      <c r="OMP281" s="414"/>
      <c r="OMS281" s="445"/>
      <c r="OMT281" s="414"/>
      <c r="OMW281" s="445"/>
      <c r="OMX281" s="414"/>
      <c r="ONA281" s="445"/>
      <c r="ONB281" s="414"/>
      <c r="ONE281" s="445"/>
      <c r="ONF281" s="414"/>
      <c r="ONI281" s="445"/>
      <c r="ONJ281" s="414"/>
      <c r="ONM281" s="445"/>
      <c r="ONN281" s="414"/>
      <c r="ONQ281" s="445"/>
      <c r="ONR281" s="414"/>
      <c r="ONU281" s="445"/>
      <c r="ONV281" s="414"/>
      <c r="ONY281" s="445"/>
      <c r="ONZ281" s="414"/>
      <c r="OOC281" s="445"/>
      <c r="OOD281" s="414"/>
      <c r="OOG281" s="445"/>
      <c r="OOH281" s="414"/>
      <c r="OOK281" s="445"/>
      <c r="OOL281" s="414"/>
      <c r="OOO281" s="445"/>
      <c r="OOP281" s="414"/>
      <c r="OOS281" s="445"/>
      <c r="OOT281" s="414"/>
      <c r="OOW281" s="445"/>
      <c r="OOX281" s="414"/>
      <c r="OPA281" s="445"/>
      <c r="OPB281" s="414"/>
      <c r="OPE281" s="445"/>
      <c r="OPF281" s="414"/>
      <c r="OPI281" s="445"/>
      <c r="OPJ281" s="414"/>
      <c r="OPM281" s="445"/>
      <c r="OPN281" s="414"/>
      <c r="OPQ281" s="445"/>
      <c r="OPR281" s="414"/>
      <c r="OPU281" s="445"/>
      <c r="OPV281" s="414"/>
      <c r="OPY281" s="445"/>
      <c r="OPZ281" s="414"/>
      <c r="OQC281" s="445"/>
      <c r="OQD281" s="414"/>
      <c r="OQG281" s="445"/>
      <c r="OQH281" s="414"/>
      <c r="OQK281" s="445"/>
      <c r="OQL281" s="414"/>
      <c r="OQO281" s="445"/>
      <c r="OQP281" s="414"/>
      <c r="OQS281" s="445"/>
      <c r="OQT281" s="414"/>
      <c r="OQW281" s="445"/>
      <c r="OQX281" s="414"/>
      <c r="ORA281" s="445"/>
      <c r="ORB281" s="414"/>
      <c r="ORE281" s="445"/>
      <c r="ORF281" s="414"/>
      <c r="ORI281" s="445"/>
      <c r="ORJ281" s="414"/>
      <c r="ORM281" s="445"/>
      <c r="ORN281" s="414"/>
      <c r="ORQ281" s="445"/>
      <c r="ORR281" s="414"/>
      <c r="ORU281" s="445"/>
      <c r="ORV281" s="414"/>
      <c r="ORY281" s="445"/>
      <c r="ORZ281" s="414"/>
      <c r="OSC281" s="445"/>
      <c r="OSD281" s="414"/>
      <c r="OSG281" s="445"/>
      <c r="OSH281" s="414"/>
      <c r="OSK281" s="445"/>
      <c r="OSL281" s="414"/>
      <c r="OSO281" s="445"/>
      <c r="OSP281" s="414"/>
      <c r="OSS281" s="445"/>
      <c r="OST281" s="414"/>
      <c r="OSW281" s="445"/>
      <c r="OSX281" s="414"/>
      <c r="OTA281" s="445"/>
      <c r="OTB281" s="414"/>
      <c r="OTE281" s="445"/>
      <c r="OTF281" s="414"/>
      <c r="OTI281" s="445"/>
      <c r="OTJ281" s="414"/>
      <c r="OTM281" s="445"/>
      <c r="OTN281" s="414"/>
      <c r="OTQ281" s="445"/>
      <c r="OTR281" s="414"/>
      <c r="OTU281" s="445"/>
      <c r="OTV281" s="414"/>
      <c r="OTY281" s="445"/>
      <c r="OTZ281" s="414"/>
      <c r="OUC281" s="445"/>
      <c r="OUD281" s="414"/>
      <c r="OUG281" s="445"/>
      <c r="OUH281" s="414"/>
      <c r="OUK281" s="445"/>
      <c r="OUL281" s="414"/>
      <c r="OUO281" s="445"/>
      <c r="OUP281" s="414"/>
      <c r="OUS281" s="445"/>
      <c r="OUT281" s="414"/>
      <c r="OUW281" s="445"/>
      <c r="OUX281" s="414"/>
      <c r="OVA281" s="445"/>
      <c r="OVB281" s="414"/>
      <c r="OVE281" s="445"/>
      <c r="OVF281" s="414"/>
      <c r="OVI281" s="445"/>
      <c r="OVJ281" s="414"/>
      <c r="OVM281" s="445"/>
      <c r="OVN281" s="414"/>
      <c r="OVQ281" s="445"/>
      <c r="OVR281" s="414"/>
      <c r="OVU281" s="445"/>
      <c r="OVV281" s="414"/>
      <c r="OVY281" s="445"/>
      <c r="OVZ281" s="414"/>
      <c r="OWC281" s="445"/>
      <c r="OWD281" s="414"/>
      <c r="OWG281" s="445"/>
      <c r="OWH281" s="414"/>
      <c r="OWK281" s="445"/>
      <c r="OWL281" s="414"/>
      <c r="OWO281" s="445"/>
      <c r="OWP281" s="414"/>
      <c r="OWS281" s="445"/>
      <c r="OWT281" s="414"/>
      <c r="OWW281" s="445"/>
      <c r="OWX281" s="414"/>
      <c r="OXA281" s="445"/>
      <c r="OXB281" s="414"/>
      <c r="OXE281" s="445"/>
      <c r="OXF281" s="414"/>
      <c r="OXI281" s="445"/>
      <c r="OXJ281" s="414"/>
      <c r="OXM281" s="445"/>
      <c r="OXN281" s="414"/>
      <c r="OXQ281" s="445"/>
      <c r="OXR281" s="414"/>
      <c r="OXU281" s="445"/>
      <c r="OXV281" s="414"/>
      <c r="OXY281" s="445"/>
      <c r="OXZ281" s="414"/>
      <c r="OYC281" s="445"/>
      <c r="OYD281" s="414"/>
      <c r="OYG281" s="445"/>
      <c r="OYH281" s="414"/>
      <c r="OYK281" s="445"/>
      <c r="OYL281" s="414"/>
      <c r="OYO281" s="445"/>
      <c r="OYP281" s="414"/>
      <c r="OYS281" s="445"/>
      <c r="OYT281" s="414"/>
      <c r="OYW281" s="445"/>
      <c r="OYX281" s="414"/>
      <c r="OZA281" s="445"/>
      <c r="OZB281" s="414"/>
      <c r="OZE281" s="445"/>
      <c r="OZF281" s="414"/>
      <c r="OZI281" s="445"/>
      <c r="OZJ281" s="414"/>
      <c r="OZM281" s="445"/>
      <c r="OZN281" s="414"/>
      <c r="OZQ281" s="445"/>
      <c r="OZR281" s="414"/>
      <c r="OZU281" s="445"/>
      <c r="OZV281" s="414"/>
      <c r="OZY281" s="445"/>
      <c r="OZZ281" s="414"/>
      <c r="PAC281" s="445"/>
      <c r="PAD281" s="414"/>
      <c r="PAG281" s="445"/>
      <c r="PAH281" s="414"/>
      <c r="PAK281" s="445"/>
      <c r="PAL281" s="414"/>
      <c r="PAO281" s="445"/>
      <c r="PAP281" s="414"/>
      <c r="PAS281" s="445"/>
      <c r="PAT281" s="414"/>
      <c r="PAW281" s="445"/>
      <c r="PAX281" s="414"/>
      <c r="PBA281" s="445"/>
      <c r="PBB281" s="414"/>
      <c r="PBE281" s="445"/>
      <c r="PBF281" s="414"/>
      <c r="PBI281" s="445"/>
      <c r="PBJ281" s="414"/>
      <c r="PBM281" s="445"/>
      <c r="PBN281" s="414"/>
      <c r="PBQ281" s="445"/>
      <c r="PBR281" s="414"/>
      <c r="PBU281" s="445"/>
      <c r="PBV281" s="414"/>
      <c r="PBY281" s="445"/>
      <c r="PBZ281" s="414"/>
      <c r="PCC281" s="445"/>
      <c r="PCD281" s="414"/>
      <c r="PCG281" s="445"/>
      <c r="PCH281" s="414"/>
      <c r="PCK281" s="445"/>
      <c r="PCL281" s="414"/>
      <c r="PCO281" s="445"/>
      <c r="PCP281" s="414"/>
      <c r="PCS281" s="445"/>
      <c r="PCT281" s="414"/>
      <c r="PCW281" s="445"/>
      <c r="PCX281" s="414"/>
      <c r="PDA281" s="445"/>
      <c r="PDB281" s="414"/>
      <c r="PDE281" s="445"/>
      <c r="PDF281" s="414"/>
      <c r="PDI281" s="445"/>
      <c r="PDJ281" s="414"/>
      <c r="PDM281" s="445"/>
      <c r="PDN281" s="414"/>
      <c r="PDQ281" s="445"/>
      <c r="PDR281" s="414"/>
      <c r="PDU281" s="445"/>
      <c r="PDV281" s="414"/>
      <c r="PDY281" s="445"/>
      <c r="PDZ281" s="414"/>
      <c r="PEC281" s="445"/>
      <c r="PED281" s="414"/>
      <c r="PEG281" s="445"/>
      <c r="PEH281" s="414"/>
      <c r="PEK281" s="445"/>
      <c r="PEL281" s="414"/>
      <c r="PEO281" s="445"/>
      <c r="PEP281" s="414"/>
      <c r="PES281" s="445"/>
      <c r="PET281" s="414"/>
      <c r="PEW281" s="445"/>
      <c r="PEX281" s="414"/>
      <c r="PFA281" s="445"/>
      <c r="PFB281" s="414"/>
      <c r="PFE281" s="445"/>
      <c r="PFF281" s="414"/>
      <c r="PFI281" s="445"/>
      <c r="PFJ281" s="414"/>
      <c r="PFM281" s="445"/>
      <c r="PFN281" s="414"/>
      <c r="PFQ281" s="445"/>
      <c r="PFR281" s="414"/>
      <c r="PFU281" s="445"/>
      <c r="PFV281" s="414"/>
      <c r="PFY281" s="445"/>
      <c r="PFZ281" s="414"/>
      <c r="PGC281" s="445"/>
      <c r="PGD281" s="414"/>
      <c r="PGG281" s="445"/>
      <c r="PGH281" s="414"/>
      <c r="PGK281" s="445"/>
      <c r="PGL281" s="414"/>
      <c r="PGO281" s="445"/>
      <c r="PGP281" s="414"/>
      <c r="PGS281" s="445"/>
      <c r="PGT281" s="414"/>
      <c r="PGW281" s="445"/>
      <c r="PGX281" s="414"/>
      <c r="PHA281" s="445"/>
      <c r="PHB281" s="414"/>
      <c r="PHE281" s="445"/>
      <c r="PHF281" s="414"/>
      <c r="PHI281" s="445"/>
      <c r="PHJ281" s="414"/>
      <c r="PHM281" s="445"/>
      <c r="PHN281" s="414"/>
      <c r="PHQ281" s="445"/>
      <c r="PHR281" s="414"/>
      <c r="PHU281" s="445"/>
      <c r="PHV281" s="414"/>
      <c r="PHY281" s="445"/>
      <c r="PHZ281" s="414"/>
      <c r="PIC281" s="445"/>
      <c r="PID281" s="414"/>
      <c r="PIG281" s="445"/>
      <c r="PIH281" s="414"/>
      <c r="PIK281" s="445"/>
      <c r="PIL281" s="414"/>
      <c r="PIO281" s="445"/>
      <c r="PIP281" s="414"/>
      <c r="PIS281" s="445"/>
      <c r="PIT281" s="414"/>
      <c r="PIW281" s="445"/>
      <c r="PIX281" s="414"/>
      <c r="PJA281" s="445"/>
      <c r="PJB281" s="414"/>
      <c r="PJE281" s="445"/>
      <c r="PJF281" s="414"/>
      <c r="PJI281" s="445"/>
      <c r="PJJ281" s="414"/>
      <c r="PJM281" s="445"/>
      <c r="PJN281" s="414"/>
      <c r="PJQ281" s="445"/>
      <c r="PJR281" s="414"/>
      <c r="PJU281" s="445"/>
      <c r="PJV281" s="414"/>
      <c r="PJY281" s="445"/>
      <c r="PJZ281" s="414"/>
      <c r="PKC281" s="445"/>
      <c r="PKD281" s="414"/>
      <c r="PKG281" s="445"/>
      <c r="PKH281" s="414"/>
      <c r="PKK281" s="445"/>
      <c r="PKL281" s="414"/>
      <c r="PKO281" s="445"/>
      <c r="PKP281" s="414"/>
      <c r="PKS281" s="445"/>
      <c r="PKT281" s="414"/>
      <c r="PKW281" s="445"/>
      <c r="PKX281" s="414"/>
      <c r="PLA281" s="445"/>
      <c r="PLB281" s="414"/>
      <c r="PLE281" s="445"/>
      <c r="PLF281" s="414"/>
      <c r="PLI281" s="445"/>
      <c r="PLJ281" s="414"/>
      <c r="PLM281" s="445"/>
      <c r="PLN281" s="414"/>
      <c r="PLQ281" s="445"/>
      <c r="PLR281" s="414"/>
      <c r="PLU281" s="445"/>
      <c r="PLV281" s="414"/>
      <c r="PLY281" s="445"/>
      <c r="PLZ281" s="414"/>
      <c r="PMC281" s="445"/>
      <c r="PMD281" s="414"/>
      <c r="PMG281" s="445"/>
      <c r="PMH281" s="414"/>
      <c r="PMK281" s="445"/>
      <c r="PML281" s="414"/>
      <c r="PMO281" s="445"/>
      <c r="PMP281" s="414"/>
      <c r="PMS281" s="445"/>
      <c r="PMT281" s="414"/>
      <c r="PMW281" s="445"/>
      <c r="PMX281" s="414"/>
      <c r="PNA281" s="445"/>
      <c r="PNB281" s="414"/>
      <c r="PNE281" s="445"/>
      <c r="PNF281" s="414"/>
      <c r="PNI281" s="445"/>
      <c r="PNJ281" s="414"/>
      <c r="PNM281" s="445"/>
      <c r="PNN281" s="414"/>
      <c r="PNQ281" s="445"/>
      <c r="PNR281" s="414"/>
      <c r="PNU281" s="445"/>
      <c r="PNV281" s="414"/>
      <c r="PNY281" s="445"/>
      <c r="PNZ281" s="414"/>
      <c r="POC281" s="445"/>
      <c r="POD281" s="414"/>
      <c r="POG281" s="445"/>
      <c r="POH281" s="414"/>
      <c r="POK281" s="445"/>
      <c r="POL281" s="414"/>
      <c r="POO281" s="445"/>
      <c r="POP281" s="414"/>
      <c r="POS281" s="445"/>
      <c r="POT281" s="414"/>
      <c r="POW281" s="445"/>
      <c r="POX281" s="414"/>
      <c r="PPA281" s="445"/>
      <c r="PPB281" s="414"/>
      <c r="PPE281" s="445"/>
      <c r="PPF281" s="414"/>
      <c r="PPI281" s="445"/>
      <c r="PPJ281" s="414"/>
      <c r="PPM281" s="445"/>
      <c r="PPN281" s="414"/>
      <c r="PPQ281" s="445"/>
      <c r="PPR281" s="414"/>
      <c r="PPU281" s="445"/>
      <c r="PPV281" s="414"/>
      <c r="PPY281" s="445"/>
      <c r="PPZ281" s="414"/>
      <c r="PQC281" s="445"/>
      <c r="PQD281" s="414"/>
      <c r="PQG281" s="445"/>
      <c r="PQH281" s="414"/>
      <c r="PQK281" s="445"/>
      <c r="PQL281" s="414"/>
      <c r="PQO281" s="445"/>
      <c r="PQP281" s="414"/>
      <c r="PQS281" s="445"/>
      <c r="PQT281" s="414"/>
      <c r="PQW281" s="445"/>
      <c r="PQX281" s="414"/>
      <c r="PRA281" s="445"/>
      <c r="PRB281" s="414"/>
      <c r="PRE281" s="445"/>
      <c r="PRF281" s="414"/>
      <c r="PRI281" s="445"/>
      <c r="PRJ281" s="414"/>
      <c r="PRM281" s="445"/>
      <c r="PRN281" s="414"/>
      <c r="PRQ281" s="445"/>
      <c r="PRR281" s="414"/>
      <c r="PRU281" s="445"/>
      <c r="PRV281" s="414"/>
      <c r="PRY281" s="445"/>
      <c r="PRZ281" s="414"/>
      <c r="PSC281" s="445"/>
      <c r="PSD281" s="414"/>
      <c r="PSG281" s="445"/>
      <c r="PSH281" s="414"/>
      <c r="PSK281" s="445"/>
      <c r="PSL281" s="414"/>
      <c r="PSO281" s="445"/>
      <c r="PSP281" s="414"/>
      <c r="PSS281" s="445"/>
      <c r="PST281" s="414"/>
      <c r="PSW281" s="445"/>
      <c r="PSX281" s="414"/>
      <c r="PTA281" s="445"/>
      <c r="PTB281" s="414"/>
      <c r="PTE281" s="445"/>
      <c r="PTF281" s="414"/>
      <c r="PTI281" s="445"/>
      <c r="PTJ281" s="414"/>
      <c r="PTM281" s="445"/>
      <c r="PTN281" s="414"/>
      <c r="PTQ281" s="445"/>
      <c r="PTR281" s="414"/>
      <c r="PTU281" s="445"/>
      <c r="PTV281" s="414"/>
      <c r="PTY281" s="445"/>
      <c r="PTZ281" s="414"/>
      <c r="PUC281" s="445"/>
      <c r="PUD281" s="414"/>
      <c r="PUG281" s="445"/>
      <c r="PUH281" s="414"/>
      <c r="PUK281" s="445"/>
      <c r="PUL281" s="414"/>
      <c r="PUO281" s="445"/>
      <c r="PUP281" s="414"/>
      <c r="PUS281" s="445"/>
      <c r="PUT281" s="414"/>
      <c r="PUW281" s="445"/>
      <c r="PUX281" s="414"/>
      <c r="PVA281" s="445"/>
      <c r="PVB281" s="414"/>
      <c r="PVE281" s="445"/>
      <c r="PVF281" s="414"/>
      <c r="PVI281" s="445"/>
      <c r="PVJ281" s="414"/>
      <c r="PVM281" s="445"/>
      <c r="PVN281" s="414"/>
      <c r="PVQ281" s="445"/>
      <c r="PVR281" s="414"/>
      <c r="PVU281" s="445"/>
      <c r="PVV281" s="414"/>
      <c r="PVY281" s="445"/>
      <c r="PVZ281" s="414"/>
      <c r="PWC281" s="445"/>
      <c r="PWD281" s="414"/>
      <c r="PWG281" s="445"/>
      <c r="PWH281" s="414"/>
      <c r="PWK281" s="445"/>
      <c r="PWL281" s="414"/>
      <c r="PWO281" s="445"/>
      <c r="PWP281" s="414"/>
      <c r="PWS281" s="445"/>
      <c r="PWT281" s="414"/>
      <c r="PWW281" s="445"/>
      <c r="PWX281" s="414"/>
      <c r="PXA281" s="445"/>
      <c r="PXB281" s="414"/>
      <c r="PXE281" s="445"/>
      <c r="PXF281" s="414"/>
      <c r="PXI281" s="445"/>
      <c r="PXJ281" s="414"/>
      <c r="PXM281" s="445"/>
      <c r="PXN281" s="414"/>
      <c r="PXQ281" s="445"/>
      <c r="PXR281" s="414"/>
      <c r="PXU281" s="445"/>
      <c r="PXV281" s="414"/>
      <c r="PXY281" s="445"/>
      <c r="PXZ281" s="414"/>
      <c r="PYC281" s="445"/>
      <c r="PYD281" s="414"/>
      <c r="PYG281" s="445"/>
      <c r="PYH281" s="414"/>
      <c r="PYK281" s="445"/>
      <c r="PYL281" s="414"/>
      <c r="PYO281" s="445"/>
      <c r="PYP281" s="414"/>
      <c r="PYS281" s="445"/>
      <c r="PYT281" s="414"/>
      <c r="PYW281" s="445"/>
      <c r="PYX281" s="414"/>
      <c r="PZA281" s="445"/>
      <c r="PZB281" s="414"/>
      <c r="PZE281" s="445"/>
      <c r="PZF281" s="414"/>
      <c r="PZI281" s="445"/>
      <c r="PZJ281" s="414"/>
      <c r="PZM281" s="445"/>
      <c r="PZN281" s="414"/>
      <c r="PZQ281" s="445"/>
      <c r="PZR281" s="414"/>
      <c r="PZU281" s="445"/>
      <c r="PZV281" s="414"/>
      <c r="PZY281" s="445"/>
      <c r="PZZ281" s="414"/>
      <c r="QAC281" s="445"/>
      <c r="QAD281" s="414"/>
      <c r="QAG281" s="445"/>
      <c r="QAH281" s="414"/>
      <c r="QAK281" s="445"/>
      <c r="QAL281" s="414"/>
      <c r="QAO281" s="445"/>
      <c r="QAP281" s="414"/>
      <c r="QAS281" s="445"/>
      <c r="QAT281" s="414"/>
      <c r="QAW281" s="445"/>
      <c r="QAX281" s="414"/>
      <c r="QBA281" s="445"/>
      <c r="QBB281" s="414"/>
      <c r="QBE281" s="445"/>
      <c r="QBF281" s="414"/>
      <c r="QBI281" s="445"/>
      <c r="QBJ281" s="414"/>
      <c r="QBM281" s="445"/>
      <c r="QBN281" s="414"/>
      <c r="QBQ281" s="445"/>
      <c r="QBR281" s="414"/>
      <c r="QBU281" s="445"/>
      <c r="QBV281" s="414"/>
      <c r="QBY281" s="445"/>
      <c r="QBZ281" s="414"/>
      <c r="QCC281" s="445"/>
      <c r="QCD281" s="414"/>
      <c r="QCG281" s="445"/>
      <c r="QCH281" s="414"/>
      <c r="QCK281" s="445"/>
      <c r="QCL281" s="414"/>
      <c r="QCO281" s="445"/>
      <c r="QCP281" s="414"/>
      <c r="QCS281" s="445"/>
      <c r="QCT281" s="414"/>
      <c r="QCW281" s="445"/>
      <c r="QCX281" s="414"/>
      <c r="QDA281" s="445"/>
      <c r="QDB281" s="414"/>
      <c r="QDE281" s="445"/>
      <c r="QDF281" s="414"/>
      <c r="QDI281" s="445"/>
      <c r="QDJ281" s="414"/>
      <c r="QDM281" s="445"/>
      <c r="QDN281" s="414"/>
      <c r="QDQ281" s="445"/>
      <c r="QDR281" s="414"/>
      <c r="QDU281" s="445"/>
      <c r="QDV281" s="414"/>
      <c r="QDY281" s="445"/>
      <c r="QDZ281" s="414"/>
      <c r="QEC281" s="445"/>
      <c r="QED281" s="414"/>
      <c r="QEG281" s="445"/>
      <c r="QEH281" s="414"/>
      <c r="QEK281" s="445"/>
      <c r="QEL281" s="414"/>
      <c r="QEO281" s="445"/>
      <c r="QEP281" s="414"/>
      <c r="QES281" s="445"/>
      <c r="QET281" s="414"/>
      <c r="QEW281" s="445"/>
      <c r="QEX281" s="414"/>
      <c r="QFA281" s="445"/>
      <c r="QFB281" s="414"/>
      <c r="QFE281" s="445"/>
      <c r="QFF281" s="414"/>
      <c r="QFI281" s="445"/>
      <c r="QFJ281" s="414"/>
      <c r="QFM281" s="445"/>
      <c r="QFN281" s="414"/>
      <c r="QFQ281" s="445"/>
      <c r="QFR281" s="414"/>
      <c r="QFU281" s="445"/>
      <c r="QFV281" s="414"/>
      <c r="QFY281" s="445"/>
      <c r="QFZ281" s="414"/>
      <c r="QGC281" s="445"/>
      <c r="QGD281" s="414"/>
      <c r="QGG281" s="445"/>
      <c r="QGH281" s="414"/>
      <c r="QGK281" s="445"/>
      <c r="QGL281" s="414"/>
      <c r="QGO281" s="445"/>
      <c r="QGP281" s="414"/>
      <c r="QGS281" s="445"/>
      <c r="QGT281" s="414"/>
      <c r="QGW281" s="445"/>
      <c r="QGX281" s="414"/>
      <c r="QHA281" s="445"/>
      <c r="QHB281" s="414"/>
      <c r="QHE281" s="445"/>
      <c r="QHF281" s="414"/>
      <c r="QHI281" s="445"/>
      <c r="QHJ281" s="414"/>
      <c r="QHM281" s="445"/>
      <c r="QHN281" s="414"/>
      <c r="QHQ281" s="445"/>
      <c r="QHR281" s="414"/>
      <c r="QHU281" s="445"/>
      <c r="QHV281" s="414"/>
      <c r="QHY281" s="445"/>
      <c r="QHZ281" s="414"/>
      <c r="QIC281" s="445"/>
      <c r="QID281" s="414"/>
      <c r="QIG281" s="445"/>
      <c r="QIH281" s="414"/>
      <c r="QIK281" s="445"/>
      <c r="QIL281" s="414"/>
      <c r="QIO281" s="445"/>
      <c r="QIP281" s="414"/>
      <c r="QIS281" s="445"/>
      <c r="QIT281" s="414"/>
      <c r="QIW281" s="445"/>
      <c r="QIX281" s="414"/>
      <c r="QJA281" s="445"/>
      <c r="QJB281" s="414"/>
      <c r="QJE281" s="445"/>
      <c r="QJF281" s="414"/>
      <c r="QJI281" s="445"/>
      <c r="QJJ281" s="414"/>
      <c r="QJM281" s="445"/>
      <c r="QJN281" s="414"/>
      <c r="QJQ281" s="445"/>
      <c r="QJR281" s="414"/>
      <c r="QJU281" s="445"/>
      <c r="QJV281" s="414"/>
      <c r="QJY281" s="445"/>
      <c r="QJZ281" s="414"/>
      <c r="QKC281" s="445"/>
      <c r="QKD281" s="414"/>
      <c r="QKG281" s="445"/>
      <c r="QKH281" s="414"/>
      <c r="QKK281" s="445"/>
      <c r="QKL281" s="414"/>
      <c r="QKO281" s="445"/>
      <c r="QKP281" s="414"/>
      <c r="QKS281" s="445"/>
      <c r="QKT281" s="414"/>
      <c r="QKW281" s="445"/>
      <c r="QKX281" s="414"/>
      <c r="QLA281" s="445"/>
      <c r="QLB281" s="414"/>
      <c r="QLE281" s="445"/>
      <c r="QLF281" s="414"/>
      <c r="QLI281" s="445"/>
      <c r="QLJ281" s="414"/>
      <c r="QLM281" s="445"/>
      <c r="QLN281" s="414"/>
      <c r="QLQ281" s="445"/>
      <c r="QLR281" s="414"/>
      <c r="QLU281" s="445"/>
      <c r="QLV281" s="414"/>
      <c r="QLY281" s="445"/>
      <c r="QLZ281" s="414"/>
      <c r="QMC281" s="445"/>
      <c r="QMD281" s="414"/>
      <c r="QMG281" s="445"/>
      <c r="QMH281" s="414"/>
      <c r="QMK281" s="445"/>
      <c r="QML281" s="414"/>
      <c r="QMO281" s="445"/>
      <c r="QMP281" s="414"/>
      <c r="QMS281" s="445"/>
      <c r="QMT281" s="414"/>
      <c r="QMW281" s="445"/>
      <c r="QMX281" s="414"/>
      <c r="QNA281" s="445"/>
      <c r="QNB281" s="414"/>
      <c r="QNE281" s="445"/>
      <c r="QNF281" s="414"/>
      <c r="QNI281" s="445"/>
      <c r="QNJ281" s="414"/>
      <c r="QNM281" s="445"/>
      <c r="QNN281" s="414"/>
      <c r="QNQ281" s="445"/>
      <c r="QNR281" s="414"/>
      <c r="QNU281" s="445"/>
      <c r="QNV281" s="414"/>
      <c r="QNY281" s="445"/>
      <c r="QNZ281" s="414"/>
      <c r="QOC281" s="445"/>
      <c r="QOD281" s="414"/>
      <c r="QOG281" s="445"/>
      <c r="QOH281" s="414"/>
      <c r="QOK281" s="445"/>
      <c r="QOL281" s="414"/>
      <c r="QOO281" s="445"/>
      <c r="QOP281" s="414"/>
      <c r="QOS281" s="445"/>
      <c r="QOT281" s="414"/>
      <c r="QOW281" s="445"/>
      <c r="QOX281" s="414"/>
      <c r="QPA281" s="445"/>
      <c r="QPB281" s="414"/>
      <c r="QPE281" s="445"/>
      <c r="QPF281" s="414"/>
      <c r="QPI281" s="445"/>
      <c r="QPJ281" s="414"/>
      <c r="QPM281" s="445"/>
      <c r="QPN281" s="414"/>
      <c r="QPQ281" s="445"/>
      <c r="QPR281" s="414"/>
      <c r="QPU281" s="445"/>
      <c r="QPV281" s="414"/>
      <c r="QPY281" s="445"/>
      <c r="QPZ281" s="414"/>
      <c r="QQC281" s="445"/>
      <c r="QQD281" s="414"/>
      <c r="QQG281" s="445"/>
      <c r="QQH281" s="414"/>
      <c r="QQK281" s="445"/>
      <c r="QQL281" s="414"/>
      <c r="QQO281" s="445"/>
      <c r="QQP281" s="414"/>
      <c r="QQS281" s="445"/>
      <c r="QQT281" s="414"/>
      <c r="QQW281" s="445"/>
      <c r="QQX281" s="414"/>
      <c r="QRA281" s="445"/>
      <c r="QRB281" s="414"/>
      <c r="QRE281" s="445"/>
      <c r="QRF281" s="414"/>
      <c r="QRI281" s="445"/>
      <c r="QRJ281" s="414"/>
      <c r="QRM281" s="445"/>
      <c r="QRN281" s="414"/>
      <c r="QRQ281" s="445"/>
      <c r="QRR281" s="414"/>
      <c r="QRU281" s="445"/>
      <c r="QRV281" s="414"/>
      <c r="QRY281" s="445"/>
      <c r="QRZ281" s="414"/>
      <c r="QSC281" s="445"/>
      <c r="QSD281" s="414"/>
      <c r="QSG281" s="445"/>
      <c r="QSH281" s="414"/>
      <c r="QSK281" s="445"/>
      <c r="QSL281" s="414"/>
      <c r="QSO281" s="445"/>
      <c r="QSP281" s="414"/>
      <c r="QSS281" s="445"/>
      <c r="QST281" s="414"/>
      <c r="QSW281" s="445"/>
      <c r="QSX281" s="414"/>
      <c r="QTA281" s="445"/>
      <c r="QTB281" s="414"/>
      <c r="QTE281" s="445"/>
      <c r="QTF281" s="414"/>
      <c r="QTI281" s="445"/>
      <c r="QTJ281" s="414"/>
      <c r="QTM281" s="445"/>
      <c r="QTN281" s="414"/>
      <c r="QTQ281" s="445"/>
      <c r="QTR281" s="414"/>
      <c r="QTU281" s="445"/>
      <c r="QTV281" s="414"/>
      <c r="QTY281" s="445"/>
      <c r="QTZ281" s="414"/>
      <c r="QUC281" s="445"/>
      <c r="QUD281" s="414"/>
      <c r="QUG281" s="445"/>
      <c r="QUH281" s="414"/>
      <c r="QUK281" s="445"/>
      <c r="QUL281" s="414"/>
      <c r="QUO281" s="445"/>
      <c r="QUP281" s="414"/>
      <c r="QUS281" s="445"/>
      <c r="QUT281" s="414"/>
      <c r="QUW281" s="445"/>
      <c r="QUX281" s="414"/>
      <c r="QVA281" s="445"/>
      <c r="QVB281" s="414"/>
      <c r="QVE281" s="445"/>
      <c r="QVF281" s="414"/>
      <c r="QVI281" s="445"/>
      <c r="QVJ281" s="414"/>
      <c r="QVM281" s="445"/>
      <c r="QVN281" s="414"/>
      <c r="QVQ281" s="445"/>
      <c r="QVR281" s="414"/>
      <c r="QVU281" s="445"/>
      <c r="QVV281" s="414"/>
      <c r="QVY281" s="445"/>
      <c r="QVZ281" s="414"/>
      <c r="QWC281" s="445"/>
      <c r="QWD281" s="414"/>
      <c r="QWG281" s="445"/>
      <c r="QWH281" s="414"/>
      <c r="QWK281" s="445"/>
      <c r="QWL281" s="414"/>
      <c r="QWO281" s="445"/>
      <c r="QWP281" s="414"/>
      <c r="QWS281" s="445"/>
      <c r="QWT281" s="414"/>
      <c r="QWW281" s="445"/>
      <c r="QWX281" s="414"/>
      <c r="QXA281" s="445"/>
      <c r="QXB281" s="414"/>
      <c r="QXE281" s="445"/>
      <c r="QXF281" s="414"/>
      <c r="QXI281" s="445"/>
      <c r="QXJ281" s="414"/>
      <c r="QXM281" s="445"/>
      <c r="QXN281" s="414"/>
      <c r="QXQ281" s="445"/>
      <c r="QXR281" s="414"/>
      <c r="QXU281" s="445"/>
      <c r="QXV281" s="414"/>
      <c r="QXY281" s="445"/>
      <c r="QXZ281" s="414"/>
      <c r="QYC281" s="445"/>
      <c r="QYD281" s="414"/>
      <c r="QYG281" s="445"/>
      <c r="QYH281" s="414"/>
      <c r="QYK281" s="445"/>
      <c r="QYL281" s="414"/>
      <c r="QYO281" s="445"/>
      <c r="QYP281" s="414"/>
      <c r="QYS281" s="445"/>
      <c r="QYT281" s="414"/>
      <c r="QYW281" s="445"/>
      <c r="QYX281" s="414"/>
      <c r="QZA281" s="445"/>
      <c r="QZB281" s="414"/>
      <c r="QZE281" s="445"/>
      <c r="QZF281" s="414"/>
      <c r="QZI281" s="445"/>
      <c r="QZJ281" s="414"/>
      <c r="QZM281" s="445"/>
      <c r="QZN281" s="414"/>
      <c r="QZQ281" s="445"/>
      <c r="QZR281" s="414"/>
      <c r="QZU281" s="445"/>
      <c r="QZV281" s="414"/>
      <c r="QZY281" s="445"/>
      <c r="QZZ281" s="414"/>
      <c r="RAC281" s="445"/>
      <c r="RAD281" s="414"/>
      <c r="RAG281" s="445"/>
      <c r="RAH281" s="414"/>
      <c r="RAK281" s="445"/>
      <c r="RAL281" s="414"/>
      <c r="RAO281" s="445"/>
      <c r="RAP281" s="414"/>
      <c r="RAS281" s="445"/>
      <c r="RAT281" s="414"/>
      <c r="RAW281" s="445"/>
      <c r="RAX281" s="414"/>
      <c r="RBA281" s="445"/>
      <c r="RBB281" s="414"/>
      <c r="RBE281" s="445"/>
      <c r="RBF281" s="414"/>
      <c r="RBI281" s="445"/>
      <c r="RBJ281" s="414"/>
      <c r="RBM281" s="445"/>
      <c r="RBN281" s="414"/>
      <c r="RBQ281" s="445"/>
      <c r="RBR281" s="414"/>
      <c r="RBU281" s="445"/>
      <c r="RBV281" s="414"/>
      <c r="RBY281" s="445"/>
      <c r="RBZ281" s="414"/>
      <c r="RCC281" s="445"/>
      <c r="RCD281" s="414"/>
      <c r="RCG281" s="445"/>
      <c r="RCH281" s="414"/>
      <c r="RCK281" s="445"/>
      <c r="RCL281" s="414"/>
      <c r="RCO281" s="445"/>
      <c r="RCP281" s="414"/>
      <c r="RCS281" s="445"/>
      <c r="RCT281" s="414"/>
      <c r="RCW281" s="445"/>
      <c r="RCX281" s="414"/>
      <c r="RDA281" s="445"/>
      <c r="RDB281" s="414"/>
      <c r="RDE281" s="445"/>
      <c r="RDF281" s="414"/>
      <c r="RDI281" s="445"/>
      <c r="RDJ281" s="414"/>
      <c r="RDM281" s="445"/>
      <c r="RDN281" s="414"/>
      <c r="RDQ281" s="445"/>
      <c r="RDR281" s="414"/>
      <c r="RDU281" s="445"/>
      <c r="RDV281" s="414"/>
      <c r="RDY281" s="445"/>
      <c r="RDZ281" s="414"/>
      <c r="REC281" s="445"/>
      <c r="RED281" s="414"/>
      <c r="REG281" s="445"/>
      <c r="REH281" s="414"/>
      <c r="REK281" s="445"/>
      <c r="REL281" s="414"/>
      <c r="REO281" s="445"/>
      <c r="REP281" s="414"/>
      <c r="RES281" s="445"/>
      <c r="RET281" s="414"/>
      <c r="REW281" s="445"/>
      <c r="REX281" s="414"/>
      <c r="RFA281" s="445"/>
      <c r="RFB281" s="414"/>
      <c r="RFE281" s="445"/>
      <c r="RFF281" s="414"/>
      <c r="RFI281" s="445"/>
      <c r="RFJ281" s="414"/>
      <c r="RFM281" s="445"/>
      <c r="RFN281" s="414"/>
      <c r="RFQ281" s="445"/>
      <c r="RFR281" s="414"/>
      <c r="RFU281" s="445"/>
      <c r="RFV281" s="414"/>
      <c r="RFY281" s="445"/>
      <c r="RFZ281" s="414"/>
      <c r="RGC281" s="445"/>
      <c r="RGD281" s="414"/>
      <c r="RGG281" s="445"/>
      <c r="RGH281" s="414"/>
      <c r="RGK281" s="445"/>
      <c r="RGL281" s="414"/>
      <c r="RGO281" s="445"/>
      <c r="RGP281" s="414"/>
      <c r="RGS281" s="445"/>
      <c r="RGT281" s="414"/>
      <c r="RGW281" s="445"/>
      <c r="RGX281" s="414"/>
      <c r="RHA281" s="445"/>
      <c r="RHB281" s="414"/>
      <c r="RHE281" s="445"/>
      <c r="RHF281" s="414"/>
      <c r="RHI281" s="445"/>
      <c r="RHJ281" s="414"/>
      <c r="RHM281" s="445"/>
      <c r="RHN281" s="414"/>
      <c r="RHQ281" s="445"/>
      <c r="RHR281" s="414"/>
      <c r="RHU281" s="445"/>
      <c r="RHV281" s="414"/>
      <c r="RHY281" s="445"/>
      <c r="RHZ281" s="414"/>
      <c r="RIC281" s="445"/>
      <c r="RID281" s="414"/>
      <c r="RIG281" s="445"/>
      <c r="RIH281" s="414"/>
      <c r="RIK281" s="445"/>
      <c r="RIL281" s="414"/>
      <c r="RIO281" s="445"/>
      <c r="RIP281" s="414"/>
      <c r="RIS281" s="445"/>
      <c r="RIT281" s="414"/>
      <c r="RIW281" s="445"/>
      <c r="RIX281" s="414"/>
      <c r="RJA281" s="445"/>
      <c r="RJB281" s="414"/>
      <c r="RJE281" s="445"/>
      <c r="RJF281" s="414"/>
      <c r="RJI281" s="445"/>
      <c r="RJJ281" s="414"/>
      <c r="RJM281" s="445"/>
      <c r="RJN281" s="414"/>
      <c r="RJQ281" s="445"/>
      <c r="RJR281" s="414"/>
      <c r="RJU281" s="445"/>
      <c r="RJV281" s="414"/>
      <c r="RJY281" s="445"/>
      <c r="RJZ281" s="414"/>
      <c r="RKC281" s="445"/>
      <c r="RKD281" s="414"/>
      <c r="RKG281" s="445"/>
      <c r="RKH281" s="414"/>
      <c r="RKK281" s="445"/>
      <c r="RKL281" s="414"/>
      <c r="RKO281" s="445"/>
      <c r="RKP281" s="414"/>
      <c r="RKS281" s="445"/>
      <c r="RKT281" s="414"/>
      <c r="RKW281" s="445"/>
      <c r="RKX281" s="414"/>
      <c r="RLA281" s="445"/>
      <c r="RLB281" s="414"/>
      <c r="RLE281" s="445"/>
      <c r="RLF281" s="414"/>
      <c r="RLI281" s="445"/>
      <c r="RLJ281" s="414"/>
      <c r="RLM281" s="445"/>
      <c r="RLN281" s="414"/>
      <c r="RLQ281" s="445"/>
      <c r="RLR281" s="414"/>
      <c r="RLU281" s="445"/>
      <c r="RLV281" s="414"/>
      <c r="RLY281" s="445"/>
      <c r="RLZ281" s="414"/>
      <c r="RMC281" s="445"/>
      <c r="RMD281" s="414"/>
      <c r="RMG281" s="445"/>
      <c r="RMH281" s="414"/>
      <c r="RMK281" s="445"/>
      <c r="RML281" s="414"/>
      <c r="RMO281" s="445"/>
      <c r="RMP281" s="414"/>
      <c r="RMS281" s="445"/>
      <c r="RMT281" s="414"/>
      <c r="RMW281" s="445"/>
      <c r="RMX281" s="414"/>
      <c r="RNA281" s="445"/>
      <c r="RNB281" s="414"/>
      <c r="RNE281" s="445"/>
      <c r="RNF281" s="414"/>
      <c r="RNI281" s="445"/>
      <c r="RNJ281" s="414"/>
      <c r="RNM281" s="445"/>
      <c r="RNN281" s="414"/>
      <c r="RNQ281" s="445"/>
      <c r="RNR281" s="414"/>
      <c r="RNU281" s="445"/>
      <c r="RNV281" s="414"/>
      <c r="RNY281" s="445"/>
      <c r="RNZ281" s="414"/>
      <c r="ROC281" s="445"/>
      <c r="ROD281" s="414"/>
      <c r="ROG281" s="445"/>
      <c r="ROH281" s="414"/>
      <c r="ROK281" s="445"/>
      <c r="ROL281" s="414"/>
      <c r="ROO281" s="445"/>
      <c r="ROP281" s="414"/>
      <c r="ROS281" s="445"/>
      <c r="ROT281" s="414"/>
      <c r="ROW281" s="445"/>
      <c r="ROX281" s="414"/>
      <c r="RPA281" s="445"/>
      <c r="RPB281" s="414"/>
      <c r="RPE281" s="445"/>
      <c r="RPF281" s="414"/>
      <c r="RPI281" s="445"/>
      <c r="RPJ281" s="414"/>
      <c r="RPM281" s="445"/>
      <c r="RPN281" s="414"/>
      <c r="RPQ281" s="445"/>
      <c r="RPR281" s="414"/>
      <c r="RPU281" s="445"/>
      <c r="RPV281" s="414"/>
      <c r="RPY281" s="445"/>
      <c r="RPZ281" s="414"/>
      <c r="RQC281" s="445"/>
      <c r="RQD281" s="414"/>
      <c r="RQG281" s="445"/>
      <c r="RQH281" s="414"/>
      <c r="RQK281" s="445"/>
      <c r="RQL281" s="414"/>
      <c r="RQO281" s="445"/>
      <c r="RQP281" s="414"/>
      <c r="RQS281" s="445"/>
      <c r="RQT281" s="414"/>
      <c r="RQW281" s="445"/>
      <c r="RQX281" s="414"/>
      <c r="RRA281" s="445"/>
      <c r="RRB281" s="414"/>
      <c r="RRE281" s="445"/>
      <c r="RRF281" s="414"/>
      <c r="RRI281" s="445"/>
      <c r="RRJ281" s="414"/>
      <c r="RRM281" s="445"/>
      <c r="RRN281" s="414"/>
      <c r="RRQ281" s="445"/>
      <c r="RRR281" s="414"/>
      <c r="RRU281" s="445"/>
      <c r="RRV281" s="414"/>
      <c r="RRY281" s="445"/>
      <c r="RRZ281" s="414"/>
      <c r="RSC281" s="445"/>
      <c r="RSD281" s="414"/>
      <c r="RSG281" s="445"/>
      <c r="RSH281" s="414"/>
      <c r="RSK281" s="445"/>
      <c r="RSL281" s="414"/>
      <c r="RSO281" s="445"/>
      <c r="RSP281" s="414"/>
      <c r="RSS281" s="445"/>
      <c r="RST281" s="414"/>
      <c r="RSW281" s="445"/>
      <c r="RSX281" s="414"/>
      <c r="RTA281" s="445"/>
      <c r="RTB281" s="414"/>
      <c r="RTE281" s="445"/>
      <c r="RTF281" s="414"/>
      <c r="RTI281" s="445"/>
      <c r="RTJ281" s="414"/>
      <c r="RTM281" s="445"/>
      <c r="RTN281" s="414"/>
      <c r="RTQ281" s="445"/>
      <c r="RTR281" s="414"/>
      <c r="RTU281" s="445"/>
      <c r="RTV281" s="414"/>
      <c r="RTY281" s="445"/>
      <c r="RTZ281" s="414"/>
      <c r="RUC281" s="445"/>
      <c r="RUD281" s="414"/>
      <c r="RUG281" s="445"/>
      <c r="RUH281" s="414"/>
      <c r="RUK281" s="445"/>
      <c r="RUL281" s="414"/>
      <c r="RUO281" s="445"/>
      <c r="RUP281" s="414"/>
      <c r="RUS281" s="445"/>
      <c r="RUT281" s="414"/>
      <c r="RUW281" s="445"/>
      <c r="RUX281" s="414"/>
      <c r="RVA281" s="445"/>
      <c r="RVB281" s="414"/>
      <c r="RVE281" s="445"/>
      <c r="RVF281" s="414"/>
      <c r="RVI281" s="445"/>
      <c r="RVJ281" s="414"/>
      <c r="RVM281" s="445"/>
      <c r="RVN281" s="414"/>
      <c r="RVQ281" s="445"/>
      <c r="RVR281" s="414"/>
      <c r="RVU281" s="445"/>
      <c r="RVV281" s="414"/>
      <c r="RVY281" s="445"/>
      <c r="RVZ281" s="414"/>
      <c r="RWC281" s="445"/>
      <c r="RWD281" s="414"/>
      <c r="RWG281" s="445"/>
      <c r="RWH281" s="414"/>
      <c r="RWK281" s="445"/>
      <c r="RWL281" s="414"/>
      <c r="RWO281" s="445"/>
      <c r="RWP281" s="414"/>
      <c r="RWS281" s="445"/>
      <c r="RWT281" s="414"/>
      <c r="RWW281" s="445"/>
      <c r="RWX281" s="414"/>
      <c r="RXA281" s="445"/>
      <c r="RXB281" s="414"/>
      <c r="RXE281" s="445"/>
      <c r="RXF281" s="414"/>
      <c r="RXI281" s="445"/>
      <c r="RXJ281" s="414"/>
      <c r="RXM281" s="445"/>
      <c r="RXN281" s="414"/>
      <c r="RXQ281" s="445"/>
      <c r="RXR281" s="414"/>
      <c r="RXU281" s="445"/>
      <c r="RXV281" s="414"/>
      <c r="RXY281" s="445"/>
      <c r="RXZ281" s="414"/>
      <c r="RYC281" s="445"/>
      <c r="RYD281" s="414"/>
      <c r="RYG281" s="445"/>
      <c r="RYH281" s="414"/>
      <c r="RYK281" s="445"/>
      <c r="RYL281" s="414"/>
      <c r="RYO281" s="445"/>
      <c r="RYP281" s="414"/>
      <c r="RYS281" s="445"/>
      <c r="RYT281" s="414"/>
      <c r="RYW281" s="445"/>
      <c r="RYX281" s="414"/>
      <c r="RZA281" s="445"/>
      <c r="RZB281" s="414"/>
      <c r="RZE281" s="445"/>
      <c r="RZF281" s="414"/>
      <c r="RZI281" s="445"/>
      <c r="RZJ281" s="414"/>
      <c r="RZM281" s="445"/>
      <c r="RZN281" s="414"/>
      <c r="RZQ281" s="445"/>
      <c r="RZR281" s="414"/>
      <c r="RZU281" s="445"/>
      <c r="RZV281" s="414"/>
      <c r="RZY281" s="445"/>
      <c r="RZZ281" s="414"/>
      <c r="SAC281" s="445"/>
      <c r="SAD281" s="414"/>
      <c r="SAG281" s="445"/>
      <c r="SAH281" s="414"/>
      <c r="SAK281" s="445"/>
      <c r="SAL281" s="414"/>
      <c r="SAO281" s="445"/>
      <c r="SAP281" s="414"/>
      <c r="SAS281" s="445"/>
      <c r="SAT281" s="414"/>
      <c r="SAW281" s="445"/>
      <c r="SAX281" s="414"/>
      <c r="SBA281" s="445"/>
      <c r="SBB281" s="414"/>
      <c r="SBE281" s="445"/>
      <c r="SBF281" s="414"/>
      <c r="SBI281" s="445"/>
      <c r="SBJ281" s="414"/>
      <c r="SBM281" s="445"/>
      <c r="SBN281" s="414"/>
      <c r="SBQ281" s="445"/>
      <c r="SBR281" s="414"/>
      <c r="SBU281" s="445"/>
      <c r="SBV281" s="414"/>
      <c r="SBY281" s="445"/>
      <c r="SBZ281" s="414"/>
      <c r="SCC281" s="445"/>
      <c r="SCD281" s="414"/>
      <c r="SCG281" s="445"/>
      <c r="SCH281" s="414"/>
      <c r="SCK281" s="445"/>
      <c r="SCL281" s="414"/>
      <c r="SCO281" s="445"/>
      <c r="SCP281" s="414"/>
      <c r="SCS281" s="445"/>
      <c r="SCT281" s="414"/>
      <c r="SCW281" s="445"/>
      <c r="SCX281" s="414"/>
      <c r="SDA281" s="445"/>
      <c r="SDB281" s="414"/>
      <c r="SDE281" s="445"/>
      <c r="SDF281" s="414"/>
      <c r="SDI281" s="445"/>
      <c r="SDJ281" s="414"/>
      <c r="SDM281" s="445"/>
      <c r="SDN281" s="414"/>
      <c r="SDQ281" s="445"/>
      <c r="SDR281" s="414"/>
      <c r="SDU281" s="445"/>
      <c r="SDV281" s="414"/>
      <c r="SDY281" s="445"/>
      <c r="SDZ281" s="414"/>
      <c r="SEC281" s="445"/>
      <c r="SED281" s="414"/>
      <c r="SEG281" s="445"/>
      <c r="SEH281" s="414"/>
      <c r="SEK281" s="445"/>
      <c r="SEL281" s="414"/>
      <c r="SEO281" s="445"/>
      <c r="SEP281" s="414"/>
      <c r="SES281" s="445"/>
      <c r="SET281" s="414"/>
      <c r="SEW281" s="445"/>
      <c r="SEX281" s="414"/>
      <c r="SFA281" s="445"/>
      <c r="SFB281" s="414"/>
      <c r="SFE281" s="445"/>
      <c r="SFF281" s="414"/>
      <c r="SFI281" s="445"/>
      <c r="SFJ281" s="414"/>
      <c r="SFM281" s="445"/>
      <c r="SFN281" s="414"/>
      <c r="SFQ281" s="445"/>
      <c r="SFR281" s="414"/>
      <c r="SFU281" s="445"/>
      <c r="SFV281" s="414"/>
      <c r="SFY281" s="445"/>
      <c r="SFZ281" s="414"/>
      <c r="SGC281" s="445"/>
      <c r="SGD281" s="414"/>
      <c r="SGG281" s="445"/>
      <c r="SGH281" s="414"/>
      <c r="SGK281" s="445"/>
      <c r="SGL281" s="414"/>
      <c r="SGO281" s="445"/>
      <c r="SGP281" s="414"/>
      <c r="SGS281" s="445"/>
      <c r="SGT281" s="414"/>
      <c r="SGW281" s="445"/>
      <c r="SGX281" s="414"/>
      <c r="SHA281" s="445"/>
      <c r="SHB281" s="414"/>
      <c r="SHE281" s="445"/>
      <c r="SHF281" s="414"/>
      <c r="SHI281" s="445"/>
      <c r="SHJ281" s="414"/>
      <c r="SHM281" s="445"/>
      <c r="SHN281" s="414"/>
      <c r="SHQ281" s="445"/>
      <c r="SHR281" s="414"/>
      <c r="SHU281" s="445"/>
      <c r="SHV281" s="414"/>
      <c r="SHY281" s="445"/>
      <c r="SHZ281" s="414"/>
      <c r="SIC281" s="445"/>
      <c r="SID281" s="414"/>
      <c r="SIG281" s="445"/>
      <c r="SIH281" s="414"/>
      <c r="SIK281" s="445"/>
      <c r="SIL281" s="414"/>
      <c r="SIO281" s="445"/>
      <c r="SIP281" s="414"/>
      <c r="SIS281" s="445"/>
      <c r="SIT281" s="414"/>
      <c r="SIW281" s="445"/>
      <c r="SIX281" s="414"/>
      <c r="SJA281" s="445"/>
      <c r="SJB281" s="414"/>
      <c r="SJE281" s="445"/>
      <c r="SJF281" s="414"/>
      <c r="SJI281" s="445"/>
      <c r="SJJ281" s="414"/>
      <c r="SJM281" s="445"/>
      <c r="SJN281" s="414"/>
      <c r="SJQ281" s="445"/>
      <c r="SJR281" s="414"/>
      <c r="SJU281" s="445"/>
      <c r="SJV281" s="414"/>
      <c r="SJY281" s="445"/>
      <c r="SJZ281" s="414"/>
      <c r="SKC281" s="445"/>
      <c r="SKD281" s="414"/>
      <c r="SKG281" s="445"/>
      <c r="SKH281" s="414"/>
      <c r="SKK281" s="445"/>
      <c r="SKL281" s="414"/>
      <c r="SKO281" s="445"/>
      <c r="SKP281" s="414"/>
      <c r="SKS281" s="445"/>
      <c r="SKT281" s="414"/>
      <c r="SKW281" s="445"/>
      <c r="SKX281" s="414"/>
      <c r="SLA281" s="445"/>
      <c r="SLB281" s="414"/>
      <c r="SLE281" s="445"/>
      <c r="SLF281" s="414"/>
      <c r="SLI281" s="445"/>
      <c r="SLJ281" s="414"/>
      <c r="SLM281" s="445"/>
      <c r="SLN281" s="414"/>
      <c r="SLQ281" s="445"/>
      <c r="SLR281" s="414"/>
      <c r="SLU281" s="445"/>
      <c r="SLV281" s="414"/>
      <c r="SLY281" s="445"/>
      <c r="SLZ281" s="414"/>
      <c r="SMC281" s="445"/>
      <c r="SMD281" s="414"/>
      <c r="SMG281" s="445"/>
      <c r="SMH281" s="414"/>
      <c r="SMK281" s="445"/>
      <c r="SML281" s="414"/>
      <c r="SMO281" s="445"/>
      <c r="SMP281" s="414"/>
      <c r="SMS281" s="445"/>
      <c r="SMT281" s="414"/>
      <c r="SMW281" s="445"/>
      <c r="SMX281" s="414"/>
      <c r="SNA281" s="445"/>
      <c r="SNB281" s="414"/>
      <c r="SNE281" s="445"/>
      <c r="SNF281" s="414"/>
      <c r="SNI281" s="445"/>
      <c r="SNJ281" s="414"/>
      <c r="SNM281" s="445"/>
      <c r="SNN281" s="414"/>
      <c r="SNQ281" s="445"/>
      <c r="SNR281" s="414"/>
      <c r="SNU281" s="445"/>
      <c r="SNV281" s="414"/>
      <c r="SNY281" s="445"/>
      <c r="SNZ281" s="414"/>
      <c r="SOC281" s="445"/>
      <c r="SOD281" s="414"/>
      <c r="SOG281" s="445"/>
      <c r="SOH281" s="414"/>
      <c r="SOK281" s="445"/>
      <c r="SOL281" s="414"/>
      <c r="SOO281" s="445"/>
      <c r="SOP281" s="414"/>
      <c r="SOS281" s="445"/>
      <c r="SOT281" s="414"/>
      <c r="SOW281" s="445"/>
      <c r="SOX281" s="414"/>
      <c r="SPA281" s="445"/>
      <c r="SPB281" s="414"/>
      <c r="SPE281" s="445"/>
      <c r="SPF281" s="414"/>
      <c r="SPI281" s="445"/>
      <c r="SPJ281" s="414"/>
      <c r="SPM281" s="445"/>
      <c r="SPN281" s="414"/>
      <c r="SPQ281" s="445"/>
      <c r="SPR281" s="414"/>
      <c r="SPU281" s="445"/>
      <c r="SPV281" s="414"/>
      <c r="SPY281" s="445"/>
      <c r="SPZ281" s="414"/>
      <c r="SQC281" s="445"/>
      <c r="SQD281" s="414"/>
      <c r="SQG281" s="445"/>
      <c r="SQH281" s="414"/>
      <c r="SQK281" s="445"/>
      <c r="SQL281" s="414"/>
      <c r="SQO281" s="445"/>
      <c r="SQP281" s="414"/>
      <c r="SQS281" s="445"/>
      <c r="SQT281" s="414"/>
      <c r="SQW281" s="445"/>
      <c r="SQX281" s="414"/>
      <c r="SRA281" s="445"/>
      <c r="SRB281" s="414"/>
      <c r="SRE281" s="445"/>
      <c r="SRF281" s="414"/>
      <c r="SRI281" s="445"/>
      <c r="SRJ281" s="414"/>
      <c r="SRM281" s="445"/>
      <c r="SRN281" s="414"/>
      <c r="SRQ281" s="445"/>
      <c r="SRR281" s="414"/>
      <c r="SRU281" s="445"/>
      <c r="SRV281" s="414"/>
      <c r="SRY281" s="445"/>
      <c r="SRZ281" s="414"/>
      <c r="SSC281" s="445"/>
      <c r="SSD281" s="414"/>
      <c r="SSG281" s="445"/>
      <c r="SSH281" s="414"/>
      <c r="SSK281" s="445"/>
      <c r="SSL281" s="414"/>
      <c r="SSO281" s="445"/>
      <c r="SSP281" s="414"/>
      <c r="SSS281" s="445"/>
      <c r="SST281" s="414"/>
      <c r="SSW281" s="445"/>
      <c r="SSX281" s="414"/>
      <c r="STA281" s="445"/>
      <c r="STB281" s="414"/>
      <c r="STE281" s="445"/>
      <c r="STF281" s="414"/>
      <c r="STI281" s="445"/>
      <c r="STJ281" s="414"/>
      <c r="STM281" s="445"/>
      <c r="STN281" s="414"/>
      <c r="STQ281" s="445"/>
      <c r="STR281" s="414"/>
      <c r="STU281" s="445"/>
      <c r="STV281" s="414"/>
      <c r="STY281" s="445"/>
      <c r="STZ281" s="414"/>
      <c r="SUC281" s="445"/>
      <c r="SUD281" s="414"/>
      <c r="SUG281" s="445"/>
      <c r="SUH281" s="414"/>
      <c r="SUK281" s="445"/>
      <c r="SUL281" s="414"/>
      <c r="SUO281" s="445"/>
      <c r="SUP281" s="414"/>
      <c r="SUS281" s="445"/>
      <c r="SUT281" s="414"/>
      <c r="SUW281" s="445"/>
      <c r="SUX281" s="414"/>
      <c r="SVA281" s="445"/>
      <c r="SVB281" s="414"/>
      <c r="SVE281" s="445"/>
      <c r="SVF281" s="414"/>
      <c r="SVI281" s="445"/>
      <c r="SVJ281" s="414"/>
      <c r="SVM281" s="445"/>
      <c r="SVN281" s="414"/>
      <c r="SVQ281" s="445"/>
      <c r="SVR281" s="414"/>
      <c r="SVU281" s="445"/>
      <c r="SVV281" s="414"/>
      <c r="SVY281" s="445"/>
      <c r="SVZ281" s="414"/>
      <c r="SWC281" s="445"/>
      <c r="SWD281" s="414"/>
      <c r="SWG281" s="445"/>
      <c r="SWH281" s="414"/>
      <c r="SWK281" s="445"/>
      <c r="SWL281" s="414"/>
      <c r="SWO281" s="445"/>
      <c r="SWP281" s="414"/>
      <c r="SWS281" s="445"/>
      <c r="SWT281" s="414"/>
      <c r="SWW281" s="445"/>
      <c r="SWX281" s="414"/>
      <c r="SXA281" s="445"/>
      <c r="SXB281" s="414"/>
      <c r="SXE281" s="445"/>
      <c r="SXF281" s="414"/>
      <c r="SXI281" s="445"/>
      <c r="SXJ281" s="414"/>
      <c r="SXM281" s="445"/>
      <c r="SXN281" s="414"/>
      <c r="SXQ281" s="445"/>
      <c r="SXR281" s="414"/>
      <c r="SXU281" s="445"/>
      <c r="SXV281" s="414"/>
      <c r="SXY281" s="445"/>
      <c r="SXZ281" s="414"/>
      <c r="SYC281" s="445"/>
      <c r="SYD281" s="414"/>
      <c r="SYG281" s="445"/>
      <c r="SYH281" s="414"/>
      <c r="SYK281" s="445"/>
      <c r="SYL281" s="414"/>
      <c r="SYO281" s="445"/>
      <c r="SYP281" s="414"/>
      <c r="SYS281" s="445"/>
      <c r="SYT281" s="414"/>
      <c r="SYW281" s="445"/>
      <c r="SYX281" s="414"/>
      <c r="SZA281" s="445"/>
      <c r="SZB281" s="414"/>
      <c r="SZE281" s="445"/>
      <c r="SZF281" s="414"/>
      <c r="SZI281" s="445"/>
      <c r="SZJ281" s="414"/>
      <c r="SZM281" s="445"/>
      <c r="SZN281" s="414"/>
      <c r="SZQ281" s="445"/>
      <c r="SZR281" s="414"/>
      <c r="SZU281" s="445"/>
      <c r="SZV281" s="414"/>
      <c r="SZY281" s="445"/>
      <c r="SZZ281" s="414"/>
      <c r="TAC281" s="445"/>
      <c r="TAD281" s="414"/>
      <c r="TAG281" s="445"/>
      <c r="TAH281" s="414"/>
      <c r="TAK281" s="445"/>
      <c r="TAL281" s="414"/>
      <c r="TAO281" s="445"/>
      <c r="TAP281" s="414"/>
      <c r="TAS281" s="445"/>
      <c r="TAT281" s="414"/>
      <c r="TAW281" s="445"/>
      <c r="TAX281" s="414"/>
      <c r="TBA281" s="445"/>
      <c r="TBB281" s="414"/>
      <c r="TBE281" s="445"/>
      <c r="TBF281" s="414"/>
      <c r="TBI281" s="445"/>
      <c r="TBJ281" s="414"/>
      <c r="TBM281" s="445"/>
      <c r="TBN281" s="414"/>
      <c r="TBQ281" s="445"/>
      <c r="TBR281" s="414"/>
      <c r="TBU281" s="445"/>
      <c r="TBV281" s="414"/>
      <c r="TBY281" s="445"/>
      <c r="TBZ281" s="414"/>
      <c r="TCC281" s="445"/>
      <c r="TCD281" s="414"/>
      <c r="TCG281" s="445"/>
      <c r="TCH281" s="414"/>
      <c r="TCK281" s="445"/>
      <c r="TCL281" s="414"/>
      <c r="TCO281" s="445"/>
      <c r="TCP281" s="414"/>
      <c r="TCS281" s="445"/>
      <c r="TCT281" s="414"/>
      <c r="TCW281" s="445"/>
      <c r="TCX281" s="414"/>
      <c r="TDA281" s="445"/>
      <c r="TDB281" s="414"/>
      <c r="TDE281" s="445"/>
      <c r="TDF281" s="414"/>
      <c r="TDI281" s="445"/>
      <c r="TDJ281" s="414"/>
      <c r="TDM281" s="445"/>
      <c r="TDN281" s="414"/>
      <c r="TDQ281" s="445"/>
      <c r="TDR281" s="414"/>
      <c r="TDU281" s="445"/>
      <c r="TDV281" s="414"/>
      <c r="TDY281" s="445"/>
      <c r="TDZ281" s="414"/>
      <c r="TEC281" s="445"/>
      <c r="TED281" s="414"/>
      <c r="TEG281" s="445"/>
      <c r="TEH281" s="414"/>
      <c r="TEK281" s="445"/>
      <c r="TEL281" s="414"/>
      <c r="TEO281" s="445"/>
      <c r="TEP281" s="414"/>
      <c r="TES281" s="445"/>
      <c r="TET281" s="414"/>
      <c r="TEW281" s="445"/>
      <c r="TEX281" s="414"/>
      <c r="TFA281" s="445"/>
      <c r="TFB281" s="414"/>
      <c r="TFE281" s="445"/>
      <c r="TFF281" s="414"/>
      <c r="TFI281" s="445"/>
      <c r="TFJ281" s="414"/>
      <c r="TFM281" s="445"/>
      <c r="TFN281" s="414"/>
      <c r="TFQ281" s="445"/>
      <c r="TFR281" s="414"/>
      <c r="TFU281" s="445"/>
      <c r="TFV281" s="414"/>
      <c r="TFY281" s="445"/>
      <c r="TFZ281" s="414"/>
      <c r="TGC281" s="445"/>
      <c r="TGD281" s="414"/>
      <c r="TGG281" s="445"/>
      <c r="TGH281" s="414"/>
      <c r="TGK281" s="445"/>
      <c r="TGL281" s="414"/>
      <c r="TGO281" s="445"/>
      <c r="TGP281" s="414"/>
      <c r="TGS281" s="445"/>
      <c r="TGT281" s="414"/>
      <c r="TGW281" s="445"/>
      <c r="TGX281" s="414"/>
      <c r="THA281" s="445"/>
      <c r="THB281" s="414"/>
      <c r="THE281" s="445"/>
      <c r="THF281" s="414"/>
      <c r="THI281" s="445"/>
      <c r="THJ281" s="414"/>
      <c r="THM281" s="445"/>
      <c r="THN281" s="414"/>
      <c r="THQ281" s="445"/>
      <c r="THR281" s="414"/>
      <c r="THU281" s="445"/>
      <c r="THV281" s="414"/>
      <c r="THY281" s="445"/>
      <c r="THZ281" s="414"/>
      <c r="TIC281" s="445"/>
      <c r="TID281" s="414"/>
      <c r="TIG281" s="445"/>
      <c r="TIH281" s="414"/>
      <c r="TIK281" s="445"/>
      <c r="TIL281" s="414"/>
      <c r="TIO281" s="445"/>
      <c r="TIP281" s="414"/>
      <c r="TIS281" s="445"/>
      <c r="TIT281" s="414"/>
      <c r="TIW281" s="445"/>
      <c r="TIX281" s="414"/>
      <c r="TJA281" s="445"/>
      <c r="TJB281" s="414"/>
      <c r="TJE281" s="445"/>
      <c r="TJF281" s="414"/>
      <c r="TJI281" s="445"/>
      <c r="TJJ281" s="414"/>
      <c r="TJM281" s="445"/>
      <c r="TJN281" s="414"/>
      <c r="TJQ281" s="445"/>
      <c r="TJR281" s="414"/>
      <c r="TJU281" s="445"/>
      <c r="TJV281" s="414"/>
      <c r="TJY281" s="445"/>
      <c r="TJZ281" s="414"/>
      <c r="TKC281" s="445"/>
      <c r="TKD281" s="414"/>
      <c r="TKG281" s="445"/>
      <c r="TKH281" s="414"/>
      <c r="TKK281" s="445"/>
      <c r="TKL281" s="414"/>
      <c r="TKO281" s="445"/>
      <c r="TKP281" s="414"/>
      <c r="TKS281" s="445"/>
      <c r="TKT281" s="414"/>
      <c r="TKW281" s="445"/>
      <c r="TKX281" s="414"/>
      <c r="TLA281" s="445"/>
      <c r="TLB281" s="414"/>
      <c r="TLE281" s="445"/>
      <c r="TLF281" s="414"/>
      <c r="TLI281" s="445"/>
      <c r="TLJ281" s="414"/>
      <c r="TLM281" s="445"/>
      <c r="TLN281" s="414"/>
      <c r="TLQ281" s="445"/>
      <c r="TLR281" s="414"/>
      <c r="TLU281" s="445"/>
      <c r="TLV281" s="414"/>
      <c r="TLY281" s="445"/>
      <c r="TLZ281" s="414"/>
      <c r="TMC281" s="445"/>
      <c r="TMD281" s="414"/>
      <c r="TMG281" s="445"/>
      <c r="TMH281" s="414"/>
      <c r="TMK281" s="445"/>
      <c r="TML281" s="414"/>
      <c r="TMO281" s="445"/>
      <c r="TMP281" s="414"/>
      <c r="TMS281" s="445"/>
      <c r="TMT281" s="414"/>
      <c r="TMW281" s="445"/>
      <c r="TMX281" s="414"/>
      <c r="TNA281" s="445"/>
      <c r="TNB281" s="414"/>
      <c r="TNE281" s="445"/>
      <c r="TNF281" s="414"/>
      <c r="TNI281" s="445"/>
      <c r="TNJ281" s="414"/>
      <c r="TNM281" s="445"/>
      <c r="TNN281" s="414"/>
      <c r="TNQ281" s="445"/>
      <c r="TNR281" s="414"/>
      <c r="TNU281" s="445"/>
      <c r="TNV281" s="414"/>
      <c r="TNY281" s="445"/>
      <c r="TNZ281" s="414"/>
      <c r="TOC281" s="445"/>
      <c r="TOD281" s="414"/>
      <c r="TOG281" s="445"/>
      <c r="TOH281" s="414"/>
      <c r="TOK281" s="445"/>
      <c r="TOL281" s="414"/>
      <c r="TOO281" s="445"/>
      <c r="TOP281" s="414"/>
      <c r="TOS281" s="445"/>
      <c r="TOT281" s="414"/>
      <c r="TOW281" s="445"/>
      <c r="TOX281" s="414"/>
      <c r="TPA281" s="445"/>
      <c r="TPB281" s="414"/>
      <c r="TPE281" s="445"/>
      <c r="TPF281" s="414"/>
      <c r="TPI281" s="445"/>
      <c r="TPJ281" s="414"/>
      <c r="TPM281" s="445"/>
      <c r="TPN281" s="414"/>
      <c r="TPQ281" s="445"/>
      <c r="TPR281" s="414"/>
      <c r="TPU281" s="445"/>
      <c r="TPV281" s="414"/>
      <c r="TPY281" s="445"/>
      <c r="TPZ281" s="414"/>
      <c r="TQC281" s="445"/>
      <c r="TQD281" s="414"/>
      <c r="TQG281" s="445"/>
      <c r="TQH281" s="414"/>
      <c r="TQK281" s="445"/>
      <c r="TQL281" s="414"/>
      <c r="TQO281" s="445"/>
      <c r="TQP281" s="414"/>
      <c r="TQS281" s="445"/>
      <c r="TQT281" s="414"/>
      <c r="TQW281" s="445"/>
      <c r="TQX281" s="414"/>
      <c r="TRA281" s="445"/>
      <c r="TRB281" s="414"/>
      <c r="TRE281" s="445"/>
      <c r="TRF281" s="414"/>
      <c r="TRI281" s="445"/>
      <c r="TRJ281" s="414"/>
      <c r="TRM281" s="445"/>
      <c r="TRN281" s="414"/>
      <c r="TRQ281" s="445"/>
      <c r="TRR281" s="414"/>
      <c r="TRU281" s="445"/>
      <c r="TRV281" s="414"/>
      <c r="TRY281" s="445"/>
      <c r="TRZ281" s="414"/>
      <c r="TSC281" s="445"/>
      <c r="TSD281" s="414"/>
      <c r="TSG281" s="445"/>
      <c r="TSH281" s="414"/>
      <c r="TSK281" s="445"/>
      <c r="TSL281" s="414"/>
      <c r="TSO281" s="445"/>
      <c r="TSP281" s="414"/>
      <c r="TSS281" s="445"/>
      <c r="TST281" s="414"/>
      <c r="TSW281" s="445"/>
      <c r="TSX281" s="414"/>
      <c r="TTA281" s="445"/>
      <c r="TTB281" s="414"/>
      <c r="TTE281" s="445"/>
      <c r="TTF281" s="414"/>
      <c r="TTI281" s="445"/>
      <c r="TTJ281" s="414"/>
      <c r="TTM281" s="445"/>
      <c r="TTN281" s="414"/>
      <c r="TTQ281" s="445"/>
      <c r="TTR281" s="414"/>
      <c r="TTU281" s="445"/>
      <c r="TTV281" s="414"/>
      <c r="TTY281" s="445"/>
      <c r="TTZ281" s="414"/>
      <c r="TUC281" s="445"/>
      <c r="TUD281" s="414"/>
      <c r="TUG281" s="445"/>
      <c r="TUH281" s="414"/>
      <c r="TUK281" s="445"/>
      <c r="TUL281" s="414"/>
      <c r="TUO281" s="445"/>
      <c r="TUP281" s="414"/>
      <c r="TUS281" s="445"/>
      <c r="TUT281" s="414"/>
      <c r="TUW281" s="445"/>
      <c r="TUX281" s="414"/>
      <c r="TVA281" s="445"/>
      <c r="TVB281" s="414"/>
      <c r="TVE281" s="445"/>
      <c r="TVF281" s="414"/>
      <c r="TVI281" s="445"/>
      <c r="TVJ281" s="414"/>
      <c r="TVM281" s="445"/>
      <c r="TVN281" s="414"/>
      <c r="TVQ281" s="445"/>
      <c r="TVR281" s="414"/>
      <c r="TVU281" s="445"/>
      <c r="TVV281" s="414"/>
      <c r="TVY281" s="445"/>
      <c r="TVZ281" s="414"/>
      <c r="TWC281" s="445"/>
      <c r="TWD281" s="414"/>
      <c r="TWG281" s="445"/>
      <c r="TWH281" s="414"/>
      <c r="TWK281" s="445"/>
      <c r="TWL281" s="414"/>
      <c r="TWO281" s="445"/>
      <c r="TWP281" s="414"/>
      <c r="TWS281" s="445"/>
      <c r="TWT281" s="414"/>
      <c r="TWW281" s="445"/>
      <c r="TWX281" s="414"/>
      <c r="TXA281" s="445"/>
      <c r="TXB281" s="414"/>
      <c r="TXE281" s="445"/>
      <c r="TXF281" s="414"/>
      <c r="TXI281" s="445"/>
      <c r="TXJ281" s="414"/>
      <c r="TXM281" s="445"/>
      <c r="TXN281" s="414"/>
      <c r="TXQ281" s="445"/>
      <c r="TXR281" s="414"/>
      <c r="TXU281" s="445"/>
      <c r="TXV281" s="414"/>
      <c r="TXY281" s="445"/>
      <c r="TXZ281" s="414"/>
      <c r="TYC281" s="445"/>
      <c r="TYD281" s="414"/>
      <c r="TYG281" s="445"/>
      <c r="TYH281" s="414"/>
      <c r="TYK281" s="445"/>
      <c r="TYL281" s="414"/>
      <c r="TYO281" s="445"/>
      <c r="TYP281" s="414"/>
      <c r="TYS281" s="445"/>
      <c r="TYT281" s="414"/>
      <c r="TYW281" s="445"/>
      <c r="TYX281" s="414"/>
      <c r="TZA281" s="445"/>
      <c r="TZB281" s="414"/>
      <c r="TZE281" s="445"/>
      <c r="TZF281" s="414"/>
      <c r="TZI281" s="445"/>
      <c r="TZJ281" s="414"/>
      <c r="TZM281" s="445"/>
      <c r="TZN281" s="414"/>
      <c r="TZQ281" s="445"/>
      <c r="TZR281" s="414"/>
      <c r="TZU281" s="445"/>
      <c r="TZV281" s="414"/>
      <c r="TZY281" s="445"/>
      <c r="TZZ281" s="414"/>
      <c r="UAC281" s="445"/>
      <c r="UAD281" s="414"/>
      <c r="UAG281" s="445"/>
      <c r="UAH281" s="414"/>
      <c r="UAK281" s="445"/>
      <c r="UAL281" s="414"/>
      <c r="UAO281" s="445"/>
      <c r="UAP281" s="414"/>
      <c r="UAS281" s="445"/>
      <c r="UAT281" s="414"/>
      <c r="UAW281" s="445"/>
      <c r="UAX281" s="414"/>
      <c r="UBA281" s="445"/>
      <c r="UBB281" s="414"/>
      <c r="UBE281" s="445"/>
      <c r="UBF281" s="414"/>
      <c r="UBI281" s="445"/>
      <c r="UBJ281" s="414"/>
      <c r="UBM281" s="445"/>
      <c r="UBN281" s="414"/>
      <c r="UBQ281" s="445"/>
      <c r="UBR281" s="414"/>
      <c r="UBU281" s="445"/>
      <c r="UBV281" s="414"/>
      <c r="UBY281" s="445"/>
      <c r="UBZ281" s="414"/>
      <c r="UCC281" s="445"/>
      <c r="UCD281" s="414"/>
      <c r="UCG281" s="445"/>
      <c r="UCH281" s="414"/>
      <c r="UCK281" s="445"/>
      <c r="UCL281" s="414"/>
      <c r="UCO281" s="445"/>
      <c r="UCP281" s="414"/>
      <c r="UCS281" s="445"/>
      <c r="UCT281" s="414"/>
      <c r="UCW281" s="445"/>
      <c r="UCX281" s="414"/>
      <c r="UDA281" s="445"/>
      <c r="UDB281" s="414"/>
      <c r="UDE281" s="445"/>
      <c r="UDF281" s="414"/>
      <c r="UDI281" s="445"/>
      <c r="UDJ281" s="414"/>
      <c r="UDM281" s="445"/>
      <c r="UDN281" s="414"/>
      <c r="UDQ281" s="445"/>
      <c r="UDR281" s="414"/>
      <c r="UDU281" s="445"/>
      <c r="UDV281" s="414"/>
      <c r="UDY281" s="445"/>
      <c r="UDZ281" s="414"/>
      <c r="UEC281" s="445"/>
      <c r="UED281" s="414"/>
      <c r="UEG281" s="445"/>
      <c r="UEH281" s="414"/>
      <c r="UEK281" s="445"/>
      <c r="UEL281" s="414"/>
      <c r="UEO281" s="445"/>
      <c r="UEP281" s="414"/>
      <c r="UES281" s="445"/>
      <c r="UET281" s="414"/>
      <c r="UEW281" s="445"/>
      <c r="UEX281" s="414"/>
      <c r="UFA281" s="445"/>
      <c r="UFB281" s="414"/>
      <c r="UFE281" s="445"/>
      <c r="UFF281" s="414"/>
      <c r="UFI281" s="445"/>
      <c r="UFJ281" s="414"/>
      <c r="UFM281" s="445"/>
      <c r="UFN281" s="414"/>
      <c r="UFQ281" s="445"/>
      <c r="UFR281" s="414"/>
      <c r="UFU281" s="445"/>
      <c r="UFV281" s="414"/>
      <c r="UFY281" s="445"/>
      <c r="UFZ281" s="414"/>
      <c r="UGC281" s="445"/>
      <c r="UGD281" s="414"/>
      <c r="UGG281" s="445"/>
      <c r="UGH281" s="414"/>
      <c r="UGK281" s="445"/>
      <c r="UGL281" s="414"/>
      <c r="UGO281" s="445"/>
      <c r="UGP281" s="414"/>
      <c r="UGS281" s="445"/>
      <c r="UGT281" s="414"/>
      <c r="UGW281" s="445"/>
      <c r="UGX281" s="414"/>
      <c r="UHA281" s="445"/>
      <c r="UHB281" s="414"/>
      <c r="UHE281" s="445"/>
      <c r="UHF281" s="414"/>
      <c r="UHI281" s="445"/>
      <c r="UHJ281" s="414"/>
      <c r="UHM281" s="445"/>
      <c r="UHN281" s="414"/>
      <c r="UHQ281" s="445"/>
      <c r="UHR281" s="414"/>
      <c r="UHU281" s="445"/>
      <c r="UHV281" s="414"/>
      <c r="UHY281" s="445"/>
      <c r="UHZ281" s="414"/>
      <c r="UIC281" s="445"/>
      <c r="UID281" s="414"/>
      <c r="UIG281" s="445"/>
      <c r="UIH281" s="414"/>
      <c r="UIK281" s="445"/>
      <c r="UIL281" s="414"/>
      <c r="UIO281" s="445"/>
      <c r="UIP281" s="414"/>
      <c r="UIS281" s="445"/>
      <c r="UIT281" s="414"/>
      <c r="UIW281" s="445"/>
      <c r="UIX281" s="414"/>
      <c r="UJA281" s="445"/>
      <c r="UJB281" s="414"/>
      <c r="UJE281" s="445"/>
      <c r="UJF281" s="414"/>
      <c r="UJI281" s="445"/>
      <c r="UJJ281" s="414"/>
      <c r="UJM281" s="445"/>
      <c r="UJN281" s="414"/>
      <c r="UJQ281" s="445"/>
      <c r="UJR281" s="414"/>
      <c r="UJU281" s="445"/>
      <c r="UJV281" s="414"/>
      <c r="UJY281" s="445"/>
      <c r="UJZ281" s="414"/>
      <c r="UKC281" s="445"/>
      <c r="UKD281" s="414"/>
      <c r="UKG281" s="445"/>
      <c r="UKH281" s="414"/>
      <c r="UKK281" s="445"/>
      <c r="UKL281" s="414"/>
      <c r="UKO281" s="445"/>
      <c r="UKP281" s="414"/>
      <c r="UKS281" s="445"/>
      <c r="UKT281" s="414"/>
      <c r="UKW281" s="445"/>
      <c r="UKX281" s="414"/>
      <c r="ULA281" s="445"/>
      <c r="ULB281" s="414"/>
      <c r="ULE281" s="445"/>
      <c r="ULF281" s="414"/>
      <c r="ULI281" s="445"/>
      <c r="ULJ281" s="414"/>
      <c r="ULM281" s="445"/>
      <c r="ULN281" s="414"/>
      <c r="ULQ281" s="445"/>
      <c r="ULR281" s="414"/>
      <c r="ULU281" s="445"/>
      <c r="ULV281" s="414"/>
      <c r="ULY281" s="445"/>
      <c r="ULZ281" s="414"/>
      <c r="UMC281" s="445"/>
      <c r="UMD281" s="414"/>
      <c r="UMG281" s="445"/>
      <c r="UMH281" s="414"/>
      <c r="UMK281" s="445"/>
      <c r="UML281" s="414"/>
      <c r="UMO281" s="445"/>
      <c r="UMP281" s="414"/>
      <c r="UMS281" s="445"/>
      <c r="UMT281" s="414"/>
      <c r="UMW281" s="445"/>
      <c r="UMX281" s="414"/>
      <c r="UNA281" s="445"/>
      <c r="UNB281" s="414"/>
      <c r="UNE281" s="445"/>
      <c r="UNF281" s="414"/>
      <c r="UNI281" s="445"/>
      <c r="UNJ281" s="414"/>
      <c r="UNM281" s="445"/>
      <c r="UNN281" s="414"/>
      <c r="UNQ281" s="445"/>
      <c r="UNR281" s="414"/>
      <c r="UNU281" s="445"/>
      <c r="UNV281" s="414"/>
      <c r="UNY281" s="445"/>
      <c r="UNZ281" s="414"/>
      <c r="UOC281" s="445"/>
      <c r="UOD281" s="414"/>
      <c r="UOG281" s="445"/>
      <c r="UOH281" s="414"/>
      <c r="UOK281" s="445"/>
      <c r="UOL281" s="414"/>
      <c r="UOO281" s="445"/>
      <c r="UOP281" s="414"/>
      <c r="UOS281" s="445"/>
      <c r="UOT281" s="414"/>
      <c r="UOW281" s="445"/>
      <c r="UOX281" s="414"/>
      <c r="UPA281" s="445"/>
      <c r="UPB281" s="414"/>
      <c r="UPE281" s="445"/>
      <c r="UPF281" s="414"/>
      <c r="UPI281" s="445"/>
      <c r="UPJ281" s="414"/>
      <c r="UPM281" s="445"/>
      <c r="UPN281" s="414"/>
      <c r="UPQ281" s="445"/>
      <c r="UPR281" s="414"/>
      <c r="UPU281" s="445"/>
      <c r="UPV281" s="414"/>
      <c r="UPY281" s="445"/>
      <c r="UPZ281" s="414"/>
      <c r="UQC281" s="445"/>
      <c r="UQD281" s="414"/>
      <c r="UQG281" s="445"/>
      <c r="UQH281" s="414"/>
      <c r="UQK281" s="445"/>
      <c r="UQL281" s="414"/>
      <c r="UQO281" s="445"/>
      <c r="UQP281" s="414"/>
      <c r="UQS281" s="445"/>
      <c r="UQT281" s="414"/>
      <c r="UQW281" s="445"/>
      <c r="UQX281" s="414"/>
      <c r="URA281" s="445"/>
      <c r="URB281" s="414"/>
      <c r="URE281" s="445"/>
      <c r="URF281" s="414"/>
      <c r="URI281" s="445"/>
      <c r="URJ281" s="414"/>
      <c r="URM281" s="445"/>
      <c r="URN281" s="414"/>
      <c r="URQ281" s="445"/>
      <c r="URR281" s="414"/>
      <c r="URU281" s="445"/>
      <c r="URV281" s="414"/>
      <c r="URY281" s="445"/>
      <c r="URZ281" s="414"/>
      <c r="USC281" s="445"/>
      <c r="USD281" s="414"/>
      <c r="USG281" s="445"/>
      <c r="USH281" s="414"/>
      <c r="USK281" s="445"/>
      <c r="USL281" s="414"/>
      <c r="USO281" s="445"/>
      <c r="USP281" s="414"/>
      <c r="USS281" s="445"/>
      <c r="UST281" s="414"/>
      <c r="USW281" s="445"/>
      <c r="USX281" s="414"/>
      <c r="UTA281" s="445"/>
      <c r="UTB281" s="414"/>
      <c r="UTE281" s="445"/>
      <c r="UTF281" s="414"/>
      <c r="UTI281" s="445"/>
      <c r="UTJ281" s="414"/>
      <c r="UTM281" s="445"/>
      <c r="UTN281" s="414"/>
      <c r="UTQ281" s="445"/>
      <c r="UTR281" s="414"/>
      <c r="UTU281" s="445"/>
      <c r="UTV281" s="414"/>
      <c r="UTY281" s="445"/>
      <c r="UTZ281" s="414"/>
      <c r="UUC281" s="445"/>
      <c r="UUD281" s="414"/>
      <c r="UUG281" s="445"/>
      <c r="UUH281" s="414"/>
      <c r="UUK281" s="445"/>
      <c r="UUL281" s="414"/>
      <c r="UUO281" s="445"/>
      <c r="UUP281" s="414"/>
      <c r="UUS281" s="445"/>
      <c r="UUT281" s="414"/>
      <c r="UUW281" s="445"/>
      <c r="UUX281" s="414"/>
      <c r="UVA281" s="445"/>
      <c r="UVB281" s="414"/>
      <c r="UVE281" s="445"/>
      <c r="UVF281" s="414"/>
      <c r="UVI281" s="445"/>
      <c r="UVJ281" s="414"/>
      <c r="UVM281" s="445"/>
      <c r="UVN281" s="414"/>
      <c r="UVQ281" s="445"/>
      <c r="UVR281" s="414"/>
      <c r="UVU281" s="445"/>
      <c r="UVV281" s="414"/>
      <c r="UVY281" s="445"/>
      <c r="UVZ281" s="414"/>
      <c r="UWC281" s="445"/>
      <c r="UWD281" s="414"/>
      <c r="UWG281" s="445"/>
      <c r="UWH281" s="414"/>
      <c r="UWK281" s="445"/>
      <c r="UWL281" s="414"/>
      <c r="UWO281" s="445"/>
      <c r="UWP281" s="414"/>
      <c r="UWS281" s="445"/>
      <c r="UWT281" s="414"/>
      <c r="UWW281" s="445"/>
      <c r="UWX281" s="414"/>
      <c r="UXA281" s="445"/>
      <c r="UXB281" s="414"/>
      <c r="UXE281" s="445"/>
      <c r="UXF281" s="414"/>
      <c r="UXI281" s="445"/>
      <c r="UXJ281" s="414"/>
      <c r="UXM281" s="445"/>
      <c r="UXN281" s="414"/>
      <c r="UXQ281" s="445"/>
      <c r="UXR281" s="414"/>
      <c r="UXU281" s="445"/>
      <c r="UXV281" s="414"/>
      <c r="UXY281" s="445"/>
      <c r="UXZ281" s="414"/>
      <c r="UYC281" s="445"/>
      <c r="UYD281" s="414"/>
      <c r="UYG281" s="445"/>
      <c r="UYH281" s="414"/>
      <c r="UYK281" s="445"/>
      <c r="UYL281" s="414"/>
      <c r="UYO281" s="445"/>
      <c r="UYP281" s="414"/>
      <c r="UYS281" s="445"/>
      <c r="UYT281" s="414"/>
      <c r="UYW281" s="445"/>
      <c r="UYX281" s="414"/>
      <c r="UZA281" s="445"/>
      <c r="UZB281" s="414"/>
      <c r="UZE281" s="445"/>
      <c r="UZF281" s="414"/>
      <c r="UZI281" s="445"/>
      <c r="UZJ281" s="414"/>
      <c r="UZM281" s="445"/>
      <c r="UZN281" s="414"/>
      <c r="UZQ281" s="445"/>
      <c r="UZR281" s="414"/>
      <c r="UZU281" s="445"/>
      <c r="UZV281" s="414"/>
      <c r="UZY281" s="445"/>
      <c r="UZZ281" s="414"/>
      <c r="VAC281" s="445"/>
      <c r="VAD281" s="414"/>
      <c r="VAG281" s="445"/>
      <c r="VAH281" s="414"/>
      <c r="VAK281" s="445"/>
      <c r="VAL281" s="414"/>
      <c r="VAO281" s="445"/>
      <c r="VAP281" s="414"/>
      <c r="VAS281" s="445"/>
      <c r="VAT281" s="414"/>
      <c r="VAW281" s="445"/>
      <c r="VAX281" s="414"/>
      <c r="VBA281" s="445"/>
      <c r="VBB281" s="414"/>
      <c r="VBE281" s="445"/>
      <c r="VBF281" s="414"/>
      <c r="VBI281" s="445"/>
      <c r="VBJ281" s="414"/>
      <c r="VBM281" s="445"/>
      <c r="VBN281" s="414"/>
      <c r="VBQ281" s="445"/>
      <c r="VBR281" s="414"/>
      <c r="VBU281" s="445"/>
      <c r="VBV281" s="414"/>
      <c r="VBY281" s="445"/>
      <c r="VBZ281" s="414"/>
      <c r="VCC281" s="445"/>
      <c r="VCD281" s="414"/>
      <c r="VCG281" s="445"/>
      <c r="VCH281" s="414"/>
      <c r="VCK281" s="445"/>
      <c r="VCL281" s="414"/>
      <c r="VCO281" s="445"/>
      <c r="VCP281" s="414"/>
      <c r="VCS281" s="445"/>
      <c r="VCT281" s="414"/>
      <c r="VCW281" s="445"/>
      <c r="VCX281" s="414"/>
      <c r="VDA281" s="445"/>
      <c r="VDB281" s="414"/>
      <c r="VDE281" s="445"/>
      <c r="VDF281" s="414"/>
      <c r="VDI281" s="445"/>
      <c r="VDJ281" s="414"/>
      <c r="VDM281" s="445"/>
      <c r="VDN281" s="414"/>
      <c r="VDQ281" s="445"/>
      <c r="VDR281" s="414"/>
      <c r="VDU281" s="445"/>
      <c r="VDV281" s="414"/>
      <c r="VDY281" s="445"/>
      <c r="VDZ281" s="414"/>
      <c r="VEC281" s="445"/>
      <c r="VED281" s="414"/>
      <c r="VEG281" s="445"/>
      <c r="VEH281" s="414"/>
      <c r="VEK281" s="445"/>
      <c r="VEL281" s="414"/>
      <c r="VEO281" s="445"/>
      <c r="VEP281" s="414"/>
      <c r="VES281" s="445"/>
      <c r="VET281" s="414"/>
      <c r="VEW281" s="445"/>
      <c r="VEX281" s="414"/>
      <c r="VFA281" s="445"/>
      <c r="VFB281" s="414"/>
      <c r="VFE281" s="445"/>
      <c r="VFF281" s="414"/>
      <c r="VFI281" s="445"/>
      <c r="VFJ281" s="414"/>
      <c r="VFM281" s="445"/>
      <c r="VFN281" s="414"/>
      <c r="VFQ281" s="445"/>
      <c r="VFR281" s="414"/>
      <c r="VFU281" s="445"/>
      <c r="VFV281" s="414"/>
      <c r="VFY281" s="445"/>
      <c r="VFZ281" s="414"/>
      <c r="VGC281" s="445"/>
      <c r="VGD281" s="414"/>
      <c r="VGG281" s="445"/>
      <c r="VGH281" s="414"/>
      <c r="VGK281" s="445"/>
      <c r="VGL281" s="414"/>
      <c r="VGO281" s="445"/>
      <c r="VGP281" s="414"/>
      <c r="VGS281" s="445"/>
      <c r="VGT281" s="414"/>
      <c r="VGW281" s="445"/>
      <c r="VGX281" s="414"/>
      <c r="VHA281" s="445"/>
      <c r="VHB281" s="414"/>
      <c r="VHE281" s="445"/>
      <c r="VHF281" s="414"/>
      <c r="VHI281" s="445"/>
      <c r="VHJ281" s="414"/>
      <c r="VHM281" s="445"/>
      <c r="VHN281" s="414"/>
      <c r="VHQ281" s="445"/>
      <c r="VHR281" s="414"/>
      <c r="VHU281" s="445"/>
      <c r="VHV281" s="414"/>
      <c r="VHY281" s="445"/>
      <c r="VHZ281" s="414"/>
      <c r="VIC281" s="445"/>
      <c r="VID281" s="414"/>
      <c r="VIG281" s="445"/>
      <c r="VIH281" s="414"/>
      <c r="VIK281" s="445"/>
      <c r="VIL281" s="414"/>
      <c r="VIO281" s="445"/>
      <c r="VIP281" s="414"/>
      <c r="VIS281" s="445"/>
      <c r="VIT281" s="414"/>
      <c r="VIW281" s="445"/>
      <c r="VIX281" s="414"/>
      <c r="VJA281" s="445"/>
      <c r="VJB281" s="414"/>
      <c r="VJE281" s="445"/>
      <c r="VJF281" s="414"/>
      <c r="VJI281" s="445"/>
      <c r="VJJ281" s="414"/>
      <c r="VJM281" s="445"/>
      <c r="VJN281" s="414"/>
      <c r="VJQ281" s="445"/>
      <c r="VJR281" s="414"/>
      <c r="VJU281" s="445"/>
      <c r="VJV281" s="414"/>
      <c r="VJY281" s="445"/>
      <c r="VJZ281" s="414"/>
      <c r="VKC281" s="445"/>
      <c r="VKD281" s="414"/>
      <c r="VKG281" s="445"/>
      <c r="VKH281" s="414"/>
      <c r="VKK281" s="445"/>
      <c r="VKL281" s="414"/>
      <c r="VKO281" s="445"/>
      <c r="VKP281" s="414"/>
      <c r="VKS281" s="445"/>
      <c r="VKT281" s="414"/>
      <c r="VKW281" s="445"/>
      <c r="VKX281" s="414"/>
      <c r="VLA281" s="445"/>
      <c r="VLB281" s="414"/>
      <c r="VLE281" s="445"/>
      <c r="VLF281" s="414"/>
      <c r="VLI281" s="445"/>
      <c r="VLJ281" s="414"/>
      <c r="VLM281" s="445"/>
      <c r="VLN281" s="414"/>
      <c r="VLQ281" s="445"/>
      <c r="VLR281" s="414"/>
      <c r="VLU281" s="445"/>
      <c r="VLV281" s="414"/>
      <c r="VLY281" s="445"/>
      <c r="VLZ281" s="414"/>
      <c r="VMC281" s="445"/>
      <c r="VMD281" s="414"/>
      <c r="VMG281" s="445"/>
      <c r="VMH281" s="414"/>
      <c r="VMK281" s="445"/>
      <c r="VML281" s="414"/>
      <c r="VMO281" s="445"/>
      <c r="VMP281" s="414"/>
      <c r="VMS281" s="445"/>
      <c r="VMT281" s="414"/>
      <c r="VMW281" s="445"/>
      <c r="VMX281" s="414"/>
      <c r="VNA281" s="445"/>
      <c r="VNB281" s="414"/>
      <c r="VNE281" s="445"/>
      <c r="VNF281" s="414"/>
      <c r="VNI281" s="445"/>
      <c r="VNJ281" s="414"/>
      <c r="VNM281" s="445"/>
      <c r="VNN281" s="414"/>
      <c r="VNQ281" s="445"/>
      <c r="VNR281" s="414"/>
      <c r="VNU281" s="445"/>
      <c r="VNV281" s="414"/>
      <c r="VNY281" s="445"/>
      <c r="VNZ281" s="414"/>
      <c r="VOC281" s="445"/>
      <c r="VOD281" s="414"/>
      <c r="VOG281" s="445"/>
      <c r="VOH281" s="414"/>
      <c r="VOK281" s="445"/>
      <c r="VOL281" s="414"/>
      <c r="VOO281" s="445"/>
      <c r="VOP281" s="414"/>
      <c r="VOS281" s="445"/>
      <c r="VOT281" s="414"/>
      <c r="VOW281" s="445"/>
      <c r="VOX281" s="414"/>
      <c r="VPA281" s="445"/>
      <c r="VPB281" s="414"/>
      <c r="VPE281" s="445"/>
      <c r="VPF281" s="414"/>
      <c r="VPI281" s="445"/>
      <c r="VPJ281" s="414"/>
      <c r="VPM281" s="445"/>
      <c r="VPN281" s="414"/>
      <c r="VPQ281" s="445"/>
      <c r="VPR281" s="414"/>
      <c r="VPU281" s="445"/>
      <c r="VPV281" s="414"/>
      <c r="VPY281" s="445"/>
      <c r="VPZ281" s="414"/>
      <c r="VQC281" s="445"/>
      <c r="VQD281" s="414"/>
      <c r="VQG281" s="445"/>
      <c r="VQH281" s="414"/>
      <c r="VQK281" s="445"/>
      <c r="VQL281" s="414"/>
      <c r="VQO281" s="445"/>
      <c r="VQP281" s="414"/>
      <c r="VQS281" s="445"/>
      <c r="VQT281" s="414"/>
      <c r="VQW281" s="445"/>
      <c r="VQX281" s="414"/>
      <c r="VRA281" s="445"/>
      <c r="VRB281" s="414"/>
      <c r="VRE281" s="445"/>
      <c r="VRF281" s="414"/>
      <c r="VRI281" s="445"/>
      <c r="VRJ281" s="414"/>
      <c r="VRM281" s="445"/>
      <c r="VRN281" s="414"/>
      <c r="VRQ281" s="445"/>
      <c r="VRR281" s="414"/>
      <c r="VRU281" s="445"/>
      <c r="VRV281" s="414"/>
      <c r="VRY281" s="445"/>
      <c r="VRZ281" s="414"/>
      <c r="VSC281" s="445"/>
      <c r="VSD281" s="414"/>
      <c r="VSG281" s="445"/>
      <c r="VSH281" s="414"/>
      <c r="VSK281" s="445"/>
      <c r="VSL281" s="414"/>
      <c r="VSO281" s="445"/>
      <c r="VSP281" s="414"/>
      <c r="VSS281" s="445"/>
      <c r="VST281" s="414"/>
      <c r="VSW281" s="445"/>
      <c r="VSX281" s="414"/>
      <c r="VTA281" s="445"/>
      <c r="VTB281" s="414"/>
      <c r="VTE281" s="445"/>
      <c r="VTF281" s="414"/>
      <c r="VTI281" s="445"/>
      <c r="VTJ281" s="414"/>
      <c r="VTM281" s="445"/>
      <c r="VTN281" s="414"/>
      <c r="VTQ281" s="445"/>
      <c r="VTR281" s="414"/>
      <c r="VTU281" s="445"/>
      <c r="VTV281" s="414"/>
      <c r="VTY281" s="445"/>
      <c r="VTZ281" s="414"/>
      <c r="VUC281" s="445"/>
      <c r="VUD281" s="414"/>
      <c r="VUG281" s="445"/>
      <c r="VUH281" s="414"/>
      <c r="VUK281" s="445"/>
      <c r="VUL281" s="414"/>
      <c r="VUO281" s="445"/>
      <c r="VUP281" s="414"/>
      <c r="VUS281" s="445"/>
      <c r="VUT281" s="414"/>
      <c r="VUW281" s="445"/>
      <c r="VUX281" s="414"/>
      <c r="VVA281" s="445"/>
      <c r="VVB281" s="414"/>
      <c r="VVE281" s="445"/>
      <c r="VVF281" s="414"/>
      <c r="VVI281" s="445"/>
      <c r="VVJ281" s="414"/>
      <c r="VVM281" s="445"/>
      <c r="VVN281" s="414"/>
      <c r="VVQ281" s="445"/>
      <c r="VVR281" s="414"/>
      <c r="VVU281" s="445"/>
      <c r="VVV281" s="414"/>
      <c r="VVY281" s="445"/>
      <c r="VVZ281" s="414"/>
      <c r="VWC281" s="445"/>
      <c r="VWD281" s="414"/>
      <c r="VWG281" s="445"/>
      <c r="VWH281" s="414"/>
      <c r="VWK281" s="445"/>
      <c r="VWL281" s="414"/>
      <c r="VWO281" s="445"/>
      <c r="VWP281" s="414"/>
      <c r="VWS281" s="445"/>
      <c r="VWT281" s="414"/>
      <c r="VWW281" s="445"/>
      <c r="VWX281" s="414"/>
      <c r="VXA281" s="445"/>
      <c r="VXB281" s="414"/>
      <c r="VXE281" s="445"/>
      <c r="VXF281" s="414"/>
      <c r="VXI281" s="445"/>
      <c r="VXJ281" s="414"/>
      <c r="VXM281" s="445"/>
      <c r="VXN281" s="414"/>
      <c r="VXQ281" s="445"/>
      <c r="VXR281" s="414"/>
      <c r="VXU281" s="445"/>
      <c r="VXV281" s="414"/>
      <c r="VXY281" s="445"/>
      <c r="VXZ281" s="414"/>
      <c r="VYC281" s="445"/>
      <c r="VYD281" s="414"/>
      <c r="VYG281" s="445"/>
      <c r="VYH281" s="414"/>
      <c r="VYK281" s="445"/>
      <c r="VYL281" s="414"/>
      <c r="VYO281" s="445"/>
      <c r="VYP281" s="414"/>
      <c r="VYS281" s="445"/>
      <c r="VYT281" s="414"/>
      <c r="VYW281" s="445"/>
      <c r="VYX281" s="414"/>
      <c r="VZA281" s="445"/>
      <c r="VZB281" s="414"/>
      <c r="VZE281" s="445"/>
      <c r="VZF281" s="414"/>
      <c r="VZI281" s="445"/>
      <c r="VZJ281" s="414"/>
      <c r="VZM281" s="445"/>
      <c r="VZN281" s="414"/>
      <c r="VZQ281" s="445"/>
      <c r="VZR281" s="414"/>
      <c r="VZU281" s="445"/>
      <c r="VZV281" s="414"/>
      <c r="VZY281" s="445"/>
      <c r="VZZ281" s="414"/>
      <c r="WAC281" s="445"/>
      <c r="WAD281" s="414"/>
      <c r="WAG281" s="445"/>
      <c r="WAH281" s="414"/>
      <c r="WAK281" s="445"/>
      <c r="WAL281" s="414"/>
      <c r="WAO281" s="445"/>
      <c r="WAP281" s="414"/>
      <c r="WAS281" s="445"/>
      <c r="WAT281" s="414"/>
      <c r="WAW281" s="445"/>
      <c r="WAX281" s="414"/>
      <c r="WBA281" s="445"/>
      <c r="WBB281" s="414"/>
      <c r="WBE281" s="445"/>
      <c r="WBF281" s="414"/>
      <c r="WBI281" s="445"/>
      <c r="WBJ281" s="414"/>
      <c r="WBM281" s="445"/>
      <c r="WBN281" s="414"/>
      <c r="WBQ281" s="445"/>
      <c r="WBR281" s="414"/>
      <c r="WBU281" s="445"/>
      <c r="WBV281" s="414"/>
      <c r="WBY281" s="445"/>
      <c r="WBZ281" s="414"/>
      <c r="WCC281" s="445"/>
      <c r="WCD281" s="414"/>
      <c r="WCG281" s="445"/>
      <c r="WCH281" s="414"/>
      <c r="WCK281" s="445"/>
      <c r="WCL281" s="414"/>
      <c r="WCO281" s="445"/>
      <c r="WCP281" s="414"/>
      <c r="WCS281" s="445"/>
      <c r="WCT281" s="414"/>
      <c r="WCW281" s="445"/>
      <c r="WCX281" s="414"/>
      <c r="WDA281" s="445"/>
      <c r="WDB281" s="414"/>
      <c r="WDE281" s="445"/>
      <c r="WDF281" s="414"/>
      <c r="WDI281" s="445"/>
      <c r="WDJ281" s="414"/>
      <c r="WDM281" s="445"/>
      <c r="WDN281" s="414"/>
      <c r="WDQ281" s="445"/>
      <c r="WDR281" s="414"/>
      <c r="WDU281" s="445"/>
      <c r="WDV281" s="414"/>
      <c r="WDY281" s="445"/>
      <c r="WDZ281" s="414"/>
      <c r="WEC281" s="445"/>
      <c r="WED281" s="414"/>
      <c r="WEG281" s="445"/>
      <c r="WEH281" s="414"/>
      <c r="WEK281" s="445"/>
      <c r="WEL281" s="414"/>
      <c r="WEO281" s="445"/>
      <c r="WEP281" s="414"/>
      <c r="WES281" s="445"/>
      <c r="WET281" s="414"/>
      <c r="WEW281" s="445"/>
      <c r="WEX281" s="414"/>
      <c r="WFA281" s="445"/>
      <c r="WFB281" s="414"/>
      <c r="WFE281" s="445"/>
      <c r="WFF281" s="414"/>
      <c r="WFI281" s="445"/>
      <c r="WFJ281" s="414"/>
      <c r="WFM281" s="445"/>
      <c r="WFN281" s="414"/>
      <c r="WFQ281" s="445"/>
      <c r="WFR281" s="414"/>
      <c r="WFU281" s="445"/>
      <c r="WFV281" s="414"/>
      <c r="WFY281" s="445"/>
      <c r="WFZ281" s="414"/>
      <c r="WGC281" s="445"/>
      <c r="WGD281" s="414"/>
      <c r="WGG281" s="445"/>
      <c r="WGH281" s="414"/>
      <c r="WGK281" s="445"/>
      <c r="WGL281" s="414"/>
      <c r="WGO281" s="445"/>
      <c r="WGP281" s="414"/>
      <c r="WGS281" s="445"/>
      <c r="WGT281" s="414"/>
      <c r="WGW281" s="445"/>
      <c r="WGX281" s="414"/>
      <c r="WHA281" s="445"/>
      <c r="WHB281" s="414"/>
      <c r="WHE281" s="445"/>
      <c r="WHF281" s="414"/>
      <c r="WHI281" s="445"/>
      <c r="WHJ281" s="414"/>
      <c r="WHM281" s="445"/>
      <c r="WHN281" s="414"/>
      <c r="WHQ281" s="445"/>
      <c r="WHR281" s="414"/>
      <c r="WHU281" s="445"/>
      <c r="WHV281" s="414"/>
      <c r="WHY281" s="445"/>
      <c r="WHZ281" s="414"/>
      <c r="WIC281" s="445"/>
      <c r="WID281" s="414"/>
      <c r="WIG281" s="445"/>
      <c r="WIH281" s="414"/>
      <c r="WIK281" s="445"/>
      <c r="WIL281" s="414"/>
      <c r="WIO281" s="445"/>
      <c r="WIP281" s="414"/>
      <c r="WIS281" s="445"/>
      <c r="WIT281" s="414"/>
      <c r="WIW281" s="445"/>
      <c r="WIX281" s="414"/>
      <c r="WJA281" s="445"/>
      <c r="WJB281" s="414"/>
      <c r="WJE281" s="445"/>
      <c r="WJF281" s="414"/>
      <c r="WJI281" s="445"/>
      <c r="WJJ281" s="414"/>
      <c r="WJM281" s="445"/>
      <c r="WJN281" s="414"/>
      <c r="WJQ281" s="445"/>
      <c r="WJR281" s="414"/>
      <c r="WJU281" s="445"/>
      <c r="WJV281" s="414"/>
      <c r="WJY281" s="445"/>
      <c r="WJZ281" s="414"/>
      <c r="WKC281" s="445"/>
      <c r="WKD281" s="414"/>
      <c r="WKG281" s="445"/>
      <c r="WKH281" s="414"/>
      <c r="WKK281" s="445"/>
      <c r="WKL281" s="414"/>
      <c r="WKO281" s="445"/>
      <c r="WKP281" s="414"/>
      <c r="WKS281" s="445"/>
      <c r="WKT281" s="414"/>
      <c r="WKW281" s="445"/>
      <c r="WKX281" s="414"/>
      <c r="WLA281" s="445"/>
      <c r="WLB281" s="414"/>
      <c r="WLE281" s="445"/>
      <c r="WLF281" s="414"/>
      <c r="WLI281" s="445"/>
      <c r="WLJ281" s="414"/>
      <c r="WLM281" s="445"/>
      <c r="WLN281" s="414"/>
      <c r="WLQ281" s="445"/>
      <c r="WLR281" s="414"/>
      <c r="WLU281" s="445"/>
      <c r="WLV281" s="414"/>
      <c r="WLY281" s="445"/>
      <c r="WLZ281" s="414"/>
      <c r="WMC281" s="445"/>
      <c r="WMD281" s="414"/>
      <c r="WMG281" s="445"/>
      <c r="WMH281" s="414"/>
      <c r="WMK281" s="445"/>
      <c r="WML281" s="414"/>
      <c r="WMO281" s="445"/>
      <c r="WMP281" s="414"/>
      <c r="WMS281" s="445"/>
      <c r="WMT281" s="414"/>
      <c r="WMW281" s="445"/>
      <c r="WMX281" s="414"/>
      <c r="WNA281" s="445"/>
      <c r="WNB281" s="414"/>
      <c r="WNE281" s="445"/>
      <c r="WNF281" s="414"/>
      <c r="WNI281" s="445"/>
      <c r="WNJ281" s="414"/>
      <c r="WNM281" s="445"/>
      <c r="WNN281" s="414"/>
      <c r="WNQ281" s="445"/>
      <c r="WNR281" s="414"/>
      <c r="WNU281" s="445"/>
      <c r="WNV281" s="414"/>
      <c r="WNY281" s="445"/>
      <c r="WNZ281" s="414"/>
      <c r="WOC281" s="445"/>
      <c r="WOD281" s="414"/>
      <c r="WOG281" s="445"/>
      <c r="WOH281" s="414"/>
      <c r="WOK281" s="445"/>
      <c r="WOL281" s="414"/>
      <c r="WOO281" s="445"/>
      <c r="WOP281" s="414"/>
      <c r="WOS281" s="445"/>
      <c r="WOT281" s="414"/>
      <c r="WOW281" s="445"/>
      <c r="WOX281" s="414"/>
      <c r="WPA281" s="445"/>
      <c r="WPB281" s="414"/>
      <c r="WPE281" s="445"/>
      <c r="WPF281" s="414"/>
      <c r="WPI281" s="445"/>
      <c r="WPJ281" s="414"/>
      <c r="WPM281" s="445"/>
      <c r="WPN281" s="414"/>
      <c r="WPQ281" s="445"/>
      <c r="WPR281" s="414"/>
      <c r="WPU281" s="445"/>
      <c r="WPV281" s="414"/>
      <c r="WPY281" s="445"/>
      <c r="WPZ281" s="414"/>
      <c r="WQC281" s="445"/>
      <c r="WQD281" s="414"/>
      <c r="WQG281" s="445"/>
      <c r="WQH281" s="414"/>
      <c r="WQK281" s="445"/>
      <c r="WQL281" s="414"/>
      <c r="WQO281" s="445"/>
      <c r="WQP281" s="414"/>
      <c r="WQS281" s="445"/>
      <c r="WQT281" s="414"/>
      <c r="WQW281" s="445"/>
      <c r="WQX281" s="414"/>
      <c r="WRA281" s="445"/>
      <c r="WRB281" s="414"/>
      <c r="WRE281" s="445"/>
      <c r="WRF281" s="414"/>
      <c r="WRI281" s="445"/>
      <c r="WRJ281" s="414"/>
      <c r="WRM281" s="445"/>
      <c r="WRN281" s="414"/>
      <c r="WRQ281" s="445"/>
      <c r="WRR281" s="414"/>
      <c r="WRU281" s="445"/>
      <c r="WRV281" s="414"/>
      <c r="WRY281" s="445"/>
      <c r="WRZ281" s="414"/>
      <c r="WSC281" s="445"/>
      <c r="WSD281" s="414"/>
      <c r="WSG281" s="445"/>
      <c r="WSH281" s="414"/>
      <c r="WSK281" s="445"/>
      <c r="WSL281" s="414"/>
      <c r="WSO281" s="445"/>
      <c r="WSP281" s="414"/>
      <c r="WSS281" s="445"/>
      <c r="WST281" s="414"/>
      <c r="WSW281" s="445"/>
      <c r="WSX281" s="414"/>
      <c r="WTA281" s="445"/>
      <c r="WTB281" s="414"/>
      <c r="WTE281" s="445"/>
      <c r="WTF281" s="414"/>
      <c r="WTI281" s="445"/>
      <c r="WTJ281" s="414"/>
      <c r="WTM281" s="445"/>
      <c r="WTN281" s="414"/>
      <c r="WTQ281" s="445"/>
      <c r="WTR281" s="414"/>
      <c r="WTU281" s="445"/>
      <c r="WTV281" s="414"/>
      <c r="WTY281" s="445"/>
      <c r="WTZ281" s="414"/>
      <c r="WUC281" s="445"/>
      <c r="WUD281" s="414"/>
      <c r="WUG281" s="445"/>
      <c r="WUH281" s="414"/>
      <c r="WUK281" s="445"/>
      <c r="WUL281" s="414"/>
      <c r="WUO281" s="445"/>
      <c r="WUP281" s="414"/>
      <c r="WUS281" s="445"/>
      <c r="WUT281" s="414"/>
      <c r="WUW281" s="445"/>
      <c r="WUX281" s="414"/>
      <c r="WVA281" s="445"/>
      <c r="WVB281" s="414"/>
      <c r="WVE281" s="445"/>
      <c r="WVF281" s="414"/>
      <c r="WVI281" s="445"/>
      <c r="WVJ281" s="414"/>
      <c r="WVM281" s="445"/>
      <c r="WVN281" s="414"/>
      <c r="WVQ281" s="445"/>
      <c r="WVR281" s="414"/>
      <c r="WVU281" s="445"/>
      <c r="WVV281" s="414"/>
      <c r="WVY281" s="445"/>
      <c r="WVZ281" s="414"/>
      <c r="WWC281" s="445"/>
      <c r="WWD281" s="414"/>
      <c r="WWG281" s="445"/>
      <c r="WWH281" s="414"/>
      <c r="WWK281" s="445"/>
      <c r="WWL281" s="414"/>
      <c r="WWO281" s="445"/>
      <c r="WWP281" s="414"/>
      <c r="WWS281" s="445"/>
      <c r="WWT281" s="414"/>
      <c r="WWW281" s="445"/>
      <c r="WWX281" s="414"/>
      <c r="WXA281" s="445"/>
      <c r="WXB281" s="414"/>
      <c r="WXE281" s="445"/>
      <c r="WXF281" s="414"/>
      <c r="WXI281" s="445"/>
      <c r="WXJ281" s="414"/>
      <c r="WXM281" s="445"/>
      <c r="WXN281" s="414"/>
      <c r="WXQ281" s="445"/>
      <c r="WXR281" s="414"/>
      <c r="WXU281" s="445"/>
      <c r="WXV281" s="414"/>
      <c r="WXY281" s="445"/>
      <c r="WXZ281" s="414"/>
      <c r="WYC281" s="445"/>
      <c r="WYD281" s="414"/>
      <c r="WYG281" s="445"/>
      <c r="WYH281" s="414"/>
      <c r="WYK281" s="445"/>
      <c r="WYL281" s="414"/>
      <c r="WYO281" s="445"/>
      <c r="WYP281" s="414"/>
      <c r="WYS281" s="445"/>
      <c r="WYT281" s="414"/>
      <c r="WYW281" s="445"/>
      <c r="WYX281" s="414"/>
      <c r="WZA281" s="445"/>
      <c r="WZB281" s="414"/>
      <c r="WZE281" s="445"/>
      <c r="WZF281" s="414"/>
      <c r="WZI281" s="445"/>
      <c r="WZJ281" s="414"/>
      <c r="WZM281" s="445"/>
      <c r="WZN281" s="414"/>
      <c r="WZQ281" s="445"/>
      <c r="WZR281" s="414"/>
      <c r="WZU281" s="445"/>
      <c r="WZV281" s="414"/>
      <c r="WZY281" s="445"/>
      <c r="WZZ281" s="414"/>
      <c r="XAC281" s="445"/>
      <c r="XAD281" s="414"/>
      <c r="XAG281" s="445"/>
      <c r="XAH281" s="414"/>
      <c r="XAK281" s="445"/>
      <c r="XAL281" s="414"/>
      <c r="XAO281" s="445"/>
      <c r="XAP281" s="414"/>
      <c r="XAS281" s="445"/>
      <c r="XAT281" s="414"/>
      <c r="XAW281" s="445"/>
      <c r="XAX281" s="414"/>
      <c r="XBA281" s="445"/>
      <c r="XBB281" s="414"/>
      <c r="XBE281" s="445"/>
      <c r="XBF281" s="414"/>
      <c r="XBI281" s="445"/>
      <c r="XBJ281" s="414"/>
      <c r="XBM281" s="445"/>
      <c r="XBN281" s="414"/>
      <c r="XBQ281" s="445"/>
      <c r="XBR281" s="414"/>
      <c r="XBU281" s="445"/>
      <c r="XBV281" s="414"/>
      <c r="XBY281" s="445"/>
      <c r="XBZ281" s="414"/>
      <c r="XCC281" s="445"/>
      <c r="XCD281" s="414"/>
      <c r="XCG281" s="445"/>
      <c r="XCH281" s="414"/>
      <c r="XCK281" s="445"/>
      <c r="XCL281" s="414"/>
      <c r="XCO281" s="445"/>
      <c r="XCP281" s="414"/>
      <c r="XCS281" s="445"/>
      <c r="XCT281" s="414"/>
      <c r="XCW281" s="445"/>
      <c r="XCX281" s="414"/>
      <c r="XDA281" s="445"/>
      <c r="XDB281" s="414"/>
      <c r="XDE281" s="445"/>
      <c r="XDF281" s="414"/>
      <c r="XDI281" s="445"/>
      <c r="XDJ281" s="414"/>
      <c r="XDM281" s="445"/>
      <c r="XDN281" s="414"/>
      <c r="XDQ281" s="445"/>
      <c r="XDR281" s="414"/>
      <c r="XDU281" s="445"/>
      <c r="XDV281" s="414"/>
      <c r="XDY281" s="445"/>
      <c r="XDZ281" s="414"/>
      <c r="XEC281" s="445"/>
      <c r="XED281" s="414"/>
      <c r="XEG281" s="445"/>
      <c r="XEH281" s="414"/>
      <c r="XEK281" s="445"/>
      <c r="XEL281" s="414"/>
      <c r="XEO281" s="445"/>
      <c r="XEP281" s="414"/>
      <c r="XES281" s="445"/>
      <c r="XET281" s="414"/>
      <c r="XEW281" s="445"/>
      <c r="XEX281" s="414"/>
      <c r="XFA281" s="445"/>
    </row>
    <row r="282" spans="1:1022 1025:2046 2049:3070 3073:4094 4097:5118 5121:6142 6145:7166 7169:8190 8193:9214 9217:10238 10241:11262 11265:12286 12289:13310 13313:14334 14337:15358 15361:16381">
      <c r="B282" s="443">
        <v>92</v>
      </c>
      <c r="C282" s="447"/>
      <c r="D282" s="614" t="s">
        <v>2119</v>
      </c>
      <c r="E282" s="447" t="s">
        <v>1998</v>
      </c>
      <c r="F282" s="444" t="s">
        <v>133</v>
      </c>
      <c r="G282" s="416"/>
      <c r="H282" s="687"/>
      <c r="I282" s="444"/>
      <c r="AW282" s="445"/>
      <c r="AX282" s="414"/>
      <c r="BA282" s="445"/>
      <c r="BB282" s="414"/>
      <c r="BE282" s="445"/>
      <c r="BF282" s="414"/>
      <c r="BI282" s="445"/>
      <c r="BJ282" s="414"/>
      <c r="BM282" s="445"/>
      <c r="BN282" s="414"/>
      <c r="BQ282" s="445"/>
      <c r="BR282" s="414"/>
      <c r="BU282" s="445"/>
      <c r="BV282" s="414"/>
      <c r="BY282" s="445"/>
      <c r="BZ282" s="414"/>
      <c r="CC282" s="445"/>
      <c r="CD282" s="414"/>
      <c r="CG282" s="445"/>
      <c r="CH282" s="414"/>
      <c r="CK282" s="445"/>
      <c r="CL282" s="414"/>
      <c r="CO282" s="445"/>
      <c r="CP282" s="414"/>
      <c r="CS282" s="445"/>
      <c r="CT282" s="414"/>
      <c r="CW282" s="445"/>
      <c r="CX282" s="414"/>
      <c r="DA282" s="445"/>
      <c r="DB282" s="414"/>
      <c r="DE282" s="445"/>
      <c r="DF282" s="414"/>
      <c r="DI282" s="445"/>
      <c r="DJ282" s="414"/>
      <c r="DM282" s="445"/>
      <c r="DN282" s="414"/>
      <c r="DQ282" s="445"/>
      <c r="DR282" s="414"/>
      <c r="DU282" s="445"/>
      <c r="DV282" s="414"/>
      <c r="DY282" s="445"/>
      <c r="DZ282" s="414"/>
      <c r="EC282" s="445"/>
      <c r="ED282" s="414"/>
      <c r="EG282" s="445"/>
      <c r="EH282" s="414"/>
      <c r="EK282" s="445"/>
      <c r="EL282" s="414"/>
      <c r="EO282" s="445"/>
      <c r="EP282" s="414"/>
      <c r="ES282" s="445"/>
      <c r="ET282" s="414"/>
      <c r="EW282" s="445"/>
      <c r="EX282" s="414"/>
      <c r="FA282" s="445"/>
      <c r="FB282" s="414"/>
      <c r="FE282" s="445"/>
      <c r="FF282" s="414"/>
      <c r="FI282" s="445"/>
      <c r="FJ282" s="414"/>
      <c r="FM282" s="445"/>
      <c r="FN282" s="414"/>
      <c r="FQ282" s="445"/>
      <c r="FR282" s="414"/>
      <c r="FU282" s="445"/>
      <c r="FV282" s="414"/>
      <c r="FY282" s="445"/>
      <c r="FZ282" s="414"/>
      <c r="GC282" s="445"/>
      <c r="GD282" s="414"/>
      <c r="GG282" s="445"/>
      <c r="GH282" s="414"/>
      <c r="GK282" s="445"/>
      <c r="GL282" s="414"/>
      <c r="GO282" s="445"/>
      <c r="GP282" s="414"/>
      <c r="GS282" s="445"/>
      <c r="GT282" s="414"/>
      <c r="GW282" s="445"/>
      <c r="GX282" s="414"/>
      <c r="HA282" s="445"/>
      <c r="HB282" s="414"/>
      <c r="HE282" s="445"/>
      <c r="HF282" s="414"/>
      <c r="HI282" s="445"/>
      <c r="HJ282" s="414"/>
      <c r="HM282" s="445"/>
      <c r="HN282" s="414"/>
      <c r="HQ282" s="445"/>
      <c r="HR282" s="414"/>
      <c r="HU282" s="445"/>
      <c r="HV282" s="414"/>
      <c r="HY282" s="445"/>
      <c r="HZ282" s="414"/>
      <c r="IC282" s="445"/>
      <c r="ID282" s="414"/>
      <c r="IG282" s="445"/>
      <c r="IH282" s="414"/>
      <c r="IK282" s="445"/>
      <c r="IL282" s="414"/>
      <c r="IO282" s="445"/>
      <c r="IP282" s="414"/>
      <c r="IS282" s="445"/>
      <c r="IT282" s="414"/>
      <c r="IW282" s="445"/>
      <c r="IX282" s="414"/>
      <c r="JA282" s="445"/>
      <c r="JB282" s="414"/>
      <c r="JE282" s="445"/>
      <c r="JF282" s="414"/>
      <c r="JI282" s="445"/>
      <c r="JJ282" s="414"/>
      <c r="JM282" s="445"/>
      <c r="JN282" s="414"/>
      <c r="JQ282" s="445"/>
      <c r="JR282" s="414"/>
      <c r="JU282" s="445"/>
      <c r="JV282" s="414"/>
      <c r="JY282" s="445"/>
      <c r="JZ282" s="414"/>
      <c r="KC282" s="445"/>
      <c r="KD282" s="414"/>
      <c r="KG282" s="445"/>
      <c r="KH282" s="414"/>
      <c r="KK282" s="445"/>
      <c r="KL282" s="414"/>
      <c r="KO282" s="445"/>
      <c r="KP282" s="414"/>
      <c r="KS282" s="445"/>
      <c r="KT282" s="414"/>
      <c r="KW282" s="445"/>
      <c r="KX282" s="414"/>
      <c r="LA282" s="445"/>
      <c r="LB282" s="414"/>
      <c r="LE282" s="445"/>
      <c r="LF282" s="414"/>
      <c r="LI282" s="445"/>
      <c r="LJ282" s="414"/>
      <c r="LM282" s="445"/>
      <c r="LN282" s="414"/>
      <c r="LQ282" s="445"/>
      <c r="LR282" s="414"/>
      <c r="LU282" s="445"/>
      <c r="LV282" s="414"/>
      <c r="LY282" s="445"/>
      <c r="LZ282" s="414"/>
      <c r="MC282" s="445"/>
      <c r="MD282" s="414"/>
      <c r="MG282" s="445"/>
      <c r="MH282" s="414"/>
      <c r="MK282" s="445"/>
      <c r="ML282" s="414"/>
      <c r="MO282" s="445"/>
      <c r="MP282" s="414"/>
      <c r="MS282" s="445"/>
      <c r="MT282" s="414"/>
      <c r="MW282" s="445"/>
      <c r="MX282" s="414"/>
      <c r="NA282" s="445"/>
      <c r="NB282" s="414"/>
      <c r="NE282" s="445"/>
      <c r="NF282" s="414"/>
      <c r="NI282" s="445"/>
      <c r="NJ282" s="414"/>
      <c r="NM282" s="445"/>
      <c r="NN282" s="414"/>
      <c r="NQ282" s="445"/>
      <c r="NR282" s="414"/>
      <c r="NU282" s="445"/>
      <c r="NV282" s="414"/>
      <c r="NY282" s="445"/>
      <c r="NZ282" s="414"/>
      <c r="OC282" s="445"/>
      <c r="OD282" s="414"/>
      <c r="OG282" s="445"/>
      <c r="OH282" s="414"/>
      <c r="OK282" s="445"/>
      <c r="OL282" s="414"/>
      <c r="OO282" s="445"/>
      <c r="OP282" s="414"/>
      <c r="OS282" s="445"/>
      <c r="OT282" s="414"/>
      <c r="OW282" s="445"/>
      <c r="OX282" s="414"/>
      <c r="PA282" s="445"/>
      <c r="PB282" s="414"/>
      <c r="PE282" s="445"/>
      <c r="PF282" s="414"/>
      <c r="PI282" s="445"/>
      <c r="PJ282" s="414"/>
      <c r="PM282" s="445"/>
      <c r="PN282" s="414"/>
      <c r="PQ282" s="445"/>
      <c r="PR282" s="414"/>
      <c r="PU282" s="445"/>
      <c r="PV282" s="414"/>
      <c r="PY282" s="445"/>
      <c r="PZ282" s="414"/>
      <c r="QC282" s="445"/>
      <c r="QD282" s="414"/>
      <c r="QG282" s="445"/>
      <c r="QH282" s="414"/>
      <c r="QK282" s="445"/>
      <c r="QL282" s="414"/>
      <c r="QO282" s="445"/>
      <c r="QP282" s="414"/>
      <c r="QS282" s="445"/>
      <c r="QT282" s="414"/>
      <c r="QW282" s="445"/>
      <c r="QX282" s="414"/>
      <c r="RA282" s="445"/>
      <c r="RB282" s="414"/>
      <c r="RE282" s="445"/>
      <c r="RF282" s="414"/>
      <c r="RI282" s="445"/>
      <c r="RJ282" s="414"/>
      <c r="RM282" s="445"/>
      <c r="RN282" s="414"/>
      <c r="RQ282" s="445"/>
      <c r="RR282" s="414"/>
      <c r="RU282" s="445"/>
      <c r="RV282" s="414"/>
      <c r="RY282" s="445"/>
      <c r="RZ282" s="414"/>
      <c r="SC282" s="445"/>
      <c r="SD282" s="414"/>
      <c r="SG282" s="445"/>
      <c r="SH282" s="414"/>
      <c r="SK282" s="445"/>
      <c r="SL282" s="414"/>
      <c r="SO282" s="445"/>
      <c r="SP282" s="414"/>
      <c r="SS282" s="445"/>
      <c r="ST282" s="414"/>
      <c r="SW282" s="445"/>
      <c r="SX282" s="414"/>
      <c r="TA282" s="445"/>
      <c r="TB282" s="414"/>
      <c r="TE282" s="445"/>
      <c r="TF282" s="414"/>
      <c r="TI282" s="445"/>
      <c r="TJ282" s="414"/>
      <c r="TM282" s="445"/>
      <c r="TN282" s="414"/>
      <c r="TQ282" s="445"/>
      <c r="TR282" s="414"/>
      <c r="TU282" s="445"/>
      <c r="TV282" s="414"/>
      <c r="TY282" s="445"/>
      <c r="TZ282" s="414"/>
      <c r="UC282" s="445"/>
      <c r="UD282" s="414"/>
      <c r="UG282" s="445"/>
      <c r="UH282" s="414"/>
      <c r="UK282" s="445"/>
      <c r="UL282" s="414"/>
      <c r="UO282" s="445"/>
      <c r="UP282" s="414"/>
      <c r="US282" s="445"/>
      <c r="UT282" s="414"/>
      <c r="UW282" s="445"/>
      <c r="UX282" s="414"/>
      <c r="VA282" s="445"/>
      <c r="VB282" s="414"/>
      <c r="VE282" s="445"/>
      <c r="VF282" s="414"/>
      <c r="VI282" s="445"/>
      <c r="VJ282" s="414"/>
      <c r="VM282" s="445"/>
      <c r="VN282" s="414"/>
      <c r="VQ282" s="445"/>
      <c r="VR282" s="414"/>
      <c r="VU282" s="445"/>
      <c r="VV282" s="414"/>
      <c r="VY282" s="445"/>
      <c r="VZ282" s="414"/>
      <c r="WC282" s="445"/>
      <c r="WD282" s="414"/>
      <c r="WG282" s="445"/>
      <c r="WH282" s="414"/>
      <c r="WK282" s="445"/>
      <c r="WL282" s="414"/>
      <c r="WO282" s="445"/>
      <c r="WP282" s="414"/>
      <c r="WS282" s="445"/>
      <c r="WT282" s="414"/>
      <c r="WW282" s="445"/>
      <c r="WX282" s="414"/>
      <c r="XA282" s="445"/>
      <c r="XB282" s="414"/>
      <c r="XE282" s="445"/>
      <c r="XF282" s="414"/>
      <c r="XI282" s="445"/>
      <c r="XJ282" s="414"/>
      <c r="XM282" s="445"/>
      <c r="XN282" s="414"/>
      <c r="XQ282" s="445"/>
      <c r="XR282" s="414"/>
      <c r="XU282" s="445"/>
      <c r="XV282" s="414"/>
      <c r="XY282" s="445"/>
      <c r="XZ282" s="414"/>
      <c r="YC282" s="445"/>
      <c r="YD282" s="414"/>
      <c r="YG282" s="445"/>
      <c r="YH282" s="414"/>
      <c r="YK282" s="445"/>
      <c r="YL282" s="414"/>
      <c r="YO282" s="445"/>
      <c r="YP282" s="414"/>
      <c r="YS282" s="445"/>
      <c r="YT282" s="414"/>
      <c r="YW282" s="445"/>
      <c r="YX282" s="414"/>
      <c r="ZA282" s="445"/>
      <c r="ZB282" s="414"/>
      <c r="ZE282" s="445"/>
      <c r="ZF282" s="414"/>
      <c r="ZI282" s="445"/>
      <c r="ZJ282" s="414"/>
      <c r="ZM282" s="445"/>
      <c r="ZN282" s="414"/>
      <c r="ZQ282" s="445"/>
      <c r="ZR282" s="414"/>
      <c r="ZU282" s="445"/>
      <c r="ZV282" s="414"/>
      <c r="ZY282" s="445"/>
      <c r="ZZ282" s="414"/>
      <c r="AAC282" s="445"/>
      <c r="AAD282" s="414"/>
      <c r="AAG282" s="445"/>
      <c r="AAH282" s="414"/>
      <c r="AAK282" s="445"/>
      <c r="AAL282" s="414"/>
      <c r="AAO282" s="445"/>
      <c r="AAP282" s="414"/>
      <c r="AAS282" s="445"/>
      <c r="AAT282" s="414"/>
      <c r="AAW282" s="445"/>
      <c r="AAX282" s="414"/>
      <c r="ABA282" s="445"/>
      <c r="ABB282" s="414"/>
      <c r="ABE282" s="445"/>
      <c r="ABF282" s="414"/>
      <c r="ABI282" s="445"/>
      <c r="ABJ282" s="414"/>
      <c r="ABM282" s="445"/>
      <c r="ABN282" s="414"/>
      <c r="ABQ282" s="445"/>
      <c r="ABR282" s="414"/>
      <c r="ABU282" s="445"/>
      <c r="ABV282" s="414"/>
      <c r="ABY282" s="445"/>
      <c r="ABZ282" s="414"/>
      <c r="ACC282" s="445"/>
      <c r="ACD282" s="414"/>
      <c r="ACG282" s="445"/>
      <c r="ACH282" s="414"/>
      <c r="ACK282" s="445"/>
      <c r="ACL282" s="414"/>
      <c r="ACO282" s="445"/>
      <c r="ACP282" s="414"/>
      <c r="ACS282" s="445"/>
      <c r="ACT282" s="414"/>
      <c r="ACW282" s="445"/>
      <c r="ACX282" s="414"/>
      <c r="ADA282" s="445"/>
      <c r="ADB282" s="414"/>
      <c r="ADE282" s="445"/>
      <c r="ADF282" s="414"/>
      <c r="ADI282" s="445"/>
      <c r="ADJ282" s="414"/>
      <c r="ADM282" s="445"/>
      <c r="ADN282" s="414"/>
      <c r="ADQ282" s="445"/>
      <c r="ADR282" s="414"/>
      <c r="ADU282" s="445"/>
      <c r="ADV282" s="414"/>
      <c r="ADY282" s="445"/>
      <c r="ADZ282" s="414"/>
      <c r="AEC282" s="445"/>
      <c r="AED282" s="414"/>
      <c r="AEG282" s="445"/>
      <c r="AEH282" s="414"/>
      <c r="AEK282" s="445"/>
      <c r="AEL282" s="414"/>
      <c r="AEO282" s="445"/>
      <c r="AEP282" s="414"/>
      <c r="AES282" s="445"/>
      <c r="AET282" s="414"/>
      <c r="AEW282" s="445"/>
      <c r="AEX282" s="414"/>
      <c r="AFA282" s="445"/>
      <c r="AFB282" s="414"/>
      <c r="AFE282" s="445"/>
      <c r="AFF282" s="414"/>
      <c r="AFI282" s="445"/>
      <c r="AFJ282" s="414"/>
      <c r="AFM282" s="445"/>
      <c r="AFN282" s="414"/>
      <c r="AFQ282" s="445"/>
      <c r="AFR282" s="414"/>
      <c r="AFU282" s="445"/>
      <c r="AFV282" s="414"/>
      <c r="AFY282" s="445"/>
      <c r="AFZ282" s="414"/>
      <c r="AGC282" s="445"/>
      <c r="AGD282" s="414"/>
      <c r="AGG282" s="445"/>
      <c r="AGH282" s="414"/>
      <c r="AGK282" s="445"/>
      <c r="AGL282" s="414"/>
      <c r="AGO282" s="445"/>
      <c r="AGP282" s="414"/>
      <c r="AGS282" s="445"/>
      <c r="AGT282" s="414"/>
      <c r="AGW282" s="445"/>
      <c r="AGX282" s="414"/>
      <c r="AHA282" s="445"/>
      <c r="AHB282" s="414"/>
      <c r="AHE282" s="445"/>
      <c r="AHF282" s="414"/>
      <c r="AHI282" s="445"/>
      <c r="AHJ282" s="414"/>
      <c r="AHM282" s="445"/>
      <c r="AHN282" s="414"/>
      <c r="AHQ282" s="445"/>
      <c r="AHR282" s="414"/>
      <c r="AHU282" s="445"/>
      <c r="AHV282" s="414"/>
      <c r="AHY282" s="445"/>
      <c r="AHZ282" s="414"/>
      <c r="AIC282" s="445"/>
      <c r="AID282" s="414"/>
      <c r="AIG282" s="445"/>
      <c r="AIH282" s="414"/>
      <c r="AIK282" s="445"/>
      <c r="AIL282" s="414"/>
      <c r="AIO282" s="445"/>
      <c r="AIP282" s="414"/>
      <c r="AIS282" s="445"/>
      <c r="AIT282" s="414"/>
      <c r="AIW282" s="445"/>
      <c r="AIX282" s="414"/>
      <c r="AJA282" s="445"/>
      <c r="AJB282" s="414"/>
      <c r="AJE282" s="445"/>
      <c r="AJF282" s="414"/>
      <c r="AJI282" s="445"/>
      <c r="AJJ282" s="414"/>
      <c r="AJM282" s="445"/>
      <c r="AJN282" s="414"/>
      <c r="AJQ282" s="445"/>
      <c r="AJR282" s="414"/>
      <c r="AJU282" s="445"/>
      <c r="AJV282" s="414"/>
      <c r="AJY282" s="445"/>
      <c r="AJZ282" s="414"/>
      <c r="AKC282" s="445"/>
      <c r="AKD282" s="414"/>
      <c r="AKG282" s="445"/>
      <c r="AKH282" s="414"/>
      <c r="AKK282" s="445"/>
      <c r="AKL282" s="414"/>
      <c r="AKO282" s="445"/>
      <c r="AKP282" s="414"/>
      <c r="AKS282" s="445"/>
      <c r="AKT282" s="414"/>
      <c r="AKW282" s="445"/>
      <c r="AKX282" s="414"/>
      <c r="ALA282" s="445"/>
      <c r="ALB282" s="414"/>
      <c r="ALE282" s="445"/>
      <c r="ALF282" s="414"/>
      <c r="ALI282" s="445"/>
      <c r="ALJ282" s="414"/>
      <c r="ALM282" s="445"/>
      <c r="ALN282" s="414"/>
      <c r="ALQ282" s="445"/>
      <c r="ALR282" s="414"/>
      <c r="ALU282" s="445"/>
      <c r="ALV282" s="414"/>
      <c r="ALY282" s="445"/>
      <c r="ALZ282" s="414"/>
      <c r="AMC282" s="445"/>
      <c r="AMD282" s="414"/>
      <c r="AMG282" s="445"/>
      <c r="AMH282" s="414"/>
      <c r="AMK282" s="445"/>
      <c r="AML282" s="414"/>
      <c r="AMO282" s="445"/>
      <c r="AMP282" s="414"/>
      <c r="AMS282" s="445"/>
      <c r="AMT282" s="414"/>
      <c r="AMW282" s="445"/>
      <c r="AMX282" s="414"/>
      <c r="ANA282" s="445"/>
      <c r="ANB282" s="414"/>
      <c r="ANE282" s="445"/>
      <c r="ANF282" s="414"/>
      <c r="ANI282" s="445"/>
      <c r="ANJ282" s="414"/>
      <c r="ANM282" s="445"/>
      <c r="ANN282" s="414"/>
      <c r="ANQ282" s="445"/>
      <c r="ANR282" s="414"/>
      <c r="ANU282" s="445"/>
      <c r="ANV282" s="414"/>
      <c r="ANY282" s="445"/>
      <c r="ANZ282" s="414"/>
      <c r="AOC282" s="445"/>
      <c r="AOD282" s="414"/>
      <c r="AOG282" s="445"/>
      <c r="AOH282" s="414"/>
      <c r="AOK282" s="445"/>
      <c r="AOL282" s="414"/>
      <c r="AOO282" s="445"/>
      <c r="AOP282" s="414"/>
      <c r="AOS282" s="445"/>
      <c r="AOT282" s="414"/>
      <c r="AOW282" s="445"/>
      <c r="AOX282" s="414"/>
      <c r="APA282" s="445"/>
      <c r="APB282" s="414"/>
      <c r="APE282" s="445"/>
      <c r="APF282" s="414"/>
      <c r="API282" s="445"/>
      <c r="APJ282" s="414"/>
      <c r="APM282" s="445"/>
      <c r="APN282" s="414"/>
      <c r="APQ282" s="445"/>
      <c r="APR282" s="414"/>
      <c r="APU282" s="445"/>
      <c r="APV282" s="414"/>
      <c r="APY282" s="445"/>
      <c r="APZ282" s="414"/>
      <c r="AQC282" s="445"/>
      <c r="AQD282" s="414"/>
      <c r="AQG282" s="445"/>
      <c r="AQH282" s="414"/>
      <c r="AQK282" s="445"/>
      <c r="AQL282" s="414"/>
      <c r="AQO282" s="445"/>
      <c r="AQP282" s="414"/>
      <c r="AQS282" s="445"/>
      <c r="AQT282" s="414"/>
      <c r="AQW282" s="445"/>
      <c r="AQX282" s="414"/>
      <c r="ARA282" s="445"/>
      <c r="ARB282" s="414"/>
      <c r="ARE282" s="445"/>
      <c r="ARF282" s="414"/>
      <c r="ARI282" s="445"/>
      <c r="ARJ282" s="414"/>
      <c r="ARM282" s="445"/>
      <c r="ARN282" s="414"/>
      <c r="ARQ282" s="445"/>
      <c r="ARR282" s="414"/>
      <c r="ARU282" s="445"/>
      <c r="ARV282" s="414"/>
      <c r="ARY282" s="445"/>
      <c r="ARZ282" s="414"/>
      <c r="ASC282" s="445"/>
      <c r="ASD282" s="414"/>
      <c r="ASG282" s="445"/>
      <c r="ASH282" s="414"/>
      <c r="ASK282" s="445"/>
      <c r="ASL282" s="414"/>
      <c r="ASO282" s="445"/>
      <c r="ASP282" s="414"/>
      <c r="ASS282" s="445"/>
      <c r="AST282" s="414"/>
      <c r="ASW282" s="445"/>
      <c r="ASX282" s="414"/>
      <c r="ATA282" s="445"/>
      <c r="ATB282" s="414"/>
      <c r="ATE282" s="445"/>
      <c r="ATF282" s="414"/>
      <c r="ATI282" s="445"/>
      <c r="ATJ282" s="414"/>
      <c r="ATM282" s="445"/>
      <c r="ATN282" s="414"/>
      <c r="ATQ282" s="445"/>
      <c r="ATR282" s="414"/>
      <c r="ATU282" s="445"/>
      <c r="ATV282" s="414"/>
      <c r="ATY282" s="445"/>
      <c r="ATZ282" s="414"/>
      <c r="AUC282" s="445"/>
      <c r="AUD282" s="414"/>
      <c r="AUG282" s="445"/>
      <c r="AUH282" s="414"/>
      <c r="AUK282" s="445"/>
      <c r="AUL282" s="414"/>
      <c r="AUO282" s="445"/>
      <c r="AUP282" s="414"/>
      <c r="AUS282" s="445"/>
      <c r="AUT282" s="414"/>
      <c r="AUW282" s="445"/>
      <c r="AUX282" s="414"/>
      <c r="AVA282" s="445"/>
      <c r="AVB282" s="414"/>
      <c r="AVE282" s="445"/>
      <c r="AVF282" s="414"/>
      <c r="AVI282" s="445"/>
      <c r="AVJ282" s="414"/>
      <c r="AVM282" s="445"/>
      <c r="AVN282" s="414"/>
      <c r="AVQ282" s="445"/>
      <c r="AVR282" s="414"/>
      <c r="AVU282" s="445"/>
      <c r="AVV282" s="414"/>
      <c r="AVY282" s="445"/>
      <c r="AVZ282" s="414"/>
      <c r="AWC282" s="445"/>
      <c r="AWD282" s="414"/>
      <c r="AWG282" s="445"/>
      <c r="AWH282" s="414"/>
      <c r="AWK282" s="445"/>
      <c r="AWL282" s="414"/>
      <c r="AWO282" s="445"/>
      <c r="AWP282" s="414"/>
      <c r="AWS282" s="445"/>
      <c r="AWT282" s="414"/>
      <c r="AWW282" s="445"/>
      <c r="AWX282" s="414"/>
      <c r="AXA282" s="445"/>
      <c r="AXB282" s="414"/>
      <c r="AXE282" s="445"/>
      <c r="AXF282" s="414"/>
      <c r="AXI282" s="445"/>
      <c r="AXJ282" s="414"/>
      <c r="AXM282" s="445"/>
      <c r="AXN282" s="414"/>
      <c r="AXQ282" s="445"/>
      <c r="AXR282" s="414"/>
      <c r="AXU282" s="445"/>
      <c r="AXV282" s="414"/>
      <c r="AXY282" s="445"/>
      <c r="AXZ282" s="414"/>
      <c r="AYC282" s="445"/>
      <c r="AYD282" s="414"/>
      <c r="AYG282" s="445"/>
      <c r="AYH282" s="414"/>
      <c r="AYK282" s="445"/>
      <c r="AYL282" s="414"/>
      <c r="AYO282" s="445"/>
      <c r="AYP282" s="414"/>
      <c r="AYS282" s="445"/>
      <c r="AYT282" s="414"/>
      <c r="AYW282" s="445"/>
      <c r="AYX282" s="414"/>
      <c r="AZA282" s="445"/>
      <c r="AZB282" s="414"/>
      <c r="AZE282" s="445"/>
      <c r="AZF282" s="414"/>
      <c r="AZI282" s="445"/>
      <c r="AZJ282" s="414"/>
      <c r="AZM282" s="445"/>
      <c r="AZN282" s="414"/>
      <c r="AZQ282" s="445"/>
      <c r="AZR282" s="414"/>
      <c r="AZU282" s="445"/>
      <c r="AZV282" s="414"/>
      <c r="AZY282" s="445"/>
      <c r="AZZ282" s="414"/>
      <c r="BAC282" s="445"/>
      <c r="BAD282" s="414"/>
      <c r="BAG282" s="445"/>
      <c r="BAH282" s="414"/>
      <c r="BAK282" s="445"/>
      <c r="BAL282" s="414"/>
      <c r="BAO282" s="445"/>
      <c r="BAP282" s="414"/>
      <c r="BAS282" s="445"/>
      <c r="BAT282" s="414"/>
      <c r="BAW282" s="445"/>
      <c r="BAX282" s="414"/>
      <c r="BBA282" s="445"/>
      <c r="BBB282" s="414"/>
      <c r="BBE282" s="445"/>
      <c r="BBF282" s="414"/>
      <c r="BBI282" s="445"/>
      <c r="BBJ282" s="414"/>
      <c r="BBM282" s="445"/>
      <c r="BBN282" s="414"/>
      <c r="BBQ282" s="445"/>
      <c r="BBR282" s="414"/>
      <c r="BBU282" s="445"/>
      <c r="BBV282" s="414"/>
      <c r="BBY282" s="445"/>
      <c r="BBZ282" s="414"/>
      <c r="BCC282" s="445"/>
      <c r="BCD282" s="414"/>
      <c r="BCG282" s="445"/>
      <c r="BCH282" s="414"/>
      <c r="BCK282" s="445"/>
      <c r="BCL282" s="414"/>
      <c r="BCO282" s="445"/>
      <c r="BCP282" s="414"/>
      <c r="BCS282" s="445"/>
      <c r="BCT282" s="414"/>
      <c r="BCW282" s="445"/>
      <c r="BCX282" s="414"/>
      <c r="BDA282" s="445"/>
      <c r="BDB282" s="414"/>
      <c r="BDE282" s="445"/>
      <c r="BDF282" s="414"/>
      <c r="BDI282" s="445"/>
      <c r="BDJ282" s="414"/>
      <c r="BDM282" s="445"/>
      <c r="BDN282" s="414"/>
      <c r="BDQ282" s="445"/>
      <c r="BDR282" s="414"/>
      <c r="BDU282" s="445"/>
      <c r="BDV282" s="414"/>
      <c r="BDY282" s="445"/>
      <c r="BDZ282" s="414"/>
      <c r="BEC282" s="445"/>
      <c r="BED282" s="414"/>
      <c r="BEG282" s="445"/>
      <c r="BEH282" s="414"/>
      <c r="BEK282" s="445"/>
      <c r="BEL282" s="414"/>
      <c r="BEO282" s="445"/>
      <c r="BEP282" s="414"/>
      <c r="BES282" s="445"/>
      <c r="BET282" s="414"/>
      <c r="BEW282" s="445"/>
      <c r="BEX282" s="414"/>
      <c r="BFA282" s="445"/>
      <c r="BFB282" s="414"/>
      <c r="BFE282" s="445"/>
      <c r="BFF282" s="414"/>
      <c r="BFI282" s="445"/>
      <c r="BFJ282" s="414"/>
      <c r="BFM282" s="445"/>
      <c r="BFN282" s="414"/>
      <c r="BFQ282" s="445"/>
      <c r="BFR282" s="414"/>
      <c r="BFU282" s="445"/>
      <c r="BFV282" s="414"/>
      <c r="BFY282" s="445"/>
      <c r="BFZ282" s="414"/>
      <c r="BGC282" s="445"/>
      <c r="BGD282" s="414"/>
      <c r="BGG282" s="445"/>
      <c r="BGH282" s="414"/>
      <c r="BGK282" s="445"/>
      <c r="BGL282" s="414"/>
      <c r="BGO282" s="445"/>
      <c r="BGP282" s="414"/>
      <c r="BGS282" s="445"/>
      <c r="BGT282" s="414"/>
      <c r="BGW282" s="445"/>
      <c r="BGX282" s="414"/>
      <c r="BHA282" s="445"/>
      <c r="BHB282" s="414"/>
      <c r="BHE282" s="445"/>
      <c r="BHF282" s="414"/>
      <c r="BHI282" s="445"/>
      <c r="BHJ282" s="414"/>
      <c r="BHM282" s="445"/>
      <c r="BHN282" s="414"/>
      <c r="BHQ282" s="445"/>
      <c r="BHR282" s="414"/>
      <c r="BHU282" s="445"/>
      <c r="BHV282" s="414"/>
      <c r="BHY282" s="445"/>
      <c r="BHZ282" s="414"/>
      <c r="BIC282" s="445"/>
      <c r="BID282" s="414"/>
      <c r="BIG282" s="445"/>
      <c r="BIH282" s="414"/>
      <c r="BIK282" s="445"/>
      <c r="BIL282" s="414"/>
      <c r="BIO282" s="445"/>
      <c r="BIP282" s="414"/>
      <c r="BIS282" s="445"/>
      <c r="BIT282" s="414"/>
      <c r="BIW282" s="445"/>
      <c r="BIX282" s="414"/>
      <c r="BJA282" s="445"/>
      <c r="BJB282" s="414"/>
      <c r="BJE282" s="445"/>
      <c r="BJF282" s="414"/>
      <c r="BJI282" s="445"/>
      <c r="BJJ282" s="414"/>
      <c r="BJM282" s="445"/>
      <c r="BJN282" s="414"/>
      <c r="BJQ282" s="445"/>
      <c r="BJR282" s="414"/>
      <c r="BJU282" s="445"/>
      <c r="BJV282" s="414"/>
      <c r="BJY282" s="445"/>
      <c r="BJZ282" s="414"/>
      <c r="BKC282" s="445"/>
      <c r="BKD282" s="414"/>
      <c r="BKG282" s="445"/>
      <c r="BKH282" s="414"/>
      <c r="BKK282" s="445"/>
      <c r="BKL282" s="414"/>
      <c r="BKO282" s="445"/>
      <c r="BKP282" s="414"/>
      <c r="BKS282" s="445"/>
      <c r="BKT282" s="414"/>
      <c r="BKW282" s="445"/>
      <c r="BKX282" s="414"/>
      <c r="BLA282" s="445"/>
      <c r="BLB282" s="414"/>
      <c r="BLE282" s="445"/>
      <c r="BLF282" s="414"/>
      <c r="BLI282" s="445"/>
      <c r="BLJ282" s="414"/>
      <c r="BLM282" s="445"/>
      <c r="BLN282" s="414"/>
      <c r="BLQ282" s="445"/>
      <c r="BLR282" s="414"/>
      <c r="BLU282" s="445"/>
      <c r="BLV282" s="414"/>
      <c r="BLY282" s="445"/>
      <c r="BLZ282" s="414"/>
      <c r="BMC282" s="445"/>
      <c r="BMD282" s="414"/>
      <c r="BMG282" s="445"/>
      <c r="BMH282" s="414"/>
      <c r="BMK282" s="445"/>
      <c r="BML282" s="414"/>
      <c r="BMO282" s="445"/>
      <c r="BMP282" s="414"/>
      <c r="BMS282" s="445"/>
      <c r="BMT282" s="414"/>
      <c r="BMW282" s="445"/>
      <c r="BMX282" s="414"/>
      <c r="BNA282" s="445"/>
      <c r="BNB282" s="414"/>
      <c r="BNE282" s="445"/>
      <c r="BNF282" s="414"/>
      <c r="BNI282" s="445"/>
      <c r="BNJ282" s="414"/>
      <c r="BNM282" s="445"/>
      <c r="BNN282" s="414"/>
      <c r="BNQ282" s="445"/>
      <c r="BNR282" s="414"/>
      <c r="BNU282" s="445"/>
      <c r="BNV282" s="414"/>
      <c r="BNY282" s="445"/>
      <c r="BNZ282" s="414"/>
      <c r="BOC282" s="445"/>
      <c r="BOD282" s="414"/>
      <c r="BOG282" s="445"/>
      <c r="BOH282" s="414"/>
      <c r="BOK282" s="445"/>
      <c r="BOL282" s="414"/>
      <c r="BOO282" s="445"/>
      <c r="BOP282" s="414"/>
      <c r="BOS282" s="445"/>
      <c r="BOT282" s="414"/>
      <c r="BOW282" s="445"/>
      <c r="BOX282" s="414"/>
      <c r="BPA282" s="445"/>
      <c r="BPB282" s="414"/>
      <c r="BPE282" s="445"/>
      <c r="BPF282" s="414"/>
      <c r="BPI282" s="445"/>
      <c r="BPJ282" s="414"/>
      <c r="BPM282" s="445"/>
      <c r="BPN282" s="414"/>
      <c r="BPQ282" s="445"/>
      <c r="BPR282" s="414"/>
      <c r="BPU282" s="445"/>
      <c r="BPV282" s="414"/>
      <c r="BPY282" s="445"/>
      <c r="BPZ282" s="414"/>
      <c r="BQC282" s="445"/>
      <c r="BQD282" s="414"/>
      <c r="BQG282" s="445"/>
      <c r="BQH282" s="414"/>
      <c r="BQK282" s="445"/>
      <c r="BQL282" s="414"/>
      <c r="BQO282" s="445"/>
      <c r="BQP282" s="414"/>
      <c r="BQS282" s="445"/>
      <c r="BQT282" s="414"/>
      <c r="BQW282" s="445"/>
      <c r="BQX282" s="414"/>
      <c r="BRA282" s="445"/>
      <c r="BRB282" s="414"/>
      <c r="BRE282" s="445"/>
      <c r="BRF282" s="414"/>
      <c r="BRI282" s="445"/>
      <c r="BRJ282" s="414"/>
      <c r="BRM282" s="445"/>
      <c r="BRN282" s="414"/>
      <c r="BRQ282" s="445"/>
      <c r="BRR282" s="414"/>
      <c r="BRU282" s="445"/>
      <c r="BRV282" s="414"/>
      <c r="BRY282" s="445"/>
      <c r="BRZ282" s="414"/>
      <c r="BSC282" s="445"/>
      <c r="BSD282" s="414"/>
      <c r="BSG282" s="445"/>
      <c r="BSH282" s="414"/>
      <c r="BSK282" s="445"/>
      <c r="BSL282" s="414"/>
      <c r="BSO282" s="445"/>
      <c r="BSP282" s="414"/>
      <c r="BSS282" s="445"/>
      <c r="BST282" s="414"/>
      <c r="BSW282" s="445"/>
      <c r="BSX282" s="414"/>
      <c r="BTA282" s="445"/>
      <c r="BTB282" s="414"/>
      <c r="BTE282" s="445"/>
      <c r="BTF282" s="414"/>
      <c r="BTI282" s="445"/>
      <c r="BTJ282" s="414"/>
      <c r="BTM282" s="445"/>
      <c r="BTN282" s="414"/>
      <c r="BTQ282" s="445"/>
      <c r="BTR282" s="414"/>
      <c r="BTU282" s="445"/>
      <c r="BTV282" s="414"/>
      <c r="BTY282" s="445"/>
      <c r="BTZ282" s="414"/>
      <c r="BUC282" s="445"/>
      <c r="BUD282" s="414"/>
      <c r="BUG282" s="445"/>
      <c r="BUH282" s="414"/>
      <c r="BUK282" s="445"/>
      <c r="BUL282" s="414"/>
      <c r="BUO282" s="445"/>
      <c r="BUP282" s="414"/>
      <c r="BUS282" s="445"/>
      <c r="BUT282" s="414"/>
      <c r="BUW282" s="445"/>
      <c r="BUX282" s="414"/>
      <c r="BVA282" s="445"/>
      <c r="BVB282" s="414"/>
      <c r="BVE282" s="445"/>
      <c r="BVF282" s="414"/>
      <c r="BVI282" s="445"/>
      <c r="BVJ282" s="414"/>
      <c r="BVM282" s="445"/>
      <c r="BVN282" s="414"/>
      <c r="BVQ282" s="445"/>
      <c r="BVR282" s="414"/>
      <c r="BVU282" s="445"/>
      <c r="BVV282" s="414"/>
      <c r="BVY282" s="445"/>
      <c r="BVZ282" s="414"/>
      <c r="BWC282" s="445"/>
      <c r="BWD282" s="414"/>
      <c r="BWG282" s="445"/>
      <c r="BWH282" s="414"/>
      <c r="BWK282" s="445"/>
      <c r="BWL282" s="414"/>
      <c r="BWO282" s="445"/>
      <c r="BWP282" s="414"/>
      <c r="BWS282" s="445"/>
      <c r="BWT282" s="414"/>
      <c r="BWW282" s="445"/>
      <c r="BWX282" s="414"/>
      <c r="BXA282" s="445"/>
      <c r="BXB282" s="414"/>
      <c r="BXE282" s="445"/>
      <c r="BXF282" s="414"/>
      <c r="BXI282" s="445"/>
      <c r="BXJ282" s="414"/>
      <c r="BXM282" s="445"/>
      <c r="BXN282" s="414"/>
      <c r="BXQ282" s="445"/>
      <c r="BXR282" s="414"/>
      <c r="BXU282" s="445"/>
      <c r="BXV282" s="414"/>
      <c r="BXY282" s="445"/>
      <c r="BXZ282" s="414"/>
      <c r="BYC282" s="445"/>
      <c r="BYD282" s="414"/>
      <c r="BYG282" s="445"/>
      <c r="BYH282" s="414"/>
      <c r="BYK282" s="445"/>
      <c r="BYL282" s="414"/>
      <c r="BYO282" s="445"/>
      <c r="BYP282" s="414"/>
      <c r="BYS282" s="445"/>
      <c r="BYT282" s="414"/>
      <c r="BYW282" s="445"/>
      <c r="BYX282" s="414"/>
      <c r="BZA282" s="445"/>
      <c r="BZB282" s="414"/>
      <c r="BZE282" s="445"/>
      <c r="BZF282" s="414"/>
      <c r="BZI282" s="445"/>
      <c r="BZJ282" s="414"/>
      <c r="BZM282" s="445"/>
      <c r="BZN282" s="414"/>
      <c r="BZQ282" s="445"/>
      <c r="BZR282" s="414"/>
      <c r="BZU282" s="445"/>
      <c r="BZV282" s="414"/>
      <c r="BZY282" s="445"/>
      <c r="BZZ282" s="414"/>
      <c r="CAC282" s="445"/>
      <c r="CAD282" s="414"/>
      <c r="CAG282" s="445"/>
      <c r="CAH282" s="414"/>
      <c r="CAK282" s="445"/>
      <c r="CAL282" s="414"/>
      <c r="CAO282" s="445"/>
      <c r="CAP282" s="414"/>
      <c r="CAS282" s="445"/>
      <c r="CAT282" s="414"/>
      <c r="CAW282" s="445"/>
      <c r="CAX282" s="414"/>
      <c r="CBA282" s="445"/>
      <c r="CBB282" s="414"/>
      <c r="CBE282" s="445"/>
      <c r="CBF282" s="414"/>
      <c r="CBI282" s="445"/>
      <c r="CBJ282" s="414"/>
      <c r="CBM282" s="445"/>
      <c r="CBN282" s="414"/>
      <c r="CBQ282" s="445"/>
      <c r="CBR282" s="414"/>
      <c r="CBU282" s="445"/>
      <c r="CBV282" s="414"/>
      <c r="CBY282" s="445"/>
      <c r="CBZ282" s="414"/>
      <c r="CCC282" s="445"/>
      <c r="CCD282" s="414"/>
      <c r="CCG282" s="445"/>
      <c r="CCH282" s="414"/>
      <c r="CCK282" s="445"/>
      <c r="CCL282" s="414"/>
      <c r="CCO282" s="445"/>
      <c r="CCP282" s="414"/>
      <c r="CCS282" s="445"/>
      <c r="CCT282" s="414"/>
      <c r="CCW282" s="445"/>
      <c r="CCX282" s="414"/>
      <c r="CDA282" s="445"/>
      <c r="CDB282" s="414"/>
      <c r="CDE282" s="445"/>
      <c r="CDF282" s="414"/>
      <c r="CDI282" s="445"/>
      <c r="CDJ282" s="414"/>
      <c r="CDM282" s="445"/>
      <c r="CDN282" s="414"/>
      <c r="CDQ282" s="445"/>
      <c r="CDR282" s="414"/>
      <c r="CDU282" s="445"/>
      <c r="CDV282" s="414"/>
      <c r="CDY282" s="445"/>
      <c r="CDZ282" s="414"/>
      <c r="CEC282" s="445"/>
      <c r="CED282" s="414"/>
      <c r="CEG282" s="445"/>
      <c r="CEH282" s="414"/>
      <c r="CEK282" s="445"/>
      <c r="CEL282" s="414"/>
      <c r="CEO282" s="445"/>
      <c r="CEP282" s="414"/>
      <c r="CES282" s="445"/>
      <c r="CET282" s="414"/>
      <c r="CEW282" s="445"/>
      <c r="CEX282" s="414"/>
      <c r="CFA282" s="445"/>
      <c r="CFB282" s="414"/>
      <c r="CFE282" s="445"/>
      <c r="CFF282" s="414"/>
      <c r="CFI282" s="445"/>
      <c r="CFJ282" s="414"/>
      <c r="CFM282" s="445"/>
      <c r="CFN282" s="414"/>
      <c r="CFQ282" s="445"/>
      <c r="CFR282" s="414"/>
      <c r="CFU282" s="445"/>
      <c r="CFV282" s="414"/>
      <c r="CFY282" s="445"/>
      <c r="CFZ282" s="414"/>
      <c r="CGC282" s="445"/>
      <c r="CGD282" s="414"/>
      <c r="CGG282" s="445"/>
      <c r="CGH282" s="414"/>
      <c r="CGK282" s="445"/>
      <c r="CGL282" s="414"/>
      <c r="CGO282" s="445"/>
      <c r="CGP282" s="414"/>
      <c r="CGS282" s="445"/>
      <c r="CGT282" s="414"/>
      <c r="CGW282" s="445"/>
      <c r="CGX282" s="414"/>
      <c r="CHA282" s="445"/>
      <c r="CHB282" s="414"/>
      <c r="CHE282" s="445"/>
      <c r="CHF282" s="414"/>
      <c r="CHI282" s="445"/>
      <c r="CHJ282" s="414"/>
      <c r="CHM282" s="445"/>
      <c r="CHN282" s="414"/>
      <c r="CHQ282" s="445"/>
      <c r="CHR282" s="414"/>
      <c r="CHU282" s="445"/>
      <c r="CHV282" s="414"/>
      <c r="CHY282" s="445"/>
      <c r="CHZ282" s="414"/>
      <c r="CIC282" s="445"/>
      <c r="CID282" s="414"/>
      <c r="CIG282" s="445"/>
      <c r="CIH282" s="414"/>
      <c r="CIK282" s="445"/>
      <c r="CIL282" s="414"/>
      <c r="CIO282" s="445"/>
      <c r="CIP282" s="414"/>
      <c r="CIS282" s="445"/>
      <c r="CIT282" s="414"/>
      <c r="CIW282" s="445"/>
      <c r="CIX282" s="414"/>
      <c r="CJA282" s="445"/>
      <c r="CJB282" s="414"/>
      <c r="CJE282" s="445"/>
      <c r="CJF282" s="414"/>
      <c r="CJI282" s="445"/>
      <c r="CJJ282" s="414"/>
      <c r="CJM282" s="445"/>
      <c r="CJN282" s="414"/>
      <c r="CJQ282" s="445"/>
      <c r="CJR282" s="414"/>
      <c r="CJU282" s="445"/>
      <c r="CJV282" s="414"/>
      <c r="CJY282" s="445"/>
      <c r="CJZ282" s="414"/>
      <c r="CKC282" s="445"/>
      <c r="CKD282" s="414"/>
      <c r="CKG282" s="445"/>
      <c r="CKH282" s="414"/>
      <c r="CKK282" s="445"/>
      <c r="CKL282" s="414"/>
      <c r="CKO282" s="445"/>
      <c r="CKP282" s="414"/>
      <c r="CKS282" s="445"/>
      <c r="CKT282" s="414"/>
      <c r="CKW282" s="445"/>
      <c r="CKX282" s="414"/>
      <c r="CLA282" s="445"/>
      <c r="CLB282" s="414"/>
      <c r="CLE282" s="445"/>
      <c r="CLF282" s="414"/>
      <c r="CLI282" s="445"/>
      <c r="CLJ282" s="414"/>
      <c r="CLM282" s="445"/>
      <c r="CLN282" s="414"/>
      <c r="CLQ282" s="445"/>
      <c r="CLR282" s="414"/>
      <c r="CLU282" s="445"/>
      <c r="CLV282" s="414"/>
      <c r="CLY282" s="445"/>
      <c r="CLZ282" s="414"/>
      <c r="CMC282" s="445"/>
      <c r="CMD282" s="414"/>
      <c r="CMG282" s="445"/>
      <c r="CMH282" s="414"/>
      <c r="CMK282" s="445"/>
      <c r="CML282" s="414"/>
      <c r="CMO282" s="445"/>
      <c r="CMP282" s="414"/>
      <c r="CMS282" s="445"/>
      <c r="CMT282" s="414"/>
      <c r="CMW282" s="445"/>
      <c r="CMX282" s="414"/>
      <c r="CNA282" s="445"/>
      <c r="CNB282" s="414"/>
      <c r="CNE282" s="445"/>
      <c r="CNF282" s="414"/>
      <c r="CNI282" s="445"/>
      <c r="CNJ282" s="414"/>
      <c r="CNM282" s="445"/>
      <c r="CNN282" s="414"/>
      <c r="CNQ282" s="445"/>
      <c r="CNR282" s="414"/>
      <c r="CNU282" s="445"/>
      <c r="CNV282" s="414"/>
      <c r="CNY282" s="445"/>
      <c r="CNZ282" s="414"/>
      <c r="COC282" s="445"/>
      <c r="COD282" s="414"/>
      <c r="COG282" s="445"/>
      <c r="COH282" s="414"/>
      <c r="COK282" s="445"/>
      <c r="COL282" s="414"/>
      <c r="COO282" s="445"/>
      <c r="COP282" s="414"/>
      <c r="COS282" s="445"/>
      <c r="COT282" s="414"/>
      <c r="COW282" s="445"/>
      <c r="COX282" s="414"/>
      <c r="CPA282" s="445"/>
      <c r="CPB282" s="414"/>
      <c r="CPE282" s="445"/>
      <c r="CPF282" s="414"/>
      <c r="CPI282" s="445"/>
      <c r="CPJ282" s="414"/>
      <c r="CPM282" s="445"/>
      <c r="CPN282" s="414"/>
      <c r="CPQ282" s="445"/>
      <c r="CPR282" s="414"/>
      <c r="CPU282" s="445"/>
      <c r="CPV282" s="414"/>
      <c r="CPY282" s="445"/>
      <c r="CPZ282" s="414"/>
      <c r="CQC282" s="445"/>
      <c r="CQD282" s="414"/>
      <c r="CQG282" s="445"/>
      <c r="CQH282" s="414"/>
      <c r="CQK282" s="445"/>
      <c r="CQL282" s="414"/>
      <c r="CQO282" s="445"/>
      <c r="CQP282" s="414"/>
      <c r="CQS282" s="445"/>
      <c r="CQT282" s="414"/>
      <c r="CQW282" s="445"/>
      <c r="CQX282" s="414"/>
      <c r="CRA282" s="445"/>
      <c r="CRB282" s="414"/>
      <c r="CRE282" s="445"/>
      <c r="CRF282" s="414"/>
      <c r="CRI282" s="445"/>
      <c r="CRJ282" s="414"/>
      <c r="CRM282" s="445"/>
      <c r="CRN282" s="414"/>
      <c r="CRQ282" s="445"/>
      <c r="CRR282" s="414"/>
      <c r="CRU282" s="445"/>
      <c r="CRV282" s="414"/>
      <c r="CRY282" s="445"/>
      <c r="CRZ282" s="414"/>
      <c r="CSC282" s="445"/>
      <c r="CSD282" s="414"/>
      <c r="CSG282" s="445"/>
      <c r="CSH282" s="414"/>
      <c r="CSK282" s="445"/>
      <c r="CSL282" s="414"/>
      <c r="CSO282" s="445"/>
      <c r="CSP282" s="414"/>
      <c r="CSS282" s="445"/>
      <c r="CST282" s="414"/>
      <c r="CSW282" s="445"/>
      <c r="CSX282" s="414"/>
      <c r="CTA282" s="445"/>
      <c r="CTB282" s="414"/>
      <c r="CTE282" s="445"/>
      <c r="CTF282" s="414"/>
      <c r="CTI282" s="445"/>
      <c r="CTJ282" s="414"/>
      <c r="CTM282" s="445"/>
      <c r="CTN282" s="414"/>
      <c r="CTQ282" s="445"/>
      <c r="CTR282" s="414"/>
      <c r="CTU282" s="445"/>
      <c r="CTV282" s="414"/>
      <c r="CTY282" s="445"/>
      <c r="CTZ282" s="414"/>
      <c r="CUC282" s="445"/>
      <c r="CUD282" s="414"/>
      <c r="CUG282" s="445"/>
      <c r="CUH282" s="414"/>
      <c r="CUK282" s="445"/>
      <c r="CUL282" s="414"/>
      <c r="CUO282" s="445"/>
      <c r="CUP282" s="414"/>
      <c r="CUS282" s="445"/>
      <c r="CUT282" s="414"/>
      <c r="CUW282" s="445"/>
      <c r="CUX282" s="414"/>
      <c r="CVA282" s="445"/>
      <c r="CVB282" s="414"/>
      <c r="CVE282" s="445"/>
      <c r="CVF282" s="414"/>
      <c r="CVI282" s="445"/>
      <c r="CVJ282" s="414"/>
      <c r="CVM282" s="445"/>
      <c r="CVN282" s="414"/>
      <c r="CVQ282" s="445"/>
      <c r="CVR282" s="414"/>
      <c r="CVU282" s="445"/>
      <c r="CVV282" s="414"/>
      <c r="CVY282" s="445"/>
      <c r="CVZ282" s="414"/>
      <c r="CWC282" s="445"/>
      <c r="CWD282" s="414"/>
      <c r="CWG282" s="445"/>
      <c r="CWH282" s="414"/>
      <c r="CWK282" s="445"/>
      <c r="CWL282" s="414"/>
      <c r="CWO282" s="445"/>
      <c r="CWP282" s="414"/>
      <c r="CWS282" s="445"/>
      <c r="CWT282" s="414"/>
      <c r="CWW282" s="445"/>
      <c r="CWX282" s="414"/>
      <c r="CXA282" s="445"/>
      <c r="CXB282" s="414"/>
      <c r="CXE282" s="445"/>
      <c r="CXF282" s="414"/>
      <c r="CXI282" s="445"/>
      <c r="CXJ282" s="414"/>
      <c r="CXM282" s="445"/>
      <c r="CXN282" s="414"/>
      <c r="CXQ282" s="445"/>
      <c r="CXR282" s="414"/>
      <c r="CXU282" s="445"/>
      <c r="CXV282" s="414"/>
      <c r="CXY282" s="445"/>
      <c r="CXZ282" s="414"/>
      <c r="CYC282" s="445"/>
      <c r="CYD282" s="414"/>
      <c r="CYG282" s="445"/>
      <c r="CYH282" s="414"/>
      <c r="CYK282" s="445"/>
      <c r="CYL282" s="414"/>
      <c r="CYO282" s="445"/>
      <c r="CYP282" s="414"/>
      <c r="CYS282" s="445"/>
      <c r="CYT282" s="414"/>
      <c r="CYW282" s="445"/>
      <c r="CYX282" s="414"/>
      <c r="CZA282" s="445"/>
      <c r="CZB282" s="414"/>
      <c r="CZE282" s="445"/>
      <c r="CZF282" s="414"/>
      <c r="CZI282" s="445"/>
      <c r="CZJ282" s="414"/>
      <c r="CZM282" s="445"/>
      <c r="CZN282" s="414"/>
      <c r="CZQ282" s="445"/>
      <c r="CZR282" s="414"/>
      <c r="CZU282" s="445"/>
      <c r="CZV282" s="414"/>
      <c r="CZY282" s="445"/>
      <c r="CZZ282" s="414"/>
      <c r="DAC282" s="445"/>
      <c r="DAD282" s="414"/>
      <c r="DAG282" s="445"/>
      <c r="DAH282" s="414"/>
      <c r="DAK282" s="445"/>
      <c r="DAL282" s="414"/>
      <c r="DAO282" s="445"/>
      <c r="DAP282" s="414"/>
      <c r="DAS282" s="445"/>
      <c r="DAT282" s="414"/>
      <c r="DAW282" s="445"/>
      <c r="DAX282" s="414"/>
      <c r="DBA282" s="445"/>
      <c r="DBB282" s="414"/>
      <c r="DBE282" s="445"/>
      <c r="DBF282" s="414"/>
      <c r="DBI282" s="445"/>
      <c r="DBJ282" s="414"/>
      <c r="DBM282" s="445"/>
      <c r="DBN282" s="414"/>
      <c r="DBQ282" s="445"/>
      <c r="DBR282" s="414"/>
      <c r="DBU282" s="445"/>
      <c r="DBV282" s="414"/>
      <c r="DBY282" s="445"/>
      <c r="DBZ282" s="414"/>
      <c r="DCC282" s="445"/>
      <c r="DCD282" s="414"/>
      <c r="DCG282" s="445"/>
      <c r="DCH282" s="414"/>
      <c r="DCK282" s="445"/>
      <c r="DCL282" s="414"/>
      <c r="DCO282" s="445"/>
      <c r="DCP282" s="414"/>
      <c r="DCS282" s="445"/>
      <c r="DCT282" s="414"/>
      <c r="DCW282" s="445"/>
      <c r="DCX282" s="414"/>
      <c r="DDA282" s="445"/>
      <c r="DDB282" s="414"/>
      <c r="DDE282" s="445"/>
      <c r="DDF282" s="414"/>
      <c r="DDI282" s="445"/>
      <c r="DDJ282" s="414"/>
      <c r="DDM282" s="445"/>
      <c r="DDN282" s="414"/>
      <c r="DDQ282" s="445"/>
      <c r="DDR282" s="414"/>
      <c r="DDU282" s="445"/>
      <c r="DDV282" s="414"/>
      <c r="DDY282" s="445"/>
      <c r="DDZ282" s="414"/>
      <c r="DEC282" s="445"/>
      <c r="DED282" s="414"/>
      <c r="DEG282" s="445"/>
      <c r="DEH282" s="414"/>
      <c r="DEK282" s="445"/>
      <c r="DEL282" s="414"/>
      <c r="DEO282" s="445"/>
      <c r="DEP282" s="414"/>
      <c r="DES282" s="445"/>
      <c r="DET282" s="414"/>
      <c r="DEW282" s="445"/>
      <c r="DEX282" s="414"/>
      <c r="DFA282" s="445"/>
      <c r="DFB282" s="414"/>
      <c r="DFE282" s="445"/>
      <c r="DFF282" s="414"/>
      <c r="DFI282" s="445"/>
      <c r="DFJ282" s="414"/>
      <c r="DFM282" s="445"/>
      <c r="DFN282" s="414"/>
      <c r="DFQ282" s="445"/>
      <c r="DFR282" s="414"/>
      <c r="DFU282" s="445"/>
      <c r="DFV282" s="414"/>
      <c r="DFY282" s="445"/>
      <c r="DFZ282" s="414"/>
      <c r="DGC282" s="445"/>
      <c r="DGD282" s="414"/>
      <c r="DGG282" s="445"/>
      <c r="DGH282" s="414"/>
      <c r="DGK282" s="445"/>
      <c r="DGL282" s="414"/>
      <c r="DGO282" s="445"/>
      <c r="DGP282" s="414"/>
      <c r="DGS282" s="445"/>
      <c r="DGT282" s="414"/>
      <c r="DGW282" s="445"/>
      <c r="DGX282" s="414"/>
      <c r="DHA282" s="445"/>
      <c r="DHB282" s="414"/>
      <c r="DHE282" s="445"/>
      <c r="DHF282" s="414"/>
      <c r="DHI282" s="445"/>
      <c r="DHJ282" s="414"/>
      <c r="DHM282" s="445"/>
      <c r="DHN282" s="414"/>
      <c r="DHQ282" s="445"/>
      <c r="DHR282" s="414"/>
      <c r="DHU282" s="445"/>
      <c r="DHV282" s="414"/>
      <c r="DHY282" s="445"/>
      <c r="DHZ282" s="414"/>
      <c r="DIC282" s="445"/>
      <c r="DID282" s="414"/>
      <c r="DIG282" s="445"/>
      <c r="DIH282" s="414"/>
      <c r="DIK282" s="445"/>
      <c r="DIL282" s="414"/>
      <c r="DIO282" s="445"/>
      <c r="DIP282" s="414"/>
      <c r="DIS282" s="445"/>
      <c r="DIT282" s="414"/>
      <c r="DIW282" s="445"/>
      <c r="DIX282" s="414"/>
      <c r="DJA282" s="445"/>
      <c r="DJB282" s="414"/>
      <c r="DJE282" s="445"/>
      <c r="DJF282" s="414"/>
      <c r="DJI282" s="445"/>
      <c r="DJJ282" s="414"/>
      <c r="DJM282" s="445"/>
      <c r="DJN282" s="414"/>
      <c r="DJQ282" s="445"/>
      <c r="DJR282" s="414"/>
      <c r="DJU282" s="445"/>
      <c r="DJV282" s="414"/>
      <c r="DJY282" s="445"/>
      <c r="DJZ282" s="414"/>
      <c r="DKC282" s="445"/>
      <c r="DKD282" s="414"/>
      <c r="DKG282" s="445"/>
      <c r="DKH282" s="414"/>
      <c r="DKK282" s="445"/>
      <c r="DKL282" s="414"/>
      <c r="DKO282" s="445"/>
      <c r="DKP282" s="414"/>
      <c r="DKS282" s="445"/>
      <c r="DKT282" s="414"/>
      <c r="DKW282" s="445"/>
      <c r="DKX282" s="414"/>
      <c r="DLA282" s="445"/>
      <c r="DLB282" s="414"/>
      <c r="DLE282" s="445"/>
      <c r="DLF282" s="414"/>
      <c r="DLI282" s="445"/>
      <c r="DLJ282" s="414"/>
      <c r="DLM282" s="445"/>
      <c r="DLN282" s="414"/>
      <c r="DLQ282" s="445"/>
      <c r="DLR282" s="414"/>
      <c r="DLU282" s="445"/>
      <c r="DLV282" s="414"/>
      <c r="DLY282" s="445"/>
      <c r="DLZ282" s="414"/>
      <c r="DMC282" s="445"/>
      <c r="DMD282" s="414"/>
      <c r="DMG282" s="445"/>
      <c r="DMH282" s="414"/>
      <c r="DMK282" s="445"/>
      <c r="DML282" s="414"/>
      <c r="DMO282" s="445"/>
      <c r="DMP282" s="414"/>
      <c r="DMS282" s="445"/>
      <c r="DMT282" s="414"/>
      <c r="DMW282" s="445"/>
      <c r="DMX282" s="414"/>
      <c r="DNA282" s="445"/>
      <c r="DNB282" s="414"/>
      <c r="DNE282" s="445"/>
      <c r="DNF282" s="414"/>
      <c r="DNI282" s="445"/>
      <c r="DNJ282" s="414"/>
      <c r="DNM282" s="445"/>
      <c r="DNN282" s="414"/>
      <c r="DNQ282" s="445"/>
      <c r="DNR282" s="414"/>
      <c r="DNU282" s="445"/>
      <c r="DNV282" s="414"/>
      <c r="DNY282" s="445"/>
      <c r="DNZ282" s="414"/>
      <c r="DOC282" s="445"/>
      <c r="DOD282" s="414"/>
      <c r="DOG282" s="445"/>
      <c r="DOH282" s="414"/>
      <c r="DOK282" s="445"/>
      <c r="DOL282" s="414"/>
      <c r="DOO282" s="445"/>
      <c r="DOP282" s="414"/>
      <c r="DOS282" s="445"/>
      <c r="DOT282" s="414"/>
      <c r="DOW282" s="445"/>
      <c r="DOX282" s="414"/>
      <c r="DPA282" s="445"/>
      <c r="DPB282" s="414"/>
      <c r="DPE282" s="445"/>
      <c r="DPF282" s="414"/>
      <c r="DPI282" s="445"/>
      <c r="DPJ282" s="414"/>
      <c r="DPM282" s="445"/>
      <c r="DPN282" s="414"/>
      <c r="DPQ282" s="445"/>
      <c r="DPR282" s="414"/>
      <c r="DPU282" s="445"/>
      <c r="DPV282" s="414"/>
      <c r="DPY282" s="445"/>
      <c r="DPZ282" s="414"/>
      <c r="DQC282" s="445"/>
      <c r="DQD282" s="414"/>
      <c r="DQG282" s="445"/>
      <c r="DQH282" s="414"/>
      <c r="DQK282" s="445"/>
      <c r="DQL282" s="414"/>
      <c r="DQO282" s="445"/>
      <c r="DQP282" s="414"/>
      <c r="DQS282" s="445"/>
      <c r="DQT282" s="414"/>
      <c r="DQW282" s="445"/>
      <c r="DQX282" s="414"/>
      <c r="DRA282" s="445"/>
      <c r="DRB282" s="414"/>
      <c r="DRE282" s="445"/>
      <c r="DRF282" s="414"/>
      <c r="DRI282" s="445"/>
      <c r="DRJ282" s="414"/>
      <c r="DRM282" s="445"/>
      <c r="DRN282" s="414"/>
      <c r="DRQ282" s="445"/>
      <c r="DRR282" s="414"/>
      <c r="DRU282" s="445"/>
      <c r="DRV282" s="414"/>
      <c r="DRY282" s="445"/>
      <c r="DRZ282" s="414"/>
      <c r="DSC282" s="445"/>
      <c r="DSD282" s="414"/>
      <c r="DSG282" s="445"/>
      <c r="DSH282" s="414"/>
      <c r="DSK282" s="445"/>
      <c r="DSL282" s="414"/>
      <c r="DSO282" s="445"/>
      <c r="DSP282" s="414"/>
      <c r="DSS282" s="445"/>
      <c r="DST282" s="414"/>
      <c r="DSW282" s="445"/>
      <c r="DSX282" s="414"/>
      <c r="DTA282" s="445"/>
      <c r="DTB282" s="414"/>
      <c r="DTE282" s="445"/>
      <c r="DTF282" s="414"/>
      <c r="DTI282" s="445"/>
      <c r="DTJ282" s="414"/>
      <c r="DTM282" s="445"/>
      <c r="DTN282" s="414"/>
      <c r="DTQ282" s="445"/>
      <c r="DTR282" s="414"/>
      <c r="DTU282" s="445"/>
      <c r="DTV282" s="414"/>
      <c r="DTY282" s="445"/>
      <c r="DTZ282" s="414"/>
      <c r="DUC282" s="445"/>
      <c r="DUD282" s="414"/>
      <c r="DUG282" s="445"/>
      <c r="DUH282" s="414"/>
      <c r="DUK282" s="445"/>
      <c r="DUL282" s="414"/>
      <c r="DUO282" s="445"/>
      <c r="DUP282" s="414"/>
      <c r="DUS282" s="445"/>
      <c r="DUT282" s="414"/>
      <c r="DUW282" s="445"/>
      <c r="DUX282" s="414"/>
      <c r="DVA282" s="445"/>
      <c r="DVB282" s="414"/>
      <c r="DVE282" s="445"/>
      <c r="DVF282" s="414"/>
      <c r="DVI282" s="445"/>
      <c r="DVJ282" s="414"/>
      <c r="DVM282" s="445"/>
      <c r="DVN282" s="414"/>
      <c r="DVQ282" s="445"/>
      <c r="DVR282" s="414"/>
      <c r="DVU282" s="445"/>
      <c r="DVV282" s="414"/>
      <c r="DVY282" s="445"/>
      <c r="DVZ282" s="414"/>
      <c r="DWC282" s="445"/>
      <c r="DWD282" s="414"/>
      <c r="DWG282" s="445"/>
      <c r="DWH282" s="414"/>
      <c r="DWK282" s="445"/>
      <c r="DWL282" s="414"/>
      <c r="DWO282" s="445"/>
      <c r="DWP282" s="414"/>
      <c r="DWS282" s="445"/>
      <c r="DWT282" s="414"/>
      <c r="DWW282" s="445"/>
      <c r="DWX282" s="414"/>
      <c r="DXA282" s="445"/>
      <c r="DXB282" s="414"/>
      <c r="DXE282" s="445"/>
      <c r="DXF282" s="414"/>
      <c r="DXI282" s="445"/>
      <c r="DXJ282" s="414"/>
      <c r="DXM282" s="445"/>
      <c r="DXN282" s="414"/>
      <c r="DXQ282" s="445"/>
      <c r="DXR282" s="414"/>
      <c r="DXU282" s="445"/>
      <c r="DXV282" s="414"/>
      <c r="DXY282" s="445"/>
      <c r="DXZ282" s="414"/>
      <c r="DYC282" s="445"/>
      <c r="DYD282" s="414"/>
      <c r="DYG282" s="445"/>
      <c r="DYH282" s="414"/>
      <c r="DYK282" s="445"/>
      <c r="DYL282" s="414"/>
      <c r="DYO282" s="445"/>
      <c r="DYP282" s="414"/>
      <c r="DYS282" s="445"/>
      <c r="DYT282" s="414"/>
      <c r="DYW282" s="445"/>
      <c r="DYX282" s="414"/>
      <c r="DZA282" s="445"/>
      <c r="DZB282" s="414"/>
      <c r="DZE282" s="445"/>
      <c r="DZF282" s="414"/>
      <c r="DZI282" s="445"/>
      <c r="DZJ282" s="414"/>
      <c r="DZM282" s="445"/>
      <c r="DZN282" s="414"/>
      <c r="DZQ282" s="445"/>
      <c r="DZR282" s="414"/>
      <c r="DZU282" s="445"/>
      <c r="DZV282" s="414"/>
      <c r="DZY282" s="445"/>
      <c r="DZZ282" s="414"/>
      <c r="EAC282" s="445"/>
      <c r="EAD282" s="414"/>
      <c r="EAG282" s="445"/>
      <c r="EAH282" s="414"/>
      <c r="EAK282" s="445"/>
      <c r="EAL282" s="414"/>
      <c r="EAO282" s="445"/>
      <c r="EAP282" s="414"/>
      <c r="EAS282" s="445"/>
      <c r="EAT282" s="414"/>
      <c r="EAW282" s="445"/>
      <c r="EAX282" s="414"/>
      <c r="EBA282" s="445"/>
      <c r="EBB282" s="414"/>
      <c r="EBE282" s="445"/>
      <c r="EBF282" s="414"/>
      <c r="EBI282" s="445"/>
      <c r="EBJ282" s="414"/>
      <c r="EBM282" s="445"/>
      <c r="EBN282" s="414"/>
      <c r="EBQ282" s="445"/>
      <c r="EBR282" s="414"/>
      <c r="EBU282" s="445"/>
      <c r="EBV282" s="414"/>
      <c r="EBY282" s="445"/>
      <c r="EBZ282" s="414"/>
      <c r="ECC282" s="445"/>
      <c r="ECD282" s="414"/>
      <c r="ECG282" s="445"/>
      <c r="ECH282" s="414"/>
      <c r="ECK282" s="445"/>
      <c r="ECL282" s="414"/>
      <c r="ECO282" s="445"/>
      <c r="ECP282" s="414"/>
      <c r="ECS282" s="445"/>
      <c r="ECT282" s="414"/>
      <c r="ECW282" s="445"/>
      <c r="ECX282" s="414"/>
      <c r="EDA282" s="445"/>
      <c r="EDB282" s="414"/>
      <c r="EDE282" s="445"/>
      <c r="EDF282" s="414"/>
      <c r="EDI282" s="445"/>
      <c r="EDJ282" s="414"/>
      <c r="EDM282" s="445"/>
      <c r="EDN282" s="414"/>
      <c r="EDQ282" s="445"/>
      <c r="EDR282" s="414"/>
      <c r="EDU282" s="445"/>
      <c r="EDV282" s="414"/>
      <c r="EDY282" s="445"/>
      <c r="EDZ282" s="414"/>
      <c r="EEC282" s="445"/>
      <c r="EED282" s="414"/>
      <c r="EEG282" s="445"/>
      <c r="EEH282" s="414"/>
      <c r="EEK282" s="445"/>
      <c r="EEL282" s="414"/>
      <c r="EEO282" s="445"/>
      <c r="EEP282" s="414"/>
      <c r="EES282" s="445"/>
      <c r="EET282" s="414"/>
      <c r="EEW282" s="445"/>
      <c r="EEX282" s="414"/>
      <c r="EFA282" s="445"/>
      <c r="EFB282" s="414"/>
      <c r="EFE282" s="445"/>
      <c r="EFF282" s="414"/>
      <c r="EFI282" s="445"/>
      <c r="EFJ282" s="414"/>
      <c r="EFM282" s="445"/>
      <c r="EFN282" s="414"/>
      <c r="EFQ282" s="445"/>
      <c r="EFR282" s="414"/>
      <c r="EFU282" s="445"/>
      <c r="EFV282" s="414"/>
      <c r="EFY282" s="445"/>
      <c r="EFZ282" s="414"/>
      <c r="EGC282" s="445"/>
      <c r="EGD282" s="414"/>
      <c r="EGG282" s="445"/>
      <c r="EGH282" s="414"/>
      <c r="EGK282" s="445"/>
      <c r="EGL282" s="414"/>
      <c r="EGO282" s="445"/>
      <c r="EGP282" s="414"/>
      <c r="EGS282" s="445"/>
      <c r="EGT282" s="414"/>
      <c r="EGW282" s="445"/>
      <c r="EGX282" s="414"/>
      <c r="EHA282" s="445"/>
      <c r="EHB282" s="414"/>
      <c r="EHE282" s="445"/>
      <c r="EHF282" s="414"/>
      <c r="EHI282" s="445"/>
      <c r="EHJ282" s="414"/>
      <c r="EHM282" s="445"/>
      <c r="EHN282" s="414"/>
      <c r="EHQ282" s="445"/>
      <c r="EHR282" s="414"/>
      <c r="EHU282" s="445"/>
      <c r="EHV282" s="414"/>
      <c r="EHY282" s="445"/>
      <c r="EHZ282" s="414"/>
      <c r="EIC282" s="445"/>
      <c r="EID282" s="414"/>
      <c r="EIG282" s="445"/>
      <c r="EIH282" s="414"/>
      <c r="EIK282" s="445"/>
      <c r="EIL282" s="414"/>
      <c r="EIO282" s="445"/>
      <c r="EIP282" s="414"/>
      <c r="EIS282" s="445"/>
      <c r="EIT282" s="414"/>
      <c r="EIW282" s="445"/>
      <c r="EIX282" s="414"/>
      <c r="EJA282" s="445"/>
      <c r="EJB282" s="414"/>
      <c r="EJE282" s="445"/>
      <c r="EJF282" s="414"/>
      <c r="EJI282" s="445"/>
      <c r="EJJ282" s="414"/>
      <c r="EJM282" s="445"/>
      <c r="EJN282" s="414"/>
      <c r="EJQ282" s="445"/>
      <c r="EJR282" s="414"/>
      <c r="EJU282" s="445"/>
      <c r="EJV282" s="414"/>
      <c r="EJY282" s="445"/>
      <c r="EJZ282" s="414"/>
      <c r="EKC282" s="445"/>
      <c r="EKD282" s="414"/>
      <c r="EKG282" s="445"/>
      <c r="EKH282" s="414"/>
      <c r="EKK282" s="445"/>
      <c r="EKL282" s="414"/>
      <c r="EKO282" s="445"/>
      <c r="EKP282" s="414"/>
      <c r="EKS282" s="445"/>
      <c r="EKT282" s="414"/>
      <c r="EKW282" s="445"/>
      <c r="EKX282" s="414"/>
      <c r="ELA282" s="445"/>
      <c r="ELB282" s="414"/>
      <c r="ELE282" s="445"/>
      <c r="ELF282" s="414"/>
      <c r="ELI282" s="445"/>
      <c r="ELJ282" s="414"/>
      <c r="ELM282" s="445"/>
      <c r="ELN282" s="414"/>
      <c r="ELQ282" s="445"/>
      <c r="ELR282" s="414"/>
      <c r="ELU282" s="445"/>
      <c r="ELV282" s="414"/>
      <c r="ELY282" s="445"/>
      <c r="ELZ282" s="414"/>
      <c r="EMC282" s="445"/>
      <c r="EMD282" s="414"/>
      <c r="EMG282" s="445"/>
      <c r="EMH282" s="414"/>
      <c r="EMK282" s="445"/>
      <c r="EML282" s="414"/>
      <c r="EMO282" s="445"/>
      <c r="EMP282" s="414"/>
      <c r="EMS282" s="445"/>
      <c r="EMT282" s="414"/>
      <c r="EMW282" s="445"/>
      <c r="EMX282" s="414"/>
      <c r="ENA282" s="445"/>
      <c r="ENB282" s="414"/>
      <c r="ENE282" s="445"/>
      <c r="ENF282" s="414"/>
      <c r="ENI282" s="445"/>
      <c r="ENJ282" s="414"/>
      <c r="ENM282" s="445"/>
      <c r="ENN282" s="414"/>
      <c r="ENQ282" s="445"/>
      <c r="ENR282" s="414"/>
      <c r="ENU282" s="445"/>
      <c r="ENV282" s="414"/>
      <c r="ENY282" s="445"/>
      <c r="ENZ282" s="414"/>
      <c r="EOC282" s="445"/>
      <c r="EOD282" s="414"/>
      <c r="EOG282" s="445"/>
      <c r="EOH282" s="414"/>
      <c r="EOK282" s="445"/>
      <c r="EOL282" s="414"/>
      <c r="EOO282" s="445"/>
      <c r="EOP282" s="414"/>
      <c r="EOS282" s="445"/>
      <c r="EOT282" s="414"/>
      <c r="EOW282" s="445"/>
      <c r="EOX282" s="414"/>
      <c r="EPA282" s="445"/>
      <c r="EPB282" s="414"/>
      <c r="EPE282" s="445"/>
      <c r="EPF282" s="414"/>
      <c r="EPI282" s="445"/>
      <c r="EPJ282" s="414"/>
      <c r="EPM282" s="445"/>
      <c r="EPN282" s="414"/>
      <c r="EPQ282" s="445"/>
      <c r="EPR282" s="414"/>
      <c r="EPU282" s="445"/>
      <c r="EPV282" s="414"/>
      <c r="EPY282" s="445"/>
      <c r="EPZ282" s="414"/>
      <c r="EQC282" s="445"/>
      <c r="EQD282" s="414"/>
      <c r="EQG282" s="445"/>
      <c r="EQH282" s="414"/>
      <c r="EQK282" s="445"/>
      <c r="EQL282" s="414"/>
      <c r="EQO282" s="445"/>
      <c r="EQP282" s="414"/>
      <c r="EQS282" s="445"/>
      <c r="EQT282" s="414"/>
      <c r="EQW282" s="445"/>
      <c r="EQX282" s="414"/>
      <c r="ERA282" s="445"/>
      <c r="ERB282" s="414"/>
      <c r="ERE282" s="445"/>
      <c r="ERF282" s="414"/>
      <c r="ERI282" s="445"/>
      <c r="ERJ282" s="414"/>
      <c r="ERM282" s="445"/>
      <c r="ERN282" s="414"/>
      <c r="ERQ282" s="445"/>
      <c r="ERR282" s="414"/>
      <c r="ERU282" s="445"/>
      <c r="ERV282" s="414"/>
      <c r="ERY282" s="445"/>
      <c r="ERZ282" s="414"/>
      <c r="ESC282" s="445"/>
      <c r="ESD282" s="414"/>
      <c r="ESG282" s="445"/>
      <c r="ESH282" s="414"/>
      <c r="ESK282" s="445"/>
      <c r="ESL282" s="414"/>
      <c r="ESO282" s="445"/>
      <c r="ESP282" s="414"/>
      <c r="ESS282" s="445"/>
      <c r="EST282" s="414"/>
      <c r="ESW282" s="445"/>
      <c r="ESX282" s="414"/>
      <c r="ETA282" s="445"/>
      <c r="ETB282" s="414"/>
      <c r="ETE282" s="445"/>
      <c r="ETF282" s="414"/>
      <c r="ETI282" s="445"/>
      <c r="ETJ282" s="414"/>
      <c r="ETM282" s="445"/>
      <c r="ETN282" s="414"/>
      <c r="ETQ282" s="445"/>
      <c r="ETR282" s="414"/>
      <c r="ETU282" s="445"/>
      <c r="ETV282" s="414"/>
      <c r="ETY282" s="445"/>
      <c r="ETZ282" s="414"/>
      <c r="EUC282" s="445"/>
      <c r="EUD282" s="414"/>
      <c r="EUG282" s="445"/>
      <c r="EUH282" s="414"/>
      <c r="EUK282" s="445"/>
      <c r="EUL282" s="414"/>
      <c r="EUO282" s="445"/>
      <c r="EUP282" s="414"/>
      <c r="EUS282" s="445"/>
      <c r="EUT282" s="414"/>
      <c r="EUW282" s="445"/>
      <c r="EUX282" s="414"/>
      <c r="EVA282" s="445"/>
      <c r="EVB282" s="414"/>
      <c r="EVE282" s="445"/>
      <c r="EVF282" s="414"/>
      <c r="EVI282" s="445"/>
      <c r="EVJ282" s="414"/>
      <c r="EVM282" s="445"/>
      <c r="EVN282" s="414"/>
      <c r="EVQ282" s="445"/>
      <c r="EVR282" s="414"/>
      <c r="EVU282" s="445"/>
      <c r="EVV282" s="414"/>
      <c r="EVY282" s="445"/>
      <c r="EVZ282" s="414"/>
      <c r="EWC282" s="445"/>
      <c r="EWD282" s="414"/>
      <c r="EWG282" s="445"/>
      <c r="EWH282" s="414"/>
      <c r="EWK282" s="445"/>
      <c r="EWL282" s="414"/>
      <c r="EWO282" s="445"/>
      <c r="EWP282" s="414"/>
      <c r="EWS282" s="445"/>
      <c r="EWT282" s="414"/>
      <c r="EWW282" s="445"/>
      <c r="EWX282" s="414"/>
      <c r="EXA282" s="445"/>
      <c r="EXB282" s="414"/>
      <c r="EXE282" s="445"/>
      <c r="EXF282" s="414"/>
      <c r="EXI282" s="445"/>
      <c r="EXJ282" s="414"/>
      <c r="EXM282" s="445"/>
      <c r="EXN282" s="414"/>
      <c r="EXQ282" s="445"/>
      <c r="EXR282" s="414"/>
      <c r="EXU282" s="445"/>
      <c r="EXV282" s="414"/>
      <c r="EXY282" s="445"/>
      <c r="EXZ282" s="414"/>
      <c r="EYC282" s="445"/>
      <c r="EYD282" s="414"/>
      <c r="EYG282" s="445"/>
      <c r="EYH282" s="414"/>
      <c r="EYK282" s="445"/>
      <c r="EYL282" s="414"/>
      <c r="EYO282" s="445"/>
      <c r="EYP282" s="414"/>
      <c r="EYS282" s="445"/>
      <c r="EYT282" s="414"/>
      <c r="EYW282" s="445"/>
      <c r="EYX282" s="414"/>
      <c r="EZA282" s="445"/>
      <c r="EZB282" s="414"/>
      <c r="EZE282" s="445"/>
      <c r="EZF282" s="414"/>
      <c r="EZI282" s="445"/>
      <c r="EZJ282" s="414"/>
      <c r="EZM282" s="445"/>
      <c r="EZN282" s="414"/>
      <c r="EZQ282" s="445"/>
      <c r="EZR282" s="414"/>
      <c r="EZU282" s="445"/>
      <c r="EZV282" s="414"/>
      <c r="EZY282" s="445"/>
      <c r="EZZ282" s="414"/>
      <c r="FAC282" s="445"/>
      <c r="FAD282" s="414"/>
      <c r="FAG282" s="445"/>
      <c r="FAH282" s="414"/>
      <c r="FAK282" s="445"/>
      <c r="FAL282" s="414"/>
      <c r="FAO282" s="445"/>
      <c r="FAP282" s="414"/>
      <c r="FAS282" s="445"/>
      <c r="FAT282" s="414"/>
      <c r="FAW282" s="445"/>
      <c r="FAX282" s="414"/>
      <c r="FBA282" s="445"/>
      <c r="FBB282" s="414"/>
      <c r="FBE282" s="445"/>
      <c r="FBF282" s="414"/>
      <c r="FBI282" s="445"/>
      <c r="FBJ282" s="414"/>
      <c r="FBM282" s="445"/>
      <c r="FBN282" s="414"/>
      <c r="FBQ282" s="445"/>
      <c r="FBR282" s="414"/>
      <c r="FBU282" s="445"/>
      <c r="FBV282" s="414"/>
      <c r="FBY282" s="445"/>
      <c r="FBZ282" s="414"/>
      <c r="FCC282" s="445"/>
      <c r="FCD282" s="414"/>
      <c r="FCG282" s="445"/>
      <c r="FCH282" s="414"/>
      <c r="FCK282" s="445"/>
      <c r="FCL282" s="414"/>
      <c r="FCO282" s="445"/>
      <c r="FCP282" s="414"/>
      <c r="FCS282" s="445"/>
      <c r="FCT282" s="414"/>
      <c r="FCW282" s="445"/>
      <c r="FCX282" s="414"/>
      <c r="FDA282" s="445"/>
      <c r="FDB282" s="414"/>
      <c r="FDE282" s="445"/>
      <c r="FDF282" s="414"/>
      <c r="FDI282" s="445"/>
      <c r="FDJ282" s="414"/>
      <c r="FDM282" s="445"/>
      <c r="FDN282" s="414"/>
      <c r="FDQ282" s="445"/>
      <c r="FDR282" s="414"/>
      <c r="FDU282" s="445"/>
      <c r="FDV282" s="414"/>
      <c r="FDY282" s="445"/>
      <c r="FDZ282" s="414"/>
      <c r="FEC282" s="445"/>
      <c r="FED282" s="414"/>
      <c r="FEG282" s="445"/>
      <c r="FEH282" s="414"/>
      <c r="FEK282" s="445"/>
      <c r="FEL282" s="414"/>
      <c r="FEO282" s="445"/>
      <c r="FEP282" s="414"/>
      <c r="FES282" s="445"/>
      <c r="FET282" s="414"/>
      <c r="FEW282" s="445"/>
      <c r="FEX282" s="414"/>
      <c r="FFA282" s="445"/>
      <c r="FFB282" s="414"/>
      <c r="FFE282" s="445"/>
      <c r="FFF282" s="414"/>
      <c r="FFI282" s="445"/>
      <c r="FFJ282" s="414"/>
      <c r="FFM282" s="445"/>
      <c r="FFN282" s="414"/>
      <c r="FFQ282" s="445"/>
      <c r="FFR282" s="414"/>
      <c r="FFU282" s="445"/>
      <c r="FFV282" s="414"/>
      <c r="FFY282" s="445"/>
      <c r="FFZ282" s="414"/>
      <c r="FGC282" s="445"/>
      <c r="FGD282" s="414"/>
      <c r="FGG282" s="445"/>
      <c r="FGH282" s="414"/>
      <c r="FGK282" s="445"/>
      <c r="FGL282" s="414"/>
      <c r="FGO282" s="445"/>
      <c r="FGP282" s="414"/>
      <c r="FGS282" s="445"/>
      <c r="FGT282" s="414"/>
      <c r="FGW282" s="445"/>
      <c r="FGX282" s="414"/>
      <c r="FHA282" s="445"/>
      <c r="FHB282" s="414"/>
      <c r="FHE282" s="445"/>
      <c r="FHF282" s="414"/>
      <c r="FHI282" s="445"/>
      <c r="FHJ282" s="414"/>
      <c r="FHM282" s="445"/>
      <c r="FHN282" s="414"/>
      <c r="FHQ282" s="445"/>
      <c r="FHR282" s="414"/>
      <c r="FHU282" s="445"/>
      <c r="FHV282" s="414"/>
      <c r="FHY282" s="445"/>
      <c r="FHZ282" s="414"/>
      <c r="FIC282" s="445"/>
      <c r="FID282" s="414"/>
      <c r="FIG282" s="445"/>
      <c r="FIH282" s="414"/>
      <c r="FIK282" s="445"/>
      <c r="FIL282" s="414"/>
      <c r="FIO282" s="445"/>
      <c r="FIP282" s="414"/>
      <c r="FIS282" s="445"/>
      <c r="FIT282" s="414"/>
      <c r="FIW282" s="445"/>
      <c r="FIX282" s="414"/>
      <c r="FJA282" s="445"/>
      <c r="FJB282" s="414"/>
      <c r="FJE282" s="445"/>
      <c r="FJF282" s="414"/>
      <c r="FJI282" s="445"/>
      <c r="FJJ282" s="414"/>
      <c r="FJM282" s="445"/>
      <c r="FJN282" s="414"/>
      <c r="FJQ282" s="445"/>
      <c r="FJR282" s="414"/>
      <c r="FJU282" s="445"/>
      <c r="FJV282" s="414"/>
      <c r="FJY282" s="445"/>
      <c r="FJZ282" s="414"/>
      <c r="FKC282" s="445"/>
      <c r="FKD282" s="414"/>
      <c r="FKG282" s="445"/>
      <c r="FKH282" s="414"/>
      <c r="FKK282" s="445"/>
      <c r="FKL282" s="414"/>
      <c r="FKO282" s="445"/>
      <c r="FKP282" s="414"/>
      <c r="FKS282" s="445"/>
      <c r="FKT282" s="414"/>
      <c r="FKW282" s="445"/>
      <c r="FKX282" s="414"/>
      <c r="FLA282" s="445"/>
      <c r="FLB282" s="414"/>
      <c r="FLE282" s="445"/>
      <c r="FLF282" s="414"/>
      <c r="FLI282" s="445"/>
      <c r="FLJ282" s="414"/>
      <c r="FLM282" s="445"/>
      <c r="FLN282" s="414"/>
      <c r="FLQ282" s="445"/>
      <c r="FLR282" s="414"/>
      <c r="FLU282" s="445"/>
      <c r="FLV282" s="414"/>
      <c r="FLY282" s="445"/>
      <c r="FLZ282" s="414"/>
      <c r="FMC282" s="445"/>
      <c r="FMD282" s="414"/>
      <c r="FMG282" s="445"/>
      <c r="FMH282" s="414"/>
      <c r="FMK282" s="445"/>
      <c r="FML282" s="414"/>
      <c r="FMO282" s="445"/>
      <c r="FMP282" s="414"/>
      <c r="FMS282" s="445"/>
      <c r="FMT282" s="414"/>
      <c r="FMW282" s="445"/>
      <c r="FMX282" s="414"/>
      <c r="FNA282" s="445"/>
      <c r="FNB282" s="414"/>
      <c r="FNE282" s="445"/>
      <c r="FNF282" s="414"/>
      <c r="FNI282" s="445"/>
      <c r="FNJ282" s="414"/>
      <c r="FNM282" s="445"/>
      <c r="FNN282" s="414"/>
      <c r="FNQ282" s="445"/>
      <c r="FNR282" s="414"/>
      <c r="FNU282" s="445"/>
      <c r="FNV282" s="414"/>
      <c r="FNY282" s="445"/>
      <c r="FNZ282" s="414"/>
      <c r="FOC282" s="445"/>
      <c r="FOD282" s="414"/>
      <c r="FOG282" s="445"/>
      <c r="FOH282" s="414"/>
      <c r="FOK282" s="445"/>
      <c r="FOL282" s="414"/>
      <c r="FOO282" s="445"/>
      <c r="FOP282" s="414"/>
      <c r="FOS282" s="445"/>
      <c r="FOT282" s="414"/>
      <c r="FOW282" s="445"/>
      <c r="FOX282" s="414"/>
      <c r="FPA282" s="445"/>
      <c r="FPB282" s="414"/>
      <c r="FPE282" s="445"/>
      <c r="FPF282" s="414"/>
      <c r="FPI282" s="445"/>
      <c r="FPJ282" s="414"/>
      <c r="FPM282" s="445"/>
      <c r="FPN282" s="414"/>
      <c r="FPQ282" s="445"/>
      <c r="FPR282" s="414"/>
      <c r="FPU282" s="445"/>
      <c r="FPV282" s="414"/>
      <c r="FPY282" s="445"/>
      <c r="FPZ282" s="414"/>
      <c r="FQC282" s="445"/>
      <c r="FQD282" s="414"/>
      <c r="FQG282" s="445"/>
      <c r="FQH282" s="414"/>
      <c r="FQK282" s="445"/>
      <c r="FQL282" s="414"/>
      <c r="FQO282" s="445"/>
      <c r="FQP282" s="414"/>
      <c r="FQS282" s="445"/>
      <c r="FQT282" s="414"/>
      <c r="FQW282" s="445"/>
      <c r="FQX282" s="414"/>
      <c r="FRA282" s="445"/>
      <c r="FRB282" s="414"/>
      <c r="FRE282" s="445"/>
      <c r="FRF282" s="414"/>
      <c r="FRI282" s="445"/>
      <c r="FRJ282" s="414"/>
      <c r="FRM282" s="445"/>
      <c r="FRN282" s="414"/>
      <c r="FRQ282" s="445"/>
      <c r="FRR282" s="414"/>
      <c r="FRU282" s="445"/>
      <c r="FRV282" s="414"/>
      <c r="FRY282" s="445"/>
      <c r="FRZ282" s="414"/>
      <c r="FSC282" s="445"/>
      <c r="FSD282" s="414"/>
      <c r="FSG282" s="445"/>
      <c r="FSH282" s="414"/>
      <c r="FSK282" s="445"/>
      <c r="FSL282" s="414"/>
      <c r="FSO282" s="445"/>
      <c r="FSP282" s="414"/>
      <c r="FSS282" s="445"/>
      <c r="FST282" s="414"/>
      <c r="FSW282" s="445"/>
      <c r="FSX282" s="414"/>
      <c r="FTA282" s="445"/>
      <c r="FTB282" s="414"/>
      <c r="FTE282" s="445"/>
      <c r="FTF282" s="414"/>
      <c r="FTI282" s="445"/>
      <c r="FTJ282" s="414"/>
      <c r="FTM282" s="445"/>
      <c r="FTN282" s="414"/>
      <c r="FTQ282" s="445"/>
      <c r="FTR282" s="414"/>
      <c r="FTU282" s="445"/>
      <c r="FTV282" s="414"/>
      <c r="FTY282" s="445"/>
      <c r="FTZ282" s="414"/>
      <c r="FUC282" s="445"/>
      <c r="FUD282" s="414"/>
      <c r="FUG282" s="445"/>
      <c r="FUH282" s="414"/>
      <c r="FUK282" s="445"/>
      <c r="FUL282" s="414"/>
      <c r="FUO282" s="445"/>
      <c r="FUP282" s="414"/>
      <c r="FUS282" s="445"/>
      <c r="FUT282" s="414"/>
      <c r="FUW282" s="445"/>
      <c r="FUX282" s="414"/>
      <c r="FVA282" s="445"/>
      <c r="FVB282" s="414"/>
      <c r="FVE282" s="445"/>
      <c r="FVF282" s="414"/>
      <c r="FVI282" s="445"/>
      <c r="FVJ282" s="414"/>
      <c r="FVM282" s="445"/>
      <c r="FVN282" s="414"/>
      <c r="FVQ282" s="445"/>
      <c r="FVR282" s="414"/>
      <c r="FVU282" s="445"/>
      <c r="FVV282" s="414"/>
      <c r="FVY282" s="445"/>
      <c r="FVZ282" s="414"/>
      <c r="FWC282" s="445"/>
      <c r="FWD282" s="414"/>
      <c r="FWG282" s="445"/>
      <c r="FWH282" s="414"/>
      <c r="FWK282" s="445"/>
      <c r="FWL282" s="414"/>
      <c r="FWO282" s="445"/>
      <c r="FWP282" s="414"/>
      <c r="FWS282" s="445"/>
      <c r="FWT282" s="414"/>
      <c r="FWW282" s="445"/>
      <c r="FWX282" s="414"/>
      <c r="FXA282" s="445"/>
      <c r="FXB282" s="414"/>
      <c r="FXE282" s="445"/>
      <c r="FXF282" s="414"/>
      <c r="FXI282" s="445"/>
      <c r="FXJ282" s="414"/>
      <c r="FXM282" s="445"/>
      <c r="FXN282" s="414"/>
      <c r="FXQ282" s="445"/>
      <c r="FXR282" s="414"/>
      <c r="FXU282" s="445"/>
      <c r="FXV282" s="414"/>
      <c r="FXY282" s="445"/>
      <c r="FXZ282" s="414"/>
      <c r="FYC282" s="445"/>
      <c r="FYD282" s="414"/>
      <c r="FYG282" s="445"/>
      <c r="FYH282" s="414"/>
      <c r="FYK282" s="445"/>
      <c r="FYL282" s="414"/>
      <c r="FYO282" s="445"/>
      <c r="FYP282" s="414"/>
      <c r="FYS282" s="445"/>
      <c r="FYT282" s="414"/>
      <c r="FYW282" s="445"/>
      <c r="FYX282" s="414"/>
      <c r="FZA282" s="445"/>
      <c r="FZB282" s="414"/>
      <c r="FZE282" s="445"/>
      <c r="FZF282" s="414"/>
      <c r="FZI282" s="445"/>
      <c r="FZJ282" s="414"/>
      <c r="FZM282" s="445"/>
      <c r="FZN282" s="414"/>
      <c r="FZQ282" s="445"/>
      <c r="FZR282" s="414"/>
      <c r="FZU282" s="445"/>
      <c r="FZV282" s="414"/>
      <c r="FZY282" s="445"/>
      <c r="FZZ282" s="414"/>
      <c r="GAC282" s="445"/>
      <c r="GAD282" s="414"/>
      <c r="GAG282" s="445"/>
      <c r="GAH282" s="414"/>
      <c r="GAK282" s="445"/>
      <c r="GAL282" s="414"/>
      <c r="GAO282" s="445"/>
      <c r="GAP282" s="414"/>
      <c r="GAS282" s="445"/>
      <c r="GAT282" s="414"/>
      <c r="GAW282" s="445"/>
      <c r="GAX282" s="414"/>
      <c r="GBA282" s="445"/>
      <c r="GBB282" s="414"/>
      <c r="GBE282" s="445"/>
      <c r="GBF282" s="414"/>
      <c r="GBI282" s="445"/>
      <c r="GBJ282" s="414"/>
      <c r="GBM282" s="445"/>
      <c r="GBN282" s="414"/>
      <c r="GBQ282" s="445"/>
      <c r="GBR282" s="414"/>
      <c r="GBU282" s="445"/>
      <c r="GBV282" s="414"/>
      <c r="GBY282" s="445"/>
      <c r="GBZ282" s="414"/>
      <c r="GCC282" s="445"/>
      <c r="GCD282" s="414"/>
      <c r="GCG282" s="445"/>
      <c r="GCH282" s="414"/>
      <c r="GCK282" s="445"/>
      <c r="GCL282" s="414"/>
      <c r="GCO282" s="445"/>
      <c r="GCP282" s="414"/>
      <c r="GCS282" s="445"/>
      <c r="GCT282" s="414"/>
      <c r="GCW282" s="445"/>
      <c r="GCX282" s="414"/>
      <c r="GDA282" s="445"/>
      <c r="GDB282" s="414"/>
      <c r="GDE282" s="445"/>
      <c r="GDF282" s="414"/>
      <c r="GDI282" s="445"/>
      <c r="GDJ282" s="414"/>
      <c r="GDM282" s="445"/>
      <c r="GDN282" s="414"/>
      <c r="GDQ282" s="445"/>
      <c r="GDR282" s="414"/>
      <c r="GDU282" s="445"/>
      <c r="GDV282" s="414"/>
      <c r="GDY282" s="445"/>
      <c r="GDZ282" s="414"/>
      <c r="GEC282" s="445"/>
      <c r="GED282" s="414"/>
      <c r="GEG282" s="445"/>
      <c r="GEH282" s="414"/>
      <c r="GEK282" s="445"/>
      <c r="GEL282" s="414"/>
      <c r="GEO282" s="445"/>
      <c r="GEP282" s="414"/>
      <c r="GES282" s="445"/>
      <c r="GET282" s="414"/>
      <c r="GEW282" s="445"/>
      <c r="GEX282" s="414"/>
      <c r="GFA282" s="445"/>
      <c r="GFB282" s="414"/>
      <c r="GFE282" s="445"/>
      <c r="GFF282" s="414"/>
      <c r="GFI282" s="445"/>
      <c r="GFJ282" s="414"/>
      <c r="GFM282" s="445"/>
      <c r="GFN282" s="414"/>
      <c r="GFQ282" s="445"/>
      <c r="GFR282" s="414"/>
      <c r="GFU282" s="445"/>
      <c r="GFV282" s="414"/>
      <c r="GFY282" s="445"/>
      <c r="GFZ282" s="414"/>
      <c r="GGC282" s="445"/>
      <c r="GGD282" s="414"/>
      <c r="GGG282" s="445"/>
      <c r="GGH282" s="414"/>
      <c r="GGK282" s="445"/>
      <c r="GGL282" s="414"/>
      <c r="GGO282" s="445"/>
      <c r="GGP282" s="414"/>
      <c r="GGS282" s="445"/>
      <c r="GGT282" s="414"/>
      <c r="GGW282" s="445"/>
      <c r="GGX282" s="414"/>
      <c r="GHA282" s="445"/>
      <c r="GHB282" s="414"/>
      <c r="GHE282" s="445"/>
      <c r="GHF282" s="414"/>
      <c r="GHI282" s="445"/>
      <c r="GHJ282" s="414"/>
      <c r="GHM282" s="445"/>
      <c r="GHN282" s="414"/>
      <c r="GHQ282" s="445"/>
      <c r="GHR282" s="414"/>
      <c r="GHU282" s="445"/>
      <c r="GHV282" s="414"/>
      <c r="GHY282" s="445"/>
      <c r="GHZ282" s="414"/>
      <c r="GIC282" s="445"/>
      <c r="GID282" s="414"/>
      <c r="GIG282" s="445"/>
      <c r="GIH282" s="414"/>
      <c r="GIK282" s="445"/>
      <c r="GIL282" s="414"/>
      <c r="GIO282" s="445"/>
      <c r="GIP282" s="414"/>
      <c r="GIS282" s="445"/>
      <c r="GIT282" s="414"/>
      <c r="GIW282" s="445"/>
      <c r="GIX282" s="414"/>
      <c r="GJA282" s="445"/>
      <c r="GJB282" s="414"/>
      <c r="GJE282" s="445"/>
      <c r="GJF282" s="414"/>
      <c r="GJI282" s="445"/>
      <c r="GJJ282" s="414"/>
      <c r="GJM282" s="445"/>
      <c r="GJN282" s="414"/>
      <c r="GJQ282" s="445"/>
      <c r="GJR282" s="414"/>
      <c r="GJU282" s="445"/>
      <c r="GJV282" s="414"/>
      <c r="GJY282" s="445"/>
      <c r="GJZ282" s="414"/>
      <c r="GKC282" s="445"/>
      <c r="GKD282" s="414"/>
      <c r="GKG282" s="445"/>
      <c r="GKH282" s="414"/>
      <c r="GKK282" s="445"/>
      <c r="GKL282" s="414"/>
      <c r="GKO282" s="445"/>
      <c r="GKP282" s="414"/>
      <c r="GKS282" s="445"/>
      <c r="GKT282" s="414"/>
      <c r="GKW282" s="445"/>
      <c r="GKX282" s="414"/>
      <c r="GLA282" s="445"/>
      <c r="GLB282" s="414"/>
      <c r="GLE282" s="445"/>
      <c r="GLF282" s="414"/>
      <c r="GLI282" s="445"/>
      <c r="GLJ282" s="414"/>
      <c r="GLM282" s="445"/>
      <c r="GLN282" s="414"/>
      <c r="GLQ282" s="445"/>
      <c r="GLR282" s="414"/>
      <c r="GLU282" s="445"/>
      <c r="GLV282" s="414"/>
      <c r="GLY282" s="445"/>
      <c r="GLZ282" s="414"/>
      <c r="GMC282" s="445"/>
      <c r="GMD282" s="414"/>
      <c r="GMG282" s="445"/>
      <c r="GMH282" s="414"/>
      <c r="GMK282" s="445"/>
      <c r="GML282" s="414"/>
      <c r="GMO282" s="445"/>
      <c r="GMP282" s="414"/>
      <c r="GMS282" s="445"/>
      <c r="GMT282" s="414"/>
      <c r="GMW282" s="445"/>
      <c r="GMX282" s="414"/>
      <c r="GNA282" s="445"/>
      <c r="GNB282" s="414"/>
      <c r="GNE282" s="445"/>
      <c r="GNF282" s="414"/>
      <c r="GNI282" s="445"/>
      <c r="GNJ282" s="414"/>
      <c r="GNM282" s="445"/>
      <c r="GNN282" s="414"/>
      <c r="GNQ282" s="445"/>
      <c r="GNR282" s="414"/>
      <c r="GNU282" s="445"/>
      <c r="GNV282" s="414"/>
      <c r="GNY282" s="445"/>
      <c r="GNZ282" s="414"/>
      <c r="GOC282" s="445"/>
      <c r="GOD282" s="414"/>
      <c r="GOG282" s="445"/>
      <c r="GOH282" s="414"/>
      <c r="GOK282" s="445"/>
      <c r="GOL282" s="414"/>
      <c r="GOO282" s="445"/>
      <c r="GOP282" s="414"/>
      <c r="GOS282" s="445"/>
      <c r="GOT282" s="414"/>
      <c r="GOW282" s="445"/>
      <c r="GOX282" s="414"/>
      <c r="GPA282" s="445"/>
      <c r="GPB282" s="414"/>
      <c r="GPE282" s="445"/>
      <c r="GPF282" s="414"/>
      <c r="GPI282" s="445"/>
      <c r="GPJ282" s="414"/>
      <c r="GPM282" s="445"/>
      <c r="GPN282" s="414"/>
      <c r="GPQ282" s="445"/>
      <c r="GPR282" s="414"/>
      <c r="GPU282" s="445"/>
      <c r="GPV282" s="414"/>
      <c r="GPY282" s="445"/>
      <c r="GPZ282" s="414"/>
      <c r="GQC282" s="445"/>
      <c r="GQD282" s="414"/>
      <c r="GQG282" s="445"/>
      <c r="GQH282" s="414"/>
      <c r="GQK282" s="445"/>
      <c r="GQL282" s="414"/>
      <c r="GQO282" s="445"/>
      <c r="GQP282" s="414"/>
      <c r="GQS282" s="445"/>
      <c r="GQT282" s="414"/>
      <c r="GQW282" s="445"/>
      <c r="GQX282" s="414"/>
      <c r="GRA282" s="445"/>
      <c r="GRB282" s="414"/>
      <c r="GRE282" s="445"/>
      <c r="GRF282" s="414"/>
      <c r="GRI282" s="445"/>
      <c r="GRJ282" s="414"/>
      <c r="GRM282" s="445"/>
      <c r="GRN282" s="414"/>
      <c r="GRQ282" s="445"/>
      <c r="GRR282" s="414"/>
      <c r="GRU282" s="445"/>
      <c r="GRV282" s="414"/>
      <c r="GRY282" s="445"/>
      <c r="GRZ282" s="414"/>
      <c r="GSC282" s="445"/>
      <c r="GSD282" s="414"/>
      <c r="GSG282" s="445"/>
      <c r="GSH282" s="414"/>
      <c r="GSK282" s="445"/>
      <c r="GSL282" s="414"/>
      <c r="GSO282" s="445"/>
      <c r="GSP282" s="414"/>
      <c r="GSS282" s="445"/>
      <c r="GST282" s="414"/>
      <c r="GSW282" s="445"/>
      <c r="GSX282" s="414"/>
      <c r="GTA282" s="445"/>
      <c r="GTB282" s="414"/>
      <c r="GTE282" s="445"/>
      <c r="GTF282" s="414"/>
      <c r="GTI282" s="445"/>
      <c r="GTJ282" s="414"/>
      <c r="GTM282" s="445"/>
      <c r="GTN282" s="414"/>
      <c r="GTQ282" s="445"/>
      <c r="GTR282" s="414"/>
      <c r="GTU282" s="445"/>
      <c r="GTV282" s="414"/>
      <c r="GTY282" s="445"/>
      <c r="GTZ282" s="414"/>
      <c r="GUC282" s="445"/>
      <c r="GUD282" s="414"/>
      <c r="GUG282" s="445"/>
      <c r="GUH282" s="414"/>
      <c r="GUK282" s="445"/>
      <c r="GUL282" s="414"/>
      <c r="GUO282" s="445"/>
      <c r="GUP282" s="414"/>
      <c r="GUS282" s="445"/>
      <c r="GUT282" s="414"/>
      <c r="GUW282" s="445"/>
      <c r="GUX282" s="414"/>
      <c r="GVA282" s="445"/>
      <c r="GVB282" s="414"/>
      <c r="GVE282" s="445"/>
      <c r="GVF282" s="414"/>
      <c r="GVI282" s="445"/>
      <c r="GVJ282" s="414"/>
      <c r="GVM282" s="445"/>
      <c r="GVN282" s="414"/>
      <c r="GVQ282" s="445"/>
      <c r="GVR282" s="414"/>
      <c r="GVU282" s="445"/>
      <c r="GVV282" s="414"/>
      <c r="GVY282" s="445"/>
      <c r="GVZ282" s="414"/>
      <c r="GWC282" s="445"/>
      <c r="GWD282" s="414"/>
      <c r="GWG282" s="445"/>
      <c r="GWH282" s="414"/>
      <c r="GWK282" s="445"/>
      <c r="GWL282" s="414"/>
      <c r="GWO282" s="445"/>
      <c r="GWP282" s="414"/>
      <c r="GWS282" s="445"/>
      <c r="GWT282" s="414"/>
      <c r="GWW282" s="445"/>
      <c r="GWX282" s="414"/>
      <c r="GXA282" s="445"/>
      <c r="GXB282" s="414"/>
      <c r="GXE282" s="445"/>
      <c r="GXF282" s="414"/>
      <c r="GXI282" s="445"/>
      <c r="GXJ282" s="414"/>
      <c r="GXM282" s="445"/>
      <c r="GXN282" s="414"/>
      <c r="GXQ282" s="445"/>
      <c r="GXR282" s="414"/>
      <c r="GXU282" s="445"/>
      <c r="GXV282" s="414"/>
      <c r="GXY282" s="445"/>
      <c r="GXZ282" s="414"/>
      <c r="GYC282" s="445"/>
      <c r="GYD282" s="414"/>
      <c r="GYG282" s="445"/>
      <c r="GYH282" s="414"/>
      <c r="GYK282" s="445"/>
      <c r="GYL282" s="414"/>
      <c r="GYO282" s="445"/>
      <c r="GYP282" s="414"/>
      <c r="GYS282" s="445"/>
      <c r="GYT282" s="414"/>
      <c r="GYW282" s="445"/>
      <c r="GYX282" s="414"/>
      <c r="GZA282" s="445"/>
      <c r="GZB282" s="414"/>
      <c r="GZE282" s="445"/>
      <c r="GZF282" s="414"/>
      <c r="GZI282" s="445"/>
      <c r="GZJ282" s="414"/>
      <c r="GZM282" s="445"/>
      <c r="GZN282" s="414"/>
      <c r="GZQ282" s="445"/>
      <c r="GZR282" s="414"/>
      <c r="GZU282" s="445"/>
      <c r="GZV282" s="414"/>
      <c r="GZY282" s="445"/>
      <c r="GZZ282" s="414"/>
      <c r="HAC282" s="445"/>
      <c r="HAD282" s="414"/>
      <c r="HAG282" s="445"/>
      <c r="HAH282" s="414"/>
      <c r="HAK282" s="445"/>
      <c r="HAL282" s="414"/>
      <c r="HAO282" s="445"/>
      <c r="HAP282" s="414"/>
      <c r="HAS282" s="445"/>
      <c r="HAT282" s="414"/>
      <c r="HAW282" s="445"/>
      <c r="HAX282" s="414"/>
      <c r="HBA282" s="445"/>
      <c r="HBB282" s="414"/>
      <c r="HBE282" s="445"/>
      <c r="HBF282" s="414"/>
      <c r="HBI282" s="445"/>
      <c r="HBJ282" s="414"/>
      <c r="HBM282" s="445"/>
      <c r="HBN282" s="414"/>
      <c r="HBQ282" s="445"/>
      <c r="HBR282" s="414"/>
      <c r="HBU282" s="445"/>
      <c r="HBV282" s="414"/>
      <c r="HBY282" s="445"/>
      <c r="HBZ282" s="414"/>
      <c r="HCC282" s="445"/>
      <c r="HCD282" s="414"/>
      <c r="HCG282" s="445"/>
      <c r="HCH282" s="414"/>
      <c r="HCK282" s="445"/>
      <c r="HCL282" s="414"/>
      <c r="HCO282" s="445"/>
      <c r="HCP282" s="414"/>
      <c r="HCS282" s="445"/>
      <c r="HCT282" s="414"/>
      <c r="HCW282" s="445"/>
      <c r="HCX282" s="414"/>
      <c r="HDA282" s="445"/>
      <c r="HDB282" s="414"/>
      <c r="HDE282" s="445"/>
      <c r="HDF282" s="414"/>
      <c r="HDI282" s="445"/>
      <c r="HDJ282" s="414"/>
      <c r="HDM282" s="445"/>
      <c r="HDN282" s="414"/>
      <c r="HDQ282" s="445"/>
      <c r="HDR282" s="414"/>
      <c r="HDU282" s="445"/>
      <c r="HDV282" s="414"/>
      <c r="HDY282" s="445"/>
      <c r="HDZ282" s="414"/>
      <c r="HEC282" s="445"/>
      <c r="HED282" s="414"/>
      <c r="HEG282" s="445"/>
      <c r="HEH282" s="414"/>
      <c r="HEK282" s="445"/>
      <c r="HEL282" s="414"/>
      <c r="HEO282" s="445"/>
      <c r="HEP282" s="414"/>
      <c r="HES282" s="445"/>
      <c r="HET282" s="414"/>
      <c r="HEW282" s="445"/>
      <c r="HEX282" s="414"/>
      <c r="HFA282" s="445"/>
      <c r="HFB282" s="414"/>
      <c r="HFE282" s="445"/>
      <c r="HFF282" s="414"/>
      <c r="HFI282" s="445"/>
      <c r="HFJ282" s="414"/>
      <c r="HFM282" s="445"/>
      <c r="HFN282" s="414"/>
      <c r="HFQ282" s="445"/>
      <c r="HFR282" s="414"/>
      <c r="HFU282" s="445"/>
      <c r="HFV282" s="414"/>
      <c r="HFY282" s="445"/>
      <c r="HFZ282" s="414"/>
      <c r="HGC282" s="445"/>
      <c r="HGD282" s="414"/>
      <c r="HGG282" s="445"/>
      <c r="HGH282" s="414"/>
      <c r="HGK282" s="445"/>
      <c r="HGL282" s="414"/>
      <c r="HGO282" s="445"/>
      <c r="HGP282" s="414"/>
      <c r="HGS282" s="445"/>
      <c r="HGT282" s="414"/>
      <c r="HGW282" s="445"/>
      <c r="HGX282" s="414"/>
      <c r="HHA282" s="445"/>
      <c r="HHB282" s="414"/>
      <c r="HHE282" s="445"/>
      <c r="HHF282" s="414"/>
      <c r="HHI282" s="445"/>
      <c r="HHJ282" s="414"/>
      <c r="HHM282" s="445"/>
      <c r="HHN282" s="414"/>
      <c r="HHQ282" s="445"/>
      <c r="HHR282" s="414"/>
      <c r="HHU282" s="445"/>
      <c r="HHV282" s="414"/>
      <c r="HHY282" s="445"/>
      <c r="HHZ282" s="414"/>
      <c r="HIC282" s="445"/>
      <c r="HID282" s="414"/>
      <c r="HIG282" s="445"/>
      <c r="HIH282" s="414"/>
      <c r="HIK282" s="445"/>
      <c r="HIL282" s="414"/>
      <c r="HIO282" s="445"/>
      <c r="HIP282" s="414"/>
      <c r="HIS282" s="445"/>
      <c r="HIT282" s="414"/>
      <c r="HIW282" s="445"/>
      <c r="HIX282" s="414"/>
      <c r="HJA282" s="445"/>
      <c r="HJB282" s="414"/>
      <c r="HJE282" s="445"/>
      <c r="HJF282" s="414"/>
      <c r="HJI282" s="445"/>
      <c r="HJJ282" s="414"/>
      <c r="HJM282" s="445"/>
      <c r="HJN282" s="414"/>
      <c r="HJQ282" s="445"/>
      <c r="HJR282" s="414"/>
      <c r="HJU282" s="445"/>
      <c r="HJV282" s="414"/>
      <c r="HJY282" s="445"/>
      <c r="HJZ282" s="414"/>
      <c r="HKC282" s="445"/>
      <c r="HKD282" s="414"/>
      <c r="HKG282" s="445"/>
      <c r="HKH282" s="414"/>
      <c r="HKK282" s="445"/>
      <c r="HKL282" s="414"/>
      <c r="HKO282" s="445"/>
      <c r="HKP282" s="414"/>
      <c r="HKS282" s="445"/>
      <c r="HKT282" s="414"/>
      <c r="HKW282" s="445"/>
      <c r="HKX282" s="414"/>
      <c r="HLA282" s="445"/>
      <c r="HLB282" s="414"/>
      <c r="HLE282" s="445"/>
      <c r="HLF282" s="414"/>
      <c r="HLI282" s="445"/>
      <c r="HLJ282" s="414"/>
      <c r="HLM282" s="445"/>
      <c r="HLN282" s="414"/>
      <c r="HLQ282" s="445"/>
      <c r="HLR282" s="414"/>
      <c r="HLU282" s="445"/>
      <c r="HLV282" s="414"/>
      <c r="HLY282" s="445"/>
      <c r="HLZ282" s="414"/>
      <c r="HMC282" s="445"/>
      <c r="HMD282" s="414"/>
      <c r="HMG282" s="445"/>
      <c r="HMH282" s="414"/>
      <c r="HMK282" s="445"/>
      <c r="HML282" s="414"/>
      <c r="HMO282" s="445"/>
      <c r="HMP282" s="414"/>
      <c r="HMS282" s="445"/>
      <c r="HMT282" s="414"/>
      <c r="HMW282" s="445"/>
      <c r="HMX282" s="414"/>
      <c r="HNA282" s="445"/>
      <c r="HNB282" s="414"/>
      <c r="HNE282" s="445"/>
      <c r="HNF282" s="414"/>
      <c r="HNI282" s="445"/>
      <c r="HNJ282" s="414"/>
      <c r="HNM282" s="445"/>
      <c r="HNN282" s="414"/>
      <c r="HNQ282" s="445"/>
      <c r="HNR282" s="414"/>
      <c r="HNU282" s="445"/>
      <c r="HNV282" s="414"/>
      <c r="HNY282" s="445"/>
      <c r="HNZ282" s="414"/>
      <c r="HOC282" s="445"/>
      <c r="HOD282" s="414"/>
      <c r="HOG282" s="445"/>
      <c r="HOH282" s="414"/>
      <c r="HOK282" s="445"/>
      <c r="HOL282" s="414"/>
      <c r="HOO282" s="445"/>
      <c r="HOP282" s="414"/>
      <c r="HOS282" s="445"/>
      <c r="HOT282" s="414"/>
      <c r="HOW282" s="445"/>
      <c r="HOX282" s="414"/>
      <c r="HPA282" s="445"/>
      <c r="HPB282" s="414"/>
      <c r="HPE282" s="445"/>
      <c r="HPF282" s="414"/>
      <c r="HPI282" s="445"/>
      <c r="HPJ282" s="414"/>
      <c r="HPM282" s="445"/>
      <c r="HPN282" s="414"/>
      <c r="HPQ282" s="445"/>
      <c r="HPR282" s="414"/>
      <c r="HPU282" s="445"/>
      <c r="HPV282" s="414"/>
      <c r="HPY282" s="445"/>
      <c r="HPZ282" s="414"/>
      <c r="HQC282" s="445"/>
      <c r="HQD282" s="414"/>
      <c r="HQG282" s="445"/>
      <c r="HQH282" s="414"/>
      <c r="HQK282" s="445"/>
      <c r="HQL282" s="414"/>
      <c r="HQO282" s="445"/>
      <c r="HQP282" s="414"/>
      <c r="HQS282" s="445"/>
      <c r="HQT282" s="414"/>
      <c r="HQW282" s="445"/>
      <c r="HQX282" s="414"/>
      <c r="HRA282" s="445"/>
      <c r="HRB282" s="414"/>
      <c r="HRE282" s="445"/>
      <c r="HRF282" s="414"/>
      <c r="HRI282" s="445"/>
      <c r="HRJ282" s="414"/>
      <c r="HRM282" s="445"/>
      <c r="HRN282" s="414"/>
      <c r="HRQ282" s="445"/>
      <c r="HRR282" s="414"/>
      <c r="HRU282" s="445"/>
      <c r="HRV282" s="414"/>
      <c r="HRY282" s="445"/>
      <c r="HRZ282" s="414"/>
      <c r="HSC282" s="445"/>
      <c r="HSD282" s="414"/>
      <c r="HSG282" s="445"/>
      <c r="HSH282" s="414"/>
      <c r="HSK282" s="445"/>
      <c r="HSL282" s="414"/>
      <c r="HSO282" s="445"/>
      <c r="HSP282" s="414"/>
      <c r="HSS282" s="445"/>
      <c r="HST282" s="414"/>
      <c r="HSW282" s="445"/>
      <c r="HSX282" s="414"/>
      <c r="HTA282" s="445"/>
      <c r="HTB282" s="414"/>
      <c r="HTE282" s="445"/>
      <c r="HTF282" s="414"/>
      <c r="HTI282" s="445"/>
      <c r="HTJ282" s="414"/>
      <c r="HTM282" s="445"/>
      <c r="HTN282" s="414"/>
      <c r="HTQ282" s="445"/>
      <c r="HTR282" s="414"/>
      <c r="HTU282" s="445"/>
      <c r="HTV282" s="414"/>
      <c r="HTY282" s="445"/>
      <c r="HTZ282" s="414"/>
      <c r="HUC282" s="445"/>
      <c r="HUD282" s="414"/>
      <c r="HUG282" s="445"/>
      <c r="HUH282" s="414"/>
      <c r="HUK282" s="445"/>
      <c r="HUL282" s="414"/>
      <c r="HUO282" s="445"/>
      <c r="HUP282" s="414"/>
      <c r="HUS282" s="445"/>
      <c r="HUT282" s="414"/>
      <c r="HUW282" s="445"/>
      <c r="HUX282" s="414"/>
      <c r="HVA282" s="445"/>
      <c r="HVB282" s="414"/>
      <c r="HVE282" s="445"/>
      <c r="HVF282" s="414"/>
      <c r="HVI282" s="445"/>
      <c r="HVJ282" s="414"/>
      <c r="HVM282" s="445"/>
      <c r="HVN282" s="414"/>
      <c r="HVQ282" s="445"/>
      <c r="HVR282" s="414"/>
      <c r="HVU282" s="445"/>
      <c r="HVV282" s="414"/>
      <c r="HVY282" s="445"/>
      <c r="HVZ282" s="414"/>
      <c r="HWC282" s="445"/>
      <c r="HWD282" s="414"/>
      <c r="HWG282" s="445"/>
      <c r="HWH282" s="414"/>
      <c r="HWK282" s="445"/>
      <c r="HWL282" s="414"/>
      <c r="HWO282" s="445"/>
      <c r="HWP282" s="414"/>
      <c r="HWS282" s="445"/>
      <c r="HWT282" s="414"/>
      <c r="HWW282" s="445"/>
      <c r="HWX282" s="414"/>
      <c r="HXA282" s="445"/>
      <c r="HXB282" s="414"/>
      <c r="HXE282" s="445"/>
      <c r="HXF282" s="414"/>
      <c r="HXI282" s="445"/>
      <c r="HXJ282" s="414"/>
      <c r="HXM282" s="445"/>
      <c r="HXN282" s="414"/>
      <c r="HXQ282" s="445"/>
      <c r="HXR282" s="414"/>
      <c r="HXU282" s="445"/>
      <c r="HXV282" s="414"/>
      <c r="HXY282" s="445"/>
      <c r="HXZ282" s="414"/>
      <c r="HYC282" s="445"/>
      <c r="HYD282" s="414"/>
      <c r="HYG282" s="445"/>
      <c r="HYH282" s="414"/>
      <c r="HYK282" s="445"/>
      <c r="HYL282" s="414"/>
      <c r="HYO282" s="445"/>
      <c r="HYP282" s="414"/>
      <c r="HYS282" s="445"/>
      <c r="HYT282" s="414"/>
      <c r="HYW282" s="445"/>
      <c r="HYX282" s="414"/>
      <c r="HZA282" s="445"/>
      <c r="HZB282" s="414"/>
      <c r="HZE282" s="445"/>
      <c r="HZF282" s="414"/>
      <c r="HZI282" s="445"/>
      <c r="HZJ282" s="414"/>
      <c r="HZM282" s="445"/>
      <c r="HZN282" s="414"/>
      <c r="HZQ282" s="445"/>
      <c r="HZR282" s="414"/>
      <c r="HZU282" s="445"/>
      <c r="HZV282" s="414"/>
      <c r="HZY282" s="445"/>
      <c r="HZZ282" s="414"/>
      <c r="IAC282" s="445"/>
      <c r="IAD282" s="414"/>
      <c r="IAG282" s="445"/>
      <c r="IAH282" s="414"/>
      <c r="IAK282" s="445"/>
      <c r="IAL282" s="414"/>
      <c r="IAO282" s="445"/>
      <c r="IAP282" s="414"/>
      <c r="IAS282" s="445"/>
      <c r="IAT282" s="414"/>
      <c r="IAW282" s="445"/>
      <c r="IAX282" s="414"/>
      <c r="IBA282" s="445"/>
      <c r="IBB282" s="414"/>
      <c r="IBE282" s="445"/>
      <c r="IBF282" s="414"/>
      <c r="IBI282" s="445"/>
      <c r="IBJ282" s="414"/>
      <c r="IBM282" s="445"/>
      <c r="IBN282" s="414"/>
      <c r="IBQ282" s="445"/>
      <c r="IBR282" s="414"/>
      <c r="IBU282" s="445"/>
      <c r="IBV282" s="414"/>
      <c r="IBY282" s="445"/>
      <c r="IBZ282" s="414"/>
      <c r="ICC282" s="445"/>
      <c r="ICD282" s="414"/>
      <c r="ICG282" s="445"/>
      <c r="ICH282" s="414"/>
      <c r="ICK282" s="445"/>
      <c r="ICL282" s="414"/>
      <c r="ICO282" s="445"/>
      <c r="ICP282" s="414"/>
      <c r="ICS282" s="445"/>
      <c r="ICT282" s="414"/>
      <c r="ICW282" s="445"/>
      <c r="ICX282" s="414"/>
      <c r="IDA282" s="445"/>
      <c r="IDB282" s="414"/>
      <c r="IDE282" s="445"/>
      <c r="IDF282" s="414"/>
      <c r="IDI282" s="445"/>
      <c r="IDJ282" s="414"/>
      <c r="IDM282" s="445"/>
      <c r="IDN282" s="414"/>
      <c r="IDQ282" s="445"/>
      <c r="IDR282" s="414"/>
      <c r="IDU282" s="445"/>
      <c r="IDV282" s="414"/>
      <c r="IDY282" s="445"/>
      <c r="IDZ282" s="414"/>
      <c r="IEC282" s="445"/>
      <c r="IED282" s="414"/>
      <c r="IEG282" s="445"/>
      <c r="IEH282" s="414"/>
      <c r="IEK282" s="445"/>
      <c r="IEL282" s="414"/>
      <c r="IEO282" s="445"/>
      <c r="IEP282" s="414"/>
      <c r="IES282" s="445"/>
      <c r="IET282" s="414"/>
      <c r="IEW282" s="445"/>
      <c r="IEX282" s="414"/>
      <c r="IFA282" s="445"/>
      <c r="IFB282" s="414"/>
      <c r="IFE282" s="445"/>
      <c r="IFF282" s="414"/>
      <c r="IFI282" s="445"/>
      <c r="IFJ282" s="414"/>
      <c r="IFM282" s="445"/>
      <c r="IFN282" s="414"/>
      <c r="IFQ282" s="445"/>
      <c r="IFR282" s="414"/>
      <c r="IFU282" s="445"/>
      <c r="IFV282" s="414"/>
      <c r="IFY282" s="445"/>
      <c r="IFZ282" s="414"/>
      <c r="IGC282" s="445"/>
      <c r="IGD282" s="414"/>
      <c r="IGG282" s="445"/>
      <c r="IGH282" s="414"/>
      <c r="IGK282" s="445"/>
      <c r="IGL282" s="414"/>
      <c r="IGO282" s="445"/>
      <c r="IGP282" s="414"/>
      <c r="IGS282" s="445"/>
      <c r="IGT282" s="414"/>
      <c r="IGW282" s="445"/>
      <c r="IGX282" s="414"/>
      <c r="IHA282" s="445"/>
      <c r="IHB282" s="414"/>
      <c r="IHE282" s="445"/>
      <c r="IHF282" s="414"/>
      <c r="IHI282" s="445"/>
      <c r="IHJ282" s="414"/>
      <c r="IHM282" s="445"/>
      <c r="IHN282" s="414"/>
      <c r="IHQ282" s="445"/>
      <c r="IHR282" s="414"/>
      <c r="IHU282" s="445"/>
      <c r="IHV282" s="414"/>
      <c r="IHY282" s="445"/>
      <c r="IHZ282" s="414"/>
      <c r="IIC282" s="445"/>
      <c r="IID282" s="414"/>
      <c r="IIG282" s="445"/>
      <c r="IIH282" s="414"/>
      <c r="IIK282" s="445"/>
      <c r="IIL282" s="414"/>
      <c r="IIO282" s="445"/>
      <c r="IIP282" s="414"/>
      <c r="IIS282" s="445"/>
      <c r="IIT282" s="414"/>
      <c r="IIW282" s="445"/>
      <c r="IIX282" s="414"/>
      <c r="IJA282" s="445"/>
      <c r="IJB282" s="414"/>
      <c r="IJE282" s="445"/>
      <c r="IJF282" s="414"/>
      <c r="IJI282" s="445"/>
      <c r="IJJ282" s="414"/>
      <c r="IJM282" s="445"/>
      <c r="IJN282" s="414"/>
      <c r="IJQ282" s="445"/>
      <c r="IJR282" s="414"/>
      <c r="IJU282" s="445"/>
      <c r="IJV282" s="414"/>
      <c r="IJY282" s="445"/>
      <c r="IJZ282" s="414"/>
      <c r="IKC282" s="445"/>
      <c r="IKD282" s="414"/>
      <c r="IKG282" s="445"/>
      <c r="IKH282" s="414"/>
      <c r="IKK282" s="445"/>
      <c r="IKL282" s="414"/>
      <c r="IKO282" s="445"/>
      <c r="IKP282" s="414"/>
      <c r="IKS282" s="445"/>
      <c r="IKT282" s="414"/>
      <c r="IKW282" s="445"/>
      <c r="IKX282" s="414"/>
      <c r="ILA282" s="445"/>
      <c r="ILB282" s="414"/>
      <c r="ILE282" s="445"/>
      <c r="ILF282" s="414"/>
      <c r="ILI282" s="445"/>
      <c r="ILJ282" s="414"/>
      <c r="ILM282" s="445"/>
      <c r="ILN282" s="414"/>
      <c r="ILQ282" s="445"/>
      <c r="ILR282" s="414"/>
      <c r="ILU282" s="445"/>
      <c r="ILV282" s="414"/>
      <c r="ILY282" s="445"/>
      <c r="ILZ282" s="414"/>
      <c r="IMC282" s="445"/>
      <c r="IMD282" s="414"/>
      <c r="IMG282" s="445"/>
      <c r="IMH282" s="414"/>
      <c r="IMK282" s="445"/>
      <c r="IML282" s="414"/>
      <c r="IMO282" s="445"/>
      <c r="IMP282" s="414"/>
      <c r="IMS282" s="445"/>
      <c r="IMT282" s="414"/>
      <c r="IMW282" s="445"/>
      <c r="IMX282" s="414"/>
      <c r="INA282" s="445"/>
      <c r="INB282" s="414"/>
      <c r="INE282" s="445"/>
      <c r="INF282" s="414"/>
      <c r="INI282" s="445"/>
      <c r="INJ282" s="414"/>
      <c r="INM282" s="445"/>
      <c r="INN282" s="414"/>
      <c r="INQ282" s="445"/>
      <c r="INR282" s="414"/>
      <c r="INU282" s="445"/>
      <c r="INV282" s="414"/>
      <c r="INY282" s="445"/>
      <c r="INZ282" s="414"/>
      <c r="IOC282" s="445"/>
      <c r="IOD282" s="414"/>
      <c r="IOG282" s="445"/>
      <c r="IOH282" s="414"/>
      <c r="IOK282" s="445"/>
      <c r="IOL282" s="414"/>
      <c r="IOO282" s="445"/>
      <c r="IOP282" s="414"/>
      <c r="IOS282" s="445"/>
      <c r="IOT282" s="414"/>
      <c r="IOW282" s="445"/>
      <c r="IOX282" s="414"/>
      <c r="IPA282" s="445"/>
      <c r="IPB282" s="414"/>
      <c r="IPE282" s="445"/>
      <c r="IPF282" s="414"/>
      <c r="IPI282" s="445"/>
      <c r="IPJ282" s="414"/>
      <c r="IPM282" s="445"/>
      <c r="IPN282" s="414"/>
      <c r="IPQ282" s="445"/>
      <c r="IPR282" s="414"/>
      <c r="IPU282" s="445"/>
      <c r="IPV282" s="414"/>
      <c r="IPY282" s="445"/>
      <c r="IPZ282" s="414"/>
      <c r="IQC282" s="445"/>
      <c r="IQD282" s="414"/>
      <c r="IQG282" s="445"/>
      <c r="IQH282" s="414"/>
      <c r="IQK282" s="445"/>
      <c r="IQL282" s="414"/>
      <c r="IQO282" s="445"/>
      <c r="IQP282" s="414"/>
      <c r="IQS282" s="445"/>
      <c r="IQT282" s="414"/>
      <c r="IQW282" s="445"/>
      <c r="IQX282" s="414"/>
      <c r="IRA282" s="445"/>
      <c r="IRB282" s="414"/>
      <c r="IRE282" s="445"/>
      <c r="IRF282" s="414"/>
      <c r="IRI282" s="445"/>
      <c r="IRJ282" s="414"/>
      <c r="IRM282" s="445"/>
      <c r="IRN282" s="414"/>
      <c r="IRQ282" s="445"/>
      <c r="IRR282" s="414"/>
      <c r="IRU282" s="445"/>
      <c r="IRV282" s="414"/>
      <c r="IRY282" s="445"/>
      <c r="IRZ282" s="414"/>
      <c r="ISC282" s="445"/>
      <c r="ISD282" s="414"/>
      <c r="ISG282" s="445"/>
      <c r="ISH282" s="414"/>
      <c r="ISK282" s="445"/>
      <c r="ISL282" s="414"/>
      <c r="ISO282" s="445"/>
      <c r="ISP282" s="414"/>
      <c r="ISS282" s="445"/>
      <c r="IST282" s="414"/>
      <c r="ISW282" s="445"/>
      <c r="ISX282" s="414"/>
      <c r="ITA282" s="445"/>
      <c r="ITB282" s="414"/>
      <c r="ITE282" s="445"/>
      <c r="ITF282" s="414"/>
      <c r="ITI282" s="445"/>
      <c r="ITJ282" s="414"/>
      <c r="ITM282" s="445"/>
      <c r="ITN282" s="414"/>
      <c r="ITQ282" s="445"/>
      <c r="ITR282" s="414"/>
      <c r="ITU282" s="445"/>
      <c r="ITV282" s="414"/>
      <c r="ITY282" s="445"/>
      <c r="ITZ282" s="414"/>
      <c r="IUC282" s="445"/>
      <c r="IUD282" s="414"/>
      <c r="IUG282" s="445"/>
      <c r="IUH282" s="414"/>
      <c r="IUK282" s="445"/>
      <c r="IUL282" s="414"/>
      <c r="IUO282" s="445"/>
      <c r="IUP282" s="414"/>
      <c r="IUS282" s="445"/>
      <c r="IUT282" s="414"/>
      <c r="IUW282" s="445"/>
      <c r="IUX282" s="414"/>
      <c r="IVA282" s="445"/>
      <c r="IVB282" s="414"/>
      <c r="IVE282" s="445"/>
      <c r="IVF282" s="414"/>
      <c r="IVI282" s="445"/>
      <c r="IVJ282" s="414"/>
      <c r="IVM282" s="445"/>
      <c r="IVN282" s="414"/>
      <c r="IVQ282" s="445"/>
      <c r="IVR282" s="414"/>
      <c r="IVU282" s="445"/>
      <c r="IVV282" s="414"/>
      <c r="IVY282" s="445"/>
      <c r="IVZ282" s="414"/>
      <c r="IWC282" s="445"/>
      <c r="IWD282" s="414"/>
      <c r="IWG282" s="445"/>
      <c r="IWH282" s="414"/>
      <c r="IWK282" s="445"/>
      <c r="IWL282" s="414"/>
      <c r="IWO282" s="445"/>
      <c r="IWP282" s="414"/>
      <c r="IWS282" s="445"/>
      <c r="IWT282" s="414"/>
      <c r="IWW282" s="445"/>
      <c r="IWX282" s="414"/>
      <c r="IXA282" s="445"/>
      <c r="IXB282" s="414"/>
      <c r="IXE282" s="445"/>
      <c r="IXF282" s="414"/>
      <c r="IXI282" s="445"/>
      <c r="IXJ282" s="414"/>
      <c r="IXM282" s="445"/>
      <c r="IXN282" s="414"/>
      <c r="IXQ282" s="445"/>
      <c r="IXR282" s="414"/>
      <c r="IXU282" s="445"/>
      <c r="IXV282" s="414"/>
      <c r="IXY282" s="445"/>
      <c r="IXZ282" s="414"/>
      <c r="IYC282" s="445"/>
      <c r="IYD282" s="414"/>
      <c r="IYG282" s="445"/>
      <c r="IYH282" s="414"/>
      <c r="IYK282" s="445"/>
      <c r="IYL282" s="414"/>
      <c r="IYO282" s="445"/>
      <c r="IYP282" s="414"/>
      <c r="IYS282" s="445"/>
      <c r="IYT282" s="414"/>
      <c r="IYW282" s="445"/>
      <c r="IYX282" s="414"/>
      <c r="IZA282" s="445"/>
      <c r="IZB282" s="414"/>
      <c r="IZE282" s="445"/>
      <c r="IZF282" s="414"/>
      <c r="IZI282" s="445"/>
      <c r="IZJ282" s="414"/>
      <c r="IZM282" s="445"/>
      <c r="IZN282" s="414"/>
      <c r="IZQ282" s="445"/>
      <c r="IZR282" s="414"/>
      <c r="IZU282" s="445"/>
      <c r="IZV282" s="414"/>
      <c r="IZY282" s="445"/>
      <c r="IZZ282" s="414"/>
      <c r="JAC282" s="445"/>
      <c r="JAD282" s="414"/>
      <c r="JAG282" s="445"/>
      <c r="JAH282" s="414"/>
      <c r="JAK282" s="445"/>
      <c r="JAL282" s="414"/>
      <c r="JAO282" s="445"/>
      <c r="JAP282" s="414"/>
      <c r="JAS282" s="445"/>
      <c r="JAT282" s="414"/>
      <c r="JAW282" s="445"/>
      <c r="JAX282" s="414"/>
      <c r="JBA282" s="445"/>
      <c r="JBB282" s="414"/>
      <c r="JBE282" s="445"/>
      <c r="JBF282" s="414"/>
      <c r="JBI282" s="445"/>
      <c r="JBJ282" s="414"/>
      <c r="JBM282" s="445"/>
      <c r="JBN282" s="414"/>
      <c r="JBQ282" s="445"/>
      <c r="JBR282" s="414"/>
      <c r="JBU282" s="445"/>
      <c r="JBV282" s="414"/>
      <c r="JBY282" s="445"/>
      <c r="JBZ282" s="414"/>
      <c r="JCC282" s="445"/>
      <c r="JCD282" s="414"/>
      <c r="JCG282" s="445"/>
      <c r="JCH282" s="414"/>
      <c r="JCK282" s="445"/>
      <c r="JCL282" s="414"/>
      <c r="JCO282" s="445"/>
      <c r="JCP282" s="414"/>
      <c r="JCS282" s="445"/>
      <c r="JCT282" s="414"/>
      <c r="JCW282" s="445"/>
      <c r="JCX282" s="414"/>
      <c r="JDA282" s="445"/>
      <c r="JDB282" s="414"/>
      <c r="JDE282" s="445"/>
      <c r="JDF282" s="414"/>
      <c r="JDI282" s="445"/>
      <c r="JDJ282" s="414"/>
      <c r="JDM282" s="445"/>
      <c r="JDN282" s="414"/>
      <c r="JDQ282" s="445"/>
      <c r="JDR282" s="414"/>
      <c r="JDU282" s="445"/>
      <c r="JDV282" s="414"/>
      <c r="JDY282" s="445"/>
      <c r="JDZ282" s="414"/>
      <c r="JEC282" s="445"/>
      <c r="JED282" s="414"/>
      <c r="JEG282" s="445"/>
      <c r="JEH282" s="414"/>
      <c r="JEK282" s="445"/>
      <c r="JEL282" s="414"/>
      <c r="JEO282" s="445"/>
      <c r="JEP282" s="414"/>
      <c r="JES282" s="445"/>
      <c r="JET282" s="414"/>
      <c r="JEW282" s="445"/>
      <c r="JEX282" s="414"/>
      <c r="JFA282" s="445"/>
      <c r="JFB282" s="414"/>
      <c r="JFE282" s="445"/>
      <c r="JFF282" s="414"/>
      <c r="JFI282" s="445"/>
      <c r="JFJ282" s="414"/>
      <c r="JFM282" s="445"/>
      <c r="JFN282" s="414"/>
      <c r="JFQ282" s="445"/>
      <c r="JFR282" s="414"/>
      <c r="JFU282" s="445"/>
      <c r="JFV282" s="414"/>
      <c r="JFY282" s="445"/>
      <c r="JFZ282" s="414"/>
      <c r="JGC282" s="445"/>
      <c r="JGD282" s="414"/>
      <c r="JGG282" s="445"/>
      <c r="JGH282" s="414"/>
      <c r="JGK282" s="445"/>
      <c r="JGL282" s="414"/>
      <c r="JGO282" s="445"/>
      <c r="JGP282" s="414"/>
      <c r="JGS282" s="445"/>
      <c r="JGT282" s="414"/>
      <c r="JGW282" s="445"/>
      <c r="JGX282" s="414"/>
      <c r="JHA282" s="445"/>
      <c r="JHB282" s="414"/>
      <c r="JHE282" s="445"/>
      <c r="JHF282" s="414"/>
      <c r="JHI282" s="445"/>
      <c r="JHJ282" s="414"/>
      <c r="JHM282" s="445"/>
      <c r="JHN282" s="414"/>
      <c r="JHQ282" s="445"/>
      <c r="JHR282" s="414"/>
      <c r="JHU282" s="445"/>
      <c r="JHV282" s="414"/>
      <c r="JHY282" s="445"/>
      <c r="JHZ282" s="414"/>
      <c r="JIC282" s="445"/>
      <c r="JID282" s="414"/>
      <c r="JIG282" s="445"/>
      <c r="JIH282" s="414"/>
      <c r="JIK282" s="445"/>
      <c r="JIL282" s="414"/>
      <c r="JIO282" s="445"/>
      <c r="JIP282" s="414"/>
      <c r="JIS282" s="445"/>
      <c r="JIT282" s="414"/>
      <c r="JIW282" s="445"/>
      <c r="JIX282" s="414"/>
      <c r="JJA282" s="445"/>
      <c r="JJB282" s="414"/>
      <c r="JJE282" s="445"/>
      <c r="JJF282" s="414"/>
      <c r="JJI282" s="445"/>
      <c r="JJJ282" s="414"/>
      <c r="JJM282" s="445"/>
      <c r="JJN282" s="414"/>
      <c r="JJQ282" s="445"/>
      <c r="JJR282" s="414"/>
      <c r="JJU282" s="445"/>
      <c r="JJV282" s="414"/>
      <c r="JJY282" s="445"/>
      <c r="JJZ282" s="414"/>
      <c r="JKC282" s="445"/>
      <c r="JKD282" s="414"/>
      <c r="JKG282" s="445"/>
      <c r="JKH282" s="414"/>
      <c r="JKK282" s="445"/>
      <c r="JKL282" s="414"/>
      <c r="JKO282" s="445"/>
      <c r="JKP282" s="414"/>
      <c r="JKS282" s="445"/>
      <c r="JKT282" s="414"/>
      <c r="JKW282" s="445"/>
      <c r="JKX282" s="414"/>
      <c r="JLA282" s="445"/>
      <c r="JLB282" s="414"/>
      <c r="JLE282" s="445"/>
      <c r="JLF282" s="414"/>
      <c r="JLI282" s="445"/>
      <c r="JLJ282" s="414"/>
      <c r="JLM282" s="445"/>
      <c r="JLN282" s="414"/>
      <c r="JLQ282" s="445"/>
      <c r="JLR282" s="414"/>
      <c r="JLU282" s="445"/>
      <c r="JLV282" s="414"/>
      <c r="JLY282" s="445"/>
      <c r="JLZ282" s="414"/>
      <c r="JMC282" s="445"/>
      <c r="JMD282" s="414"/>
      <c r="JMG282" s="445"/>
      <c r="JMH282" s="414"/>
      <c r="JMK282" s="445"/>
      <c r="JML282" s="414"/>
      <c r="JMO282" s="445"/>
      <c r="JMP282" s="414"/>
      <c r="JMS282" s="445"/>
      <c r="JMT282" s="414"/>
      <c r="JMW282" s="445"/>
      <c r="JMX282" s="414"/>
      <c r="JNA282" s="445"/>
      <c r="JNB282" s="414"/>
      <c r="JNE282" s="445"/>
      <c r="JNF282" s="414"/>
      <c r="JNI282" s="445"/>
      <c r="JNJ282" s="414"/>
      <c r="JNM282" s="445"/>
      <c r="JNN282" s="414"/>
      <c r="JNQ282" s="445"/>
      <c r="JNR282" s="414"/>
      <c r="JNU282" s="445"/>
      <c r="JNV282" s="414"/>
      <c r="JNY282" s="445"/>
      <c r="JNZ282" s="414"/>
      <c r="JOC282" s="445"/>
      <c r="JOD282" s="414"/>
      <c r="JOG282" s="445"/>
      <c r="JOH282" s="414"/>
      <c r="JOK282" s="445"/>
      <c r="JOL282" s="414"/>
      <c r="JOO282" s="445"/>
      <c r="JOP282" s="414"/>
      <c r="JOS282" s="445"/>
      <c r="JOT282" s="414"/>
      <c r="JOW282" s="445"/>
      <c r="JOX282" s="414"/>
      <c r="JPA282" s="445"/>
      <c r="JPB282" s="414"/>
      <c r="JPE282" s="445"/>
      <c r="JPF282" s="414"/>
      <c r="JPI282" s="445"/>
      <c r="JPJ282" s="414"/>
      <c r="JPM282" s="445"/>
      <c r="JPN282" s="414"/>
      <c r="JPQ282" s="445"/>
      <c r="JPR282" s="414"/>
      <c r="JPU282" s="445"/>
      <c r="JPV282" s="414"/>
      <c r="JPY282" s="445"/>
      <c r="JPZ282" s="414"/>
      <c r="JQC282" s="445"/>
      <c r="JQD282" s="414"/>
      <c r="JQG282" s="445"/>
      <c r="JQH282" s="414"/>
      <c r="JQK282" s="445"/>
      <c r="JQL282" s="414"/>
      <c r="JQO282" s="445"/>
      <c r="JQP282" s="414"/>
      <c r="JQS282" s="445"/>
      <c r="JQT282" s="414"/>
      <c r="JQW282" s="445"/>
      <c r="JQX282" s="414"/>
      <c r="JRA282" s="445"/>
      <c r="JRB282" s="414"/>
      <c r="JRE282" s="445"/>
      <c r="JRF282" s="414"/>
      <c r="JRI282" s="445"/>
      <c r="JRJ282" s="414"/>
      <c r="JRM282" s="445"/>
      <c r="JRN282" s="414"/>
      <c r="JRQ282" s="445"/>
      <c r="JRR282" s="414"/>
      <c r="JRU282" s="445"/>
      <c r="JRV282" s="414"/>
      <c r="JRY282" s="445"/>
      <c r="JRZ282" s="414"/>
      <c r="JSC282" s="445"/>
      <c r="JSD282" s="414"/>
      <c r="JSG282" s="445"/>
      <c r="JSH282" s="414"/>
      <c r="JSK282" s="445"/>
      <c r="JSL282" s="414"/>
      <c r="JSO282" s="445"/>
      <c r="JSP282" s="414"/>
      <c r="JSS282" s="445"/>
      <c r="JST282" s="414"/>
      <c r="JSW282" s="445"/>
      <c r="JSX282" s="414"/>
      <c r="JTA282" s="445"/>
      <c r="JTB282" s="414"/>
      <c r="JTE282" s="445"/>
      <c r="JTF282" s="414"/>
      <c r="JTI282" s="445"/>
      <c r="JTJ282" s="414"/>
      <c r="JTM282" s="445"/>
      <c r="JTN282" s="414"/>
      <c r="JTQ282" s="445"/>
      <c r="JTR282" s="414"/>
      <c r="JTU282" s="445"/>
      <c r="JTV282" s="414"/>
      <c r="JTY282" s="445"/>
      <c r="JTZ282" s="414"/>
      <c r="JUC282" s="445"/>
      <c r="JUD282" s="414"/>
      <c r="JUG282" s="445"/>
      <c r="JUH282" s="414"/>
      <c r="JUK282" s="445"/>
      <c r="JUL282" s="414"/>
      <c r="JUO282" s="445"/>
      <c r="JUP282" s="414"/>
      <c r="JUS282" s="445"/>
      <c r="JUT282" s="414"/>
      <c r="JUW282" s="445"/>
      <c r="JUX282" s="414"/>
      <c r="JVA282" s="445"/>
      <c r="JVB282" s="414"/>
      <c r="JVE282" s="445"/>
      <c r="JVF282" s="414"/>
      <c r="JVI282" s="445"/>
      <c r="JVJ282" s="414"/>
      <c r="JVM282" s="445"/>
      <c r="JVN282" s="414"/>
      <c r="JVQ282" s="445"/>
      <c r="JVR282" s="414"/>
      <c r="JVU282" s="445"/>
      <c r="JVV282" s="414"/>
      <c r="JVY282" s="445"/>
      <c r="JVZ282" s="414"/>
      <c r="JWC282" s="445"/>
      <c r="JWD282" s="414"/>
      <c r="JWG282" s="445"/>
      <c r="JWH282" s="414"/>
      <c r="JWK282" s="445"/>
      <c r="JWL282" s="414"/>
      <c r="JWO282" s="445"/>
      <c r="JWP282" s="414"/>
      <c r="JWS282" s="445"/>
      <c r="JWT282" s="414"/>
      <c r="JWW282" s="445"/>
      <c r="JWX282" s="414"/>
      <c r="JXA282" s="445"/>
      <c r="JXB282" s="414"/>
      <c r="JXE282" s="445"/>
      <c r="JXF282" s="414"/>
      <c r="JXI282" s="445"/>
      <c r="JXJ282" s="414"/>
      <c r="JXM282" s="445"/>
      <c r="JXN282" s="414"/>
      <c r="JXQ282" s="445"/>
      <c r="JXR282" s="414"/>
      <c r="JXU282" s="445"/>
      <c r="JXV282" s="414"/>
      <c r="JXY282" s="445"/>
      <c r="JXZ282" s="414"/>
      <c r="JYC282" s="445"/>
      <c r="JYD282" s="414"/>
      <c r="JYG282" s="445"/>
      <c r="JYH282" s="414"/>
      <c r="JYK282" s="445"/>
      <c r="JYL282" s="414"/>
      <c r="JYO282" s="445"/>
      <c r="JYP282" s="414"/>
      <c r="JYS282" s="445"/>
      <c r="JYT282" s="414"/>
      <c r="JYW282" s="445"/>
      <c r="JYX282" s="414"/>
      <c r="JZA282" s="445"/>
      <c r="JZB282" s="414"/>
      <c r="JZE282" s="445"/>
      <c r="JZF282" s="414"/>
      <c r="JZI282" s="445"/>
      <c r="JZJ282" s="414"/>
      <c r="JZM282" s="445"/>
      <c r="JZN282" s="414"/>
      <c r="JZQ282" s="445"/>
      <c r="JZR282" s="414"/>
      <c r="JZU282" s="445"/>
      <c r="JZV282" s="414"/>
      <c r="JZY282" s="445"/>
      <c r="JZZ282" s="414"/>
      <c r="KAC282" s="445"/>
      <c r="KAD282" s="414"/>
      <c r="KAG282" s="445"/>
      <c r="KAH282" s="414"/>
      <c r="KAK282" s="445"/>
      <c r="KAL282" s="414"/>
      <c r="KAO282" s="445"/>
      <c r="KAP282" s="414"/>
      <c r="KAS282" s="445"/>
      <c r="KAT282" s="414"/>
      <c r="KAW282" s="445"/>
      <c r="KAX282" s="414"/>
      <c r="KBA282" s="445"/>
      <c r="KBB282" s="414"/>
      <c r="KBE282" s="445"/>
      <c r="KBF282" s="414"/>
      <c r="KBI282" s="445"/>
      <c r="KBJ282" s="414"/>
      <c r="KBM282" s="445"/>
      <c r="KBN282" s="414"/>
      <c r="KBQ282" s="445"/>
      <c r="KBR282" s="414"/>
      <c r="KBU282" s="445"/>
      <c r="KBV282" s="414"/>
      <c r="KBY282" s="445"/>
      <c r="KBZ282" s="414"/>
      <c r="KCC282" s="445"/>
      <c r="KCD282" s="414"/>
      <c r="KCG282" s="445"/>
      <c r="KCH282" s="414"/>
      <c r="KCK282" s="445"/>
      <c r="KCL282" s="414"/>
      <c r="KCO282" s="445"/>
      <c r="KCP282" s="414"/>
      <c r="KCS282" s="445"/>
      <c r="KCT282" s="414"/>
      <c r="KCW282" s="445"/>
      <c r="KCX282" s="414"/>
      <c r="KDA282" s="445"/>
      <c r="KDB282" s="414"/>
      <c r="KDE282" s="445"/>
      <c r="KDF282" s="414"/>
      <c r="KDI282" s="445"/>
      <c r="KDJ282" s="414"/>
      <c r="KDM282" s="445"/>
      <c r="KDN282" s="414"/>
      <c r="KDQ282" s="445"/>
      <c r="KDR282" s="414"/>
      <c r="KDU282" s="445"/>
      <c r="KDV282" s="414"/>
      <c r="KDY282" s="445"/>
      <c r="KDZ282" s="414"/>
      <c r="KEC282" s="445"/>
      <c r="KED282" s="414"/>
      <c r="KEG282" s="445"/>
      <c r="KEH282" s="414"/>
      <c r="KEK282" s="445"/>
      <c r="KEL282" s="414"/>
      <c r="KEO282" s="445"/>
      <c r="KEP282" s="414"/>
      <c r="KES282" s="445"/>
      <c r="KET282" s="414"/>
      <c r="KEW282" s="445"/>
      <c r="KEX282" s="414"/>
      <c r="KFA282" s="445"/>
      <c r="KFB282" s="414"/>
      <c r="KFE282" s="445"/>
      <c r="KFF282" s="414"/>
      <c r="KFI282" s="445"/>
      <c r="KFJ282" s="414"/>
      <c r="KFM282" s="445"/>
      <c r="KFN282" s="414"/>
      <c r="KFQ282" s="445"/>
      <c r="KFR282" s="414"/>
      <c r="KFU282" s="445"/>
      <c r="KFV282" s="414"/>
      <c r="KFY282" s="445"/>
      <c r="KFZ282" s="414"/>
      <c r="KGC282" s="445"/>
      <c r="KGD282" s="414"/>
      <c r="KGG282" s="445"/>
      <c r="KGH282" s="414"/>
      <c r="KGK282" s="445"/>
      <c r="KGL282" s="414"/>
      <c r="KGO282" s="445"/>
      <c r="KGP282" s="414"/>
      <c r="KGS282" s="445"/>
      <c r="KGT282" s="414"/>
      <c r="KGW282" s="445"/>
      <c r="KGX282" s="414"/>
      <c r="KHA282" s="445"/>
      <c r="KHB282" s="414"/>
      <c r="KHE282" s="445"/>
      <c r="KHF282" s="414"/>
      <c r="KHI282" s="445"/>
      <c r="KHJ282" s="414"/>
      <c r="KHM282" s="445"/>
      <c r="KHN282" s="414"/>
      <c r="KHQ282" s="445"/>
      <c r="KHR282" s="414"/>
      <c r="KHU282" s="445"/>
      <c r="KHV282" s="414"/>
      <c r="KHY282" s="445"/>
      <c r="KHZ282" s="414"/>
      <c r="KIC282" s="445"/>
      <c r="KID282" s="414"/>
      <c r="KIG282" s="445"/>
      <c r="KIH282" s="414"/>
      <c r="KIK282" s="445"/>
      <c r="KIL282" s="414"/>
      <c r="KIO282" s="445"/>
      <c r="KIP282" s="414"/>
      <c r="KIS282" s="445"/>
      <c r="KIT282" s="414"/>
      <c r="KIW282" s="445"/>
      <c r="KIX282" s="414"/>
      <c r="KJA282" s="445"/>
      <c r="KJB282" s="414"/>
      <c r="KJE282" s="445"/>
      <c r="KJF282" s="414"/>
      <c r="KJI282" s="445"/>
      <c r="KJJ282" s="414"/>
      <c r="KJM282" s="445"/>
      <c r="KJN282" s="414"/>
      <c r="KJQ282" s="445"/>
      <c r="KJR282" s="414"/>
      <c r="KJU282" s="445"/>
      <c r="KJV282" s="414"/>
      <c r="KJY282" s="445"/>
      <c r="KJZ282" s="414"/>
      <c r="KKC282" s="445"/>
      <c r="KKD282" s="414"/>
      <c r="KKG282" s="445"/>
      <c r="KKH282" s="414"/>
      <c r="KKK282" s="445"/>
      <c r="KKL282" s="414"/>
      <c r="KKO282" s="445"/>
      <c r="KKP282" s="414"/>
      <c r="KKS282" s="445"/>
      <c r="KKT282" s="414"/>
      <c r="KKW282" s="445"/>
      <c r="KKX282" s="414"/>
      <c r="KLA282" s="445"/>
      <c r="KLB282" s="414"/>
      <c r="KLE282" s="445"/>
      <c r="KLF282" s="414"/>
      <c r="KLI282" s="445"/>
      <c r="KLJ282" s="414"/>
      <c r="KLM282" s="445"/>
      <c r="KLN282" s="414"/>
      <c r="KLQ282" s="445"/>
      <c r="KLR282" s="414"/>
      <c r="KLU282" s="445"/>
      <c r="KLV282" s="414"/>
      <c r="KLY282" s="445"/>
      <c r="KLZ282" s="414"/>
      <c r="KMC282" s="445"/>
      <c r="KMD282" s="414"/>
      <c r="KMG282" s="445"/>
      <c r="KMH282" s="414"/>
      <c r="KMK282" s="445"/>
      <c r="KML282" s="414"/>
      <c r="KMO282" s="445"/>
      <c r="KMP282" s="414"/>
      <c r="KMS282" s="445"/>
      <c r="KMT282" s="414"/>
      <c r="KMW282" s="445"/>
      <c r="KMX282" s="414"/>
      <c r="KNA282" s="445"/>
      <c r="KNB282" s="414"/>
      <c r="KNE282" s="445"/>
      <c r="KNF282" s="414"/>
      <c r="KNI282" s="445"/>
      <c r="KNJ282" s="414"/>
      <c r="KNM282" s="445"/>
      <c r="KNN282" s="414"/>
      <c r="KNQ282" s="445"/>
      <c r="KNR282" s="414"/>
      <c r="KNU282" s="445"/>
      <c r="KNV282" s="414"/>
      <c r="KNY282" s="445"/>
      <c r="KNZ282" s="414"/>
      <c r="KOC282" s="445"/>
      <c r="KOD282" s="414"/>
      <c r="KOG282" s="445"/>
      <c r="KOH282" s="414"/>
      <c r="KOK282" s="445"/>
      <c r="KOL282" s="414"/>
      <c r="KOO282" s="445"/>
      <c r="KOP282" s="414"/>
      <c r="KOS282" s="445"/>
      <c r="KOT282" s="414"/>
      <c r="KOW282" s="445"/>
      <c r="KOX282" s="414"/>
      <c r="KPA282" s="445"/>
      <c r="KPB282" s="414"/>
      <c r="KPE282" s="445"/>
      <c r="KPF282" s="414"/>
      <c r="KPI282" s="445"/>
      <c r="KPJ282" s="414"/>
      <c r="KPM282" s="445"/>
      <c r="KPN282" s="414"/>
      <c r="KPQ282" s="445"/>
      <c r="KPR282" s="414"/>
      <c r="KPU282" s="445"/>
      <c r="KPV282" s="414"/>
      <c r="KPY282" s="445"/>
      <c r="KPZ282" s="414"/>
      <c r="KQC282" s="445"/>
      <c r="KQD282" s="414"/>
      <c r="KQG282" s="445"/>
      <c r="KQH282" s="414"/>
      <c r="KQK282" s="445"/>
      <c r="KQL282" s="414"/>
      <c r="KQO282" s="445"/>
      <c r="KQP282" s="414"/>
      <c r="KQS282" s="445"/>
      <c r="KQT282" s="414"/>
      <c r="KQW282" s="445"/>
      <c r="KQX282" s="414"/>
      <c r="KRA282" s="445"/>
      <c r="KRB282" s="414"/>
      <c r="KRE282" s="445"/>
      <c r="KRF282" s="414"/>
      <c r="KRI282" s="445"/>
      <c r="KRJ282" s="414"/>
      <c r="KRM282" s="445"/>
      <c r="KRN282" s="414"/>
      <c r="KRQ282" s="445"/>
      <c r="KRR282" s="414"/>
      <c r="KRU282" s="445"/>
      <c r="KRV282" s="414"/>
      <c r="KRY282" s="445"/>
      <c r="KRZ282" s="414"/>
      <c r="KSC282" s="445"/>
      <c r="KSD282" s="414"/>
      <c r="KSG282" s="445"/>
      <c r="KSH282" s="414"/>
      <c r="KSK282" s="445"/>
      <c r="KSL282" s="414"/>
      <c r="KSO282" s="445"/>
      <c r="KSP282" s="414"/>
      <c r="KSS282" s="445"/>
      <c r="KST282" s="414"/>
      <c r="KSW282" s="445"/>
      <c r="KSX282" s="414"/>
      <c r="KTA282" s="445"/>
      <c r="KTB282" s="414"/>
      <c r="KTE282" s="445"/>
      <c r="KTF282" s="414"/>
      <c r="KTI282" s="445"/>
      <c r="KTJ282" s="414"/>
      <c r="KTM282" s="445"/>
      <c r="KTN282" s="414"/>
      <c r="KTQ282" s="445"/>
      <c r="KTR282" s="414"/>
      <c r="KTU282" s="445"/>
      <c r="KTV282" s="414"/>
      <c r="KTY282" s="445"/>
      <c r="KTZ282" s="414"/>
      <c r="KUC282" s="445"/>
      <c r="KUD282" s="414"/>
      <c r="KUG282" s="445"/>
      <c r="KUH282" s="414"/>
      <c r="KUK282" s="445"/>
      <c r="KUL282" s="414"/>
      <c r="KUO282" s="445"/>
      <c r="KUP282" s="414"/>
      <c r="KUS282" s="445"/>
      <c r="KUT282" s="414"/>
      <c r="KUW282" s="445"/>
      <c r="KUX282" s="414"/>
      <c r="KVA282" s="445"/>
      <c r="KVB282" s="414"/>
      <c r="KVE282" s="445"/>
      <c r="KVF282" s="414"/>
      <c r="KVI282" s="445"/>
      <c r="KVJ282" s="414"/>
      <c r="KVM282" s="445"/>
      <c r="KVN282" s="414"/>
      <c r="KVQ282" s="445"/>
      <c r="KVR282" s="414"/>
      <c r="KVU282" s="445"/>
      <c r="KVV282" s="414"/>
      <c r="KVY282" s="445"/>
      <c r="KVZ282" s="414"/>
      <c r="KWC282" s="445"/>
      <c r="KWD282" s="414"/>
      <c r="KWG282" s="445"/>
      <c r="KWH282" s="414"/>
      <c r="KWK282" s="445"/>
      <c r="KWL282" s="414"/>
      <c r="KWO282" s="445"/>
      <c r="KWP282" s="414"/>
      <c r="KWS282" s="445"/>
      <c r="KWT282" s="414"/>
      <c r="KWW282" s="445"/>
      <c r="KWX282" s="414"/>
      <c r="KXA282" s="445"/>
      <c r="KXB282" s="414"/>
      <c r="KXE282" s="445"/>
      <c r="KXF282" s="414"/>
      <c r="KXI282" s="445"/>
      <c r="KXJ282" s="414"/>
      <c r="KXM282" s="445"/>
      <c r="KXN282" s="414"/>
      <c r="KXQ282" s="445"/>
      <c r="KXR282" s="414"/>
      <c r="KXU282" s="445"/>
      <c r="KXV282" s="414"/>
      <c r="KXY282" s="445"/>
      <c r="KXZ282" s="414"/>
      <c r="KYC282" s="445"/>
      <c r="KYD282" s="414"/>
      <c r="KYG282" s="445"/>
      <c r="KYH282" s="414"/>
      <c r="KYK282" s="445"/>
      <c r="KYL282" s="414"/>
      <c r="KYO282" s="445"/>
      <c r="KYP282" s="414"/>
      <c r="KYS282" s="445"/>
      <c r="KYT282" s="414"/>
      <c r="KYW282" s="445"/>
      <c r="KYX282" s="414"/>
      <c r="KZA282" s="445"/>
      <c r="KZB282" s="414"/>
      <c r="KZE282" s="445"/>
      <c r="KZF282" s="414"/>
      <c r="KZI282" s="445"/>
      <c r="KZJ282" s="414"/>
      <c r="KZM282" s="445"/>
      <c r="KZN282" s="414"/>
      <c r="KZQ282" s="445"/>
      <c r="KZR282" s="414"/>
      <c r="KZU282" s="445"/>
      <c r="KZV282" s="414"/>
      <c r="KZY282" s="445"/>
      <c r="KZZ282" s="414"/>
      <c r="LAC282" s="445"/>
      <c r="LAD282" s="414"/>
      <c r="LAG282" s="445"/>
      <c r="LAH282" s="414"/>
      <c r="LAK282" s="445"/>
      <c r="LAL282" s="414"/>
      <c r="LAO282" s="445"/>
      <c r="LAP282" s="414"/>
      <c r="LAS282" s="445"/>
      <c r="LAT282" s="414"/>
      <c r="LAW282" s="445"/>
      <c r="LAX282" s="414"/>
      <c r="LBA282" s="445"/>
      <c r="LBB282" s="414"/>
      <c r="LBE282" s="445"/>
      <c r="LBF282" s="414"/>
      <c r="LBI282" s="445"/>
      <c r="LBJ282" s="414"/>
      <c r="LBM282" s="445"/>
      <c r="LBN282" s="414"/>
      <c r="LBQ282" s="445"/>
      <c r="LBR282" s="414"/>
      <c r="LBU282" s="445"/>
      <c r="LBV282" s="414"/>
      <c r="LBY282" s="445"/>
      <c r="LBZ282" s="414"/>
      <c r="LCC282" s="445"/>
      <c r="LCD282" s="414"/>
      <c r="LCG282" s="445"/>
      <c r="LCH282" s="414"/>
      <c r="LCK282" s="445"/>
      <c r="LCL282" s="414"/>
      <c r="LCO282" s="445"/>
      <c r="LCP282" s="414"/>
      <c r="LCS282" s="445"/>
      <c r="LCT282" s="414"/>
      <c r="LCW282" s="445"/>
      <c r="LCX282" s="414"/>
      <c r="LDA282" s="445"/>
      <c r="LDB282" s="414"/>
      <c r="LDE282" s="445"/>
      <c r="LDF282" s="414"/>
      <c r="LDI282" s="445"/>
      <c r="LDJ282" s="414"/>
      <c r="LDM282" s="445"/>
      <c r="LDN282" s="414"/>
      <c r="LDQ282" s="445"/>
      <c r="LDR282" s="414"/>
      <c r="LDU282" s="445"/>
      <c r="LDV282" s="414"/>
      <c r="LDY282" s="445"/>
      <c r="LDZ282" s="414"/>
      <c r="LEC282" s="445"/>
      <c r="LED282" s="414"/>
      <c r="LEG282" s="445"/>
      <c r="LEH282" s="414"/>
      <c r="LEK282" s="445"/>
      <c r="LEL282" s="414"/>
      <c r="LEO282" s="445"/>
      <c r="LEP282" s="414"/>
      <c r="LES282" s="445"/>
      <c r="LET282" s="414"/>
      <c r="LEW282" s="445"/>
      <c r="LEX282" s="414"/>
      <c r="LFA282" s="445"/>
      <c r="LFB282" s="414"/>
      <c r="LFE282" s="445"/>
      <c r="LFF282" s="414"/>
      <c r="LFI282" s="445"/>
      <c r="LFJ282" s="414"/>
      <c r="LFM282" s="445"/>
      <c r="LFN282" s="414"/>
      <c r="LFQ282" s="445"/>
      <c r="LFR282" s="414"/>
      <c r="LFU282" s="445"/>
      <c r="LFV282" s="414"/>
      <c r="LFY282" s="445"/>
      <c r="LFZ282" s="414"/>
      <c r="LGC282" s="445"/>
      <c r="LGD282" s="414"/>
      <c r="LGG282" s="445"/>
      <c r="LGH282" s="414"/>
      <c r="LGK282" s="445"/>
      <c r="LGL282" s="414"/>
      <c r="LGO282" s="445"/>
      <c r="LGP282" s="414"/>
      <c r="LGS282" s="445"/>
      <c r="LGT282" s="414"/>
      <c r="LGW282" s="445"/>
      <c r="LGX282" s="414"/>
      <c r="LHA282" s="445"/>
      <c r="LHB282" s="414"/>
      <c r="LHE282" s="445"/>
      <c r="LHF282" s="414"/>
      <c r="LHI282" s="445"/>
      <c r="LHJ282" s="414"/>
      <c r="LHM282" s="445"/>
      <c r="LHN282" s="414"/>
      <c r="LHQ282" s="445"/>
      <c r="LHR282" s="414"/>
      <c r="LHU282" s="445"/>
      <c r="LHV282" s="414"/>
      <c r="LHY282" s="445"/>
      <c r="LHZ282" s="414"/>
      <c r="LIC282" s="445"/>
      <c r="LID282" s="414"/>
      <c r="LIG282" s="445"/>
      <c r="LIH282" s="414"/>
      <c r="LIK282" s="445"/>
      <c r="LIL282" s="414"/>
      <c r="LIO282" s="445"/>
      <c r="LIP282" s="414"/>
      <c r="LIS282" s="445"/>
      <c r="LIT282" s="414"/>
      <c r="LIW282" s="445"/>
      <c r="LIX282" s="414"/>
      <c r="LJA282" s="445"/>
      <c r="LJB282" s="414"/>
      <c r="LJE282" s="445"/>
      <c r="LJF282" s="414"/>
      <c r="LJI282" s="445"/>
      <c r="LJJ282" s="414"/>
      <c r="LJM282" s="445"/>
      <c r="LJN282" s="414"/>
      <c r="LJQ282" s="445"/>
      <c r="LJR282" s="414"/>
      <c r="LJU282" s="445"/>
      <c r="LJV282" s="414"/>
      <c r="LJY282" s="445"/>
      <c r="LJZ282" s="414"/>
      <c r="LKC282" s="445"/>
      <c r="LKD282" s="414"/>
      <c r="LKG282" s="445"/>
      <c r="LKH282" s="414"/>
      <c r="LKK282" s="445"/>
      <c r="LKL282" s="414"/>
      <c r="LKO282" s="445"/>
      <c r="LKP282" s="414"/>
      <c r="LKS282" s="445"/>
      <c r="LKT282" s="414"/>
      <c r="LKW282" s="445"/>
      <c r="LKX282" s="414"/>
      <c r="LLA282" s="445"/>
      <c r="LLB282" s="414"/>
      <c r="LLE282" s="445"/>
      <c r="LLF282" s="414"/>
      <c r="LLI282" s="445"/>
      <c r="LLJ282" s="414"/>
      <c r="LLM282" s="445"/>
      <c r="LLN282" s="414"/>
      <c r="LLQ282" s="445"/>
      <c r="LLR282" s="414"/>
      <c r="LLU282" s="445"/>
      <c r="LLV282" s="414"/>
      <c r="LLY282" s="445"/>
      <c r="LLZ282" s="414"/>
      <c r="LMC282" s="445"/>
      <c r="LMD282" s="414"/>
      <c r="LMG282" s="445"/>
      <c r="LMH282" s="414"/>
      <c r="LMK282" s="445"/>
      <c r="LML282" s="414"/>
      <c r="LMO282" s="445"/>
      <c r="LMP282" s="414"/>
      <c r="LMS282" s="445"/>
      <c r="LMT282" s="414"/>
      <c r="LMW282" s="445"/>
      <c r="LMX282" s="414"/>
      <c r="LNA282" s="445"/>
      <c r="LNB282" s="414"/>
      <c r="LNE282" s="445"/>
      <c r="LNF282" s="414"/>
      <c r="LNI282" s="445"/>
      <c r="LNJ282" s="414"/>
      <c r="LNM282" s="445"/>
      <c r="LNN282" s="414"/>
      <c r="LNQ282" s="445"/>
      <c r="LNR282" s="414"/>
      <c r="LNU282" s="445"/>
      <c r="LNV282" s="414"/>
      <c r="LNY282" s="445"/>
      <c r="LNZ282" s="414"/>
      <c r="LOC282" s="445"/>
      <c r="LOD282" s="414"/>
      <c r="LOG282" s="445"/>
      <c r="LOH282" s="414"/>
      <c r="LOK282" s="445"/>
      <c r="LOL282" s="414"/>
      <c r="LOO282" s="445"/>
      <c r="LOP282" s="414"/>
      <c r="LOS282" s="445"/>
      <c r="LOT282" s="414"/>
      <c r="LOW282" s="445"/>
      <c r="LOX282" s="414"/>
      <c r="LPA282" s="445"/>
      <c r="LPB282" s="414"/>
      <c r="LPE282" s="445"/>
      <c r="LPF282" s="414"/>
      <c r="LPI282" s="445"/>
      <c r="LPJ282" s="414"/>
      <c r="LPM282" s="445"/>
      <c r="LPN282" s="414"/>
      <c r="LPQ282" s="445"/>
      <c r="LPR282" s="414"/>
      <c r="LPU282" s="445"/>
      <c r="LPV282" s="414"/>
      <c r="LPY282" s="445"/>
      <c r="LPZ282" s="414"/>
      <c r="LQC282" s="445"/>
      <c r="LQD282" s="414"/>
      <c r="LQG282" s="445"/>
      <c r="LQH282" s="414"/>
      <c r="LQK282" s="445"/>
      <c r="LQL282" s="414"/>
      <c r="LQO282" s="445"/>
      <c r="LQP282" s="414"/>
      <c r="LQS282" s="445"/>
      <c r="LQT282" s="414"/>
      <c r="LQW282" s="445"/>
      <c r="LQX282" s="414"/>
      <c r="LRA282" s="445"/>
      <c r="LRB282" s="414"/>
      <c r="LRE282" s="445"/>
      <c r="LRF282" s="414"/>
      <c r="LRI282" s="445"/>
      <c r="LRJ282" s="414"/>
      <c r="LRM282" s="445"/>
      <c r="LRN282" s="414"/>
      <c r="LRQ282" s="445"/>
      <c r="LRR282" s="414"/>
      <c r="LRU282" s="445"/>
      <c r="LRV282" s="414"/>
      <c r="LRY282" s="445"/>
      <c r="LRZ282" s="414"/>
      <c r="LSC282" s="445"/>
      <c r="LSD282" s="414"/>
      <c r="LSG282" s="445"/>
      <c r="LSH282" s="414"/>
      <c r="LSK282" s="445"/>
      <c r="LSL282" s="414"/>
      <c r="LSO282" s="445"/>
      <c r="LSP282" s="414"/>
      <c r="LSS282" s="445"/>
      <c r="LST282" s="414"/>
      <c r="LSW282" s="445"/>
      <c r="LSX282" s="414"/>
      <c r="LTA282" s="445"/>
      <c r="LTB282" s="414"/>
      <c r="LTE282" s="445"/>
      <c r="LTF282" s="414"/>
      <c r="LTI282" s="445"/>
      <c r="LTJ282" s="414"/>
      <c r="LTM282" s="445"/>
      <c r="LTN282" s="414"/>
      <c r="LTQ282" s="445"/>
      <c r="LTR282" s="414"/>
      <c r="LTU282" s="445"/>
      <c r="LTV282" s="414"/>
      <c r="LTY282" s="445"/>
      <c r="LTZ282" s="414"/>
      <c r="LUC282" s="445"/>
      <c r="LUD282" s="414"/>
      <c r="LUG282" s="445"/>
      <c r="LUH282" s="414"/>
      <c r="LUK282" s="445"/>
      <c r="LUL282" s="414"/>
      <c r="LUO282" s="445"/>
      <c r="LUP282" s="414"/>
      <c r="LUS282" s="445"/>
      <c r="LUT282" s="414"/>
      <c r="LUW282" s="445"/>
      <c r="LUX282" s="414"/>
      <c r="LVA282" s="445"/>
      <c r="LVB282" s="414"/>
      <c r="LVE282" s="445"/>
      <c r="LVF282" s="414"/>
      <c r="LVI282" s="445"/>
      <c r="LVJ282" s="414"/>
      <c r="LVM282" s="445"/>
      <c r="LVN282" s="414"/>
      <c r="LVQ282" s="445"/>
      <c r="LVR282" s="414"/>
      <c r="LVU282" s="445"/>
      <c r="LVV282" s="414"/>
      <c r="LVY282" s="445"/>
      <c r="LVZ282" s="414"/>
      <c r="LWC282" s="445"/>
      <c r="LWD282" s="414"/>
      <c r="LWG282" s="445"/>
      <c r="LWH282" s="414"/>
      <c r="LWK282" s="445"/>
      <c r="LWL282" s="414"/>
      <c r="LWO282" s="445"/>
      <c r="LWP282" s="414"/>
      <c r="LWS282" s="445"/>
      <c r="LWT282" s="414"/>
      <c r="LWW282" s="445"/>
      <c r="LWX282" s="414"/>
      <c r="LXA282" s="445"/>
      <c r="LXB282" s="414"/>
      <c r="LXE282" s="445"/>
      <c r="LXF282" s="414"/>
      <c r="LXI282" s="445"/>
      <c r="LXJ282" s="414"/>
      <c r="LXM282" s="445"/>
      <c r="LXN282" s="414"/>
      <c r="LXQ282" s="445"/>
      <c r="LXR282" s="414"/>
      <c r="LXU282" s="445"/>
      <c r="LXV282" s="414"/>
      <c r="LXY282" s="445"/>
      <c r="LXZ282" s="414"/>
      <c r="LYC282" s="445"/>
      <c r="LYD282" s="414"/>
      <c r="LYG282" s="445"/>
      <c r="LYH282" s="414"/>
      <c r="LYK282" s="445"/>
      <c r="LYL282" s="414"/>
      <c r="LYO282" s="445"/>
      <c r="LYP282" s="414"/>
      <c r="LYS282" s="445"/>
      <c r="LYT282" s="414"/>
      <c r="LYW282" s="445"/>
      <c r="LYX282" s="414"/>
      <c r="LZA282" s="445"/>
      <c r="LZB282" s="414"/>
      <c r="LZE282" s="445"/>
      <c r="LZF282" s="414"/>
      <c r="LZI282" s="445"/>
      <c r="LZJ282" s="414"/>
      <c r="LZM282" s="445"/>
      <c r="LZN282" s="414"/>
      <c r="LZQ282" s="445"/>
      <c r="LZR282" s="414"/>
      <c r="LZU282" s="445"/>
      <c r="LZV282" s="414"/>
      <c r="LZY282" s="445"/>
      <c r="LZZ282" s="414"/>
      <c r="MAC282" s="445"/>
      <c r="MAD282" s="414"/>
      <c r="MAG282" s="445"/>
      <c r="MAH282" s="414"/>
      <c r="MAK282" s="445"/>
      <c r="MAL282" s="414"/>
      <c r="MAO282" s="445"/>
      <c r="MAP282" s="414"/>
      <c r="MAS282" s="445"/>
      <c r="MAT282" s="414"/>
      <c r="MAW282" s="445"/>
      <c r="MAX282" s="414"/>
      <c r="MBA282" s="445"/>
      <c r="MBB282" s="414"/>
      <c r="MBE282" s="445"/>
      <c r="MBF282" s="414"/>
      <c r="MBI282" s="445"/>
      <c r="MBJ282" s="414"/>
      <c r="MBM282" s="445"/>
      <c r="MBN282" s="414"/>
      <c r="MBQ282" s="445"/>
      <c r="MBR282" s="414"/>
      <c r="MBU282" s="445"/>
      <c r="MBV282" s="414"/>
      <c r="MBY282" s="445"/>
      <c r="MBZ282" s="414"/>
      <c r="MCC282" s="445"/>
      <c r="MCD282" s="414"/>
      <c r="MCG282" s="445"/>
      <c r="MCH282" s="414"/>
      <c r="MCK282" s="445"/>
      <c r="MCL282" s="414"/>
      <c r="MCO282" s="445"/>
      <c r="MCP282" s="414"/>
      <c r="MCS282" s="445"/>
      <c r="MCT282" s="414"/>
      <c r="MCW282" s="445"/>
      <c r="MCX282" s="414"/>
      <c r="MDA282" s="445"/>
      <c r="MDB282" s="414"/>
      <c r="MDE282" s="445"/>
      <c r="MDF282" s="414"/>
      <c r="MDI282" s="445"/>
      <c r="MDJ282" s="414"/>
      <c r="MDM282" s="445"/>
      <c r="MDN282" s="414"/>
      <c r="MDQ282" s="445"/>
      <c r="MDR282" s="414"/>
      <c r="MDU282" s="445"/>
      <c r="MDV282" s="414"/>
      <c r="MDY282" s="445"/>
      <c r="MDZ282" s="414"/>
      <c r="MEC282" s="445"/>
      <c r="MED282" s="414"/>
      <c r="MEG282" s="445"/>
      <c r="MEH282" s="414"/>
      <c r="MEK282" s="445"/>
      <c r="MEL282" s="414"/>
      <c r="MEO282" s="445"/>
      <c r="MEP282" s="414"/>
      <c r="MES282" s="445"/>
      <c r="MET282" s="414"/>
      <c r="MEW282" s="445"/>
      <c r="MEX282" s="414"/>
      <c r="MFA282" s="445"/>
      <c r="MFB282" s="414"/>
      <c r="MFE282" s="445"/>
      <c r="MFF282" s="414"/>
      <c r="MFI282" s="445"/>
      <c r="MFJ282" s="414"/>
      <c r="MFM282" s="445"/>
      <c r="MFN282" s="414"/>
      <c r="MFQ282" s="445"/>
      <c r="MFR282" s="414"/>
      <c r="MFU282" s="445"/>
      <c r="MFV282" s="414"/>
      <c r="MFY282" s="445"/>
      <c r="MFZ282" s="414"/>
      <c r="MGC282" s="445"/>
      <c r="MGD282" s="414"/>
      <c r="MGG282" s="445"/>
      <c r="MGH282" s="414"/>
      <c r="MGK282" s="445"/>
      <c r="MGL282" s="414"/>
      <c r="MGO282" s="445"/>
      <c r="MGP282" s="414"/>
      <c r="MGS282" s="445"/>
      <c r="MGT282" s="414"/>
      <c r="MGW282" s="445"/>
      <c r="MGX282" s="414"/>
      <c r="MHA282" s="445"/>
      <c r="MHB282" s="414"/>
      <c r="MHE282" s="445"/>
      <c r="MHF282" s="414"/>
      <c r="MHI282" s="445"/>
      <c r="MHJ282" s="414"/>
      <c r="MHM282" s="445"/>
      <c r="MHN282" s="414"/>
      <c r="MHQ282" s="445"/>
      <c r="MHR282" s="414"/>
      <c r="MHU282" s="445"/>
      <c r="MHV282" s="414"/>
      <c r="MHY282" s="445"/>
      <c r="MHZ282" s="414"/>
      <c r="MIC282" s="445"/>
      <c r="MID282" s="414"/>
      <c r="MIG282" s="445"/>
      <c r="MIH282" s="414"/>
      <c r="MIK282" s="445"/>
      <c r="MIL282" s="414"/>
      <c r="MIO282" s="445"/>
      <c r="MIP282" s="414"/>
      <c r="MIS282" s="445"/>
      <c r="MIT282" s="414"/>
      <c r="MIW282" s="445"/>
      <c r="MIX282" s="414"/>
      <c r="MJA282" s="445"/>
      <c r="MJB282" s="414"/>
      <c r="MJE282" s="445"/>
      <c r="MJF282" s="414"/>
      <c r="MJI282" s="445"/>
      <c r="MJJ282" s="414"/>
      <c r="MJM282" s="445"/>
      <c r="MJN282" s="414"/>
      <c r="MJQ282" s="445"/>
      <c r="MJR282" s="414"/>
      <c r="MJU282" s="445"/>
      <c r="MJV282" s="414"/>
      <c r="MJY282" s="445"/>
      <c r="MJZ282" s="414"/>
      <c r="MKC282" s="445"/>
      <c r="MKD282" s="414"/>
      <c r="MKG282" s="445"/>
      <c r="MKH282" s="414"/>
      <c r="MKK282" s="445"/>
      <c r="MKL282" s="414"/>
      <c r="MKO282" s="445"/>
      <c r="MKP282" s="414"/>
      <c r="MKS282" s="445"/>
      <c r="MKT282" s="414"/>
      <c r="MKW282" s="445"/>
      <c r="MKX282" s="414"/>
      <c r="MLA282" s="445"/>
      <c r="MLB282" s="414"/>
      <c r="MLE282" s="445"/>
      <c r="MLF282" s="414"/>
      <c r="MLI282" s="445"/>
      <c r="MLJ282" s="414"/>
      <c r="MLM282" s="445"/>
      <c r="MLN282" s="414"/>
      <c r="MLQ282" s="445"/>
      <c r="MLR282" s="414"/>
      <c r="MLU282" s="445"/>
      <c r="MLV282" s="414"/>
      <c r="MLY282" s="445"/>
      <c r="MLZ282" s="414"/>
      <c r="MMC282" s="445"/>
      <c r="MMD282" s="414"/>
      <c r="MMG282" s="445"/>
      <c r="MMH282" s="414"/>
      <c r="MMK282" s="445"/>
      <c r="MML282" s="414"/>
      <c r="MMO282" s="445"/>
      <c r="MMP282" s="414"/>
      <c r="MMS282" s="445"/>
      <c r="MMT282" s="414"/>
      <c r="MMW282" s="445"/>
      <c r="MMX282" s="414"/>
      <c r="MNA282" s="445"/>
      <c r="MNB282" s="414"/>
      <c r="MNE282" s="445"/>
      <c r="MNF282" s="414"/>
      <c r="MNI282" s="445"/>
      <c r="MNJ282" s="414"/>
      <c r="MNM282" s="445"/>
      <c r="MNN282" s="414"/>
      <c r="MNQ282" s="445"/>
      <c r="MNR282" s="414"/>
      <c r="MNU282" s="445"/>
      <c r="MNV282" s="414"/>
      <c r="MNY282" s="445"/>
      <c r="MNZ282" s="414"/>
      <c r="MOC282" s="445"/>
      <c r="MOD282" s="414"/>
      <c r="MOG282" s="445"/>
      <c r="MOH282" s="414"/>
      <c r="MOK282" s="445"/>
      <c r="MOL282" s="414"/>
      <c r="MOO282" s="445"/>
      <c r="MOP282" s="414"/>
      <c r="MOS282" s="445"/>
      <c r="MOT282" s="414"/>
      <c r="MOW282" s="445"/>
      <c r="MOX282" s="414"/>
      <c r="MPA282" s="445"/>
      <c r="MPB282" s="414"/>
      <c r="MPE282" s="445"/>
      <c r="MPF282" s="414"/>
      <c r="MPI282" s="445"/>
      <c r="MPJ282" s="414"/>
      <c r="MPM282" s="445"/>
      <c r="MPN282" s="414"/>
      <c r="MPQ282" s="445"/>
      <c r="MPR282" s="414"/>
      <c r="MPU282" s="445"/>
      <c r="MPV282" s="414"/>
      <c r="MPY282" s="445"/>
      <c r="MPZ282" s="414"/>
      <c r="MQC282" s="445"/>
      <c r="MQD282" s="414"/>
      <c r="MQG282" s="445"/>
      <c r="MQH282" s="414"/>
      <c r="MQK282" s="445"/>
      <c r="MQL282" s="414"/>
      <c r="MQO282" s="445"/>
      <c r="MQP282" s="414"/>
      <c r="MQS282" s="445"/>
      <c r="MQT282" s="414"/>
      <c r="MQW282" s="445"/>
      <c r="MQX282" s="414"/>
      <c r="MRA282" s="445"/>
      <c r="MRB282" s="414"/>
      <c r="MRE282" s="445"/>
      <c r="MRF282" s="414"/>
      <c r="MRI282" s="445"/>
      <c r="MRJ282" s="414"/>
      <c r="MRM282" s="445"/>
      <c r="MRN282" s="414"/>
      <c r="MRQ282" s="445"/>
      <c r="MRR282" s="414"/>
      <c r="MRU282" s="445"/>
      <c r="MRV282" s="414"/>
      <c r="MRY282" s="445"/>
      <c r="MRZ282" s="414"/>
      <c r="MSC282" s="445"/>
      <c r="MSD282" s="414"/>
      <c r="MSG282" s="445"/>
      <c r="MSH282" s="414"/>
      <c r="MSK282" s="445"/>
      <c r="MSL282" s="414"/>
      <c r="MSO282" s="445"/>
      <c r="MSP282" s="414"/>
      <c r="MSS282" s="445"/>
      <c r="MST282" s="414"/>
      <c r="MSW282" s="445"/>
      <c r="MSX282" s="414"/>
      <c r="MTA282" s="445"/>
      <c r="MTB282" s="414"/>
      <c r="MTE282" s="445"/>
      <c r="MTF282" s="414"/>
      <c r="MTI282" s="445"/>
      <c r="MTJ282" s="414"/>
      <c r="MTM282" s="445"/>
      <c r="MTN282" s="414"/>
      <c r="MTQ282" s="445"/>
      <c r="MTR282" s="414"/>
      <c r="MTU282" s="445"/>
      <c r="MTV282" s="414"/>
      <c r="MTY282" s="445"/>
      <c r="MTZ282" s="414"/>
      <c r="MUC282" s="445"/>
      <c r="MUD282" s="414"/>
      <c r="MUG282" s="445"/>
      <c r="MUH282" s="414"/>
      <c r="MUK282" s="445"/>
      <c r="MUL282" s="414"/>
      <c r="MUO282" s="445"/>
      <c r="MUP282" s="414"/>
      <c r="MUS282" s="445"/>
      <c r="MUT282" s="414"/>
      <c r="MUW282" s="445"/>
      <c r="MUX282" s="414"/>
      <c r="MVA282" s="445"/>
      <c r="MVB282" s="414"/>
      <c r="MVE282" s="445"/>
      <c r="MVF282" s="414"/>
      <c r="MVI282" s="445"/>
      <c r="MVJ282" s="414"/>
      <c r="MVM282" s="445"/>
      <c r="MVN282" s="414"/>
      <c r="MVQ282" s="445"/>
      <c r="MVR282" s="414"/>
      <c r="MVU282" s="445"/>
      <c r="MVV282" s="414"/>
      <c r="MVY282" s="445"/>
      <c r="MVZ282" s="414"/>
      <c r="MWC282" s="445"/>
      <c r="MWD282" s="414"/>
      <c r="MWG282" s="445"/>
      <c r="MWH282" s="414"/>
      <c r="MWK282" s="445"/>
      <c r="MWL282" s="414"/>
      <c r="MWO282" s="445"/>
      <c r="MWP282" s="414"/>
      <c r="MWS282" s="445"/>
      <c r="MWT282" s="414"/>
      <c r="MWW282" s="445"/>
      <c r="MWX282" s="414"/>
      <c r="MXA282" s="445"/>
      <c r="MXB282" s="414"/>
      <c r="MXE282" s="445"/>
      <c r="MXF282" s="414"/>
      <c r="MXI282" s="445"/>
      <c r="MXJ282" s="414"/>
      <c r="MXM282" s="445"/>
      <c r="MXN282" s="414"/>
      <c r="MXQ282" s="445"/>
      <c r="MXR282" s="414"/>
      <c r="MXU282" s="445"/>
      <c r="MXV282" s="414"/>
      <c r="MXY282" s="445"/>
      <c r="MXZ282" s="414"/>
      <c r="MYC282" s="445"/>
      <c r="MYD282" s="414"/>
      <c r="MYG282" s="445"/>
      <c r="MYH282" s="414"/>
      <c r="MYK282" s="445"/>
      <c r="MYL282" s="414"/>
      <c r="MYO282" s="445"/>
      <c r="MYP282" s="414"/>
      <c r="MYS282" s="445"/>
      <c r="MYT282" s="414"/>
      <c r="MYW282" s="445"/>
      <c r="MYX282" s="414"/>
      <c r="MZA282" s="445"/>
      <c r="MZB282" s="414"/>
      <c r="MZE282" s="445"/>
      <c r="MZF282" s="414"/>
      <c r="MZI282" s="445"/>
      <c r="MZJ282" s="414"/>
      <c r="MZM282" s="445"/>
      <c r="MZN282" s="414"/>
      <c r="MZQ282" s="445"/>
      <c r="MZR282" s="414"/>
      <c r="MZU282" s="445"/>
      <c r="MZV282" s="414"/>
      <c r="MZY282" s="445"/>
      <c r="MZZ282" s="414"/>
      <c r="NAC282" s="445"/>
      <c r="NAD282" s="414"/>
      <c r="NAG282" s="445"/>
      <c r="NAH282" s="414"/>
      <c r="NAK282" s="445"/>
      <c r="NAL282" s="414"/>
      <c r="NAO282" s="445"/>
      <c r="NAP282" s="414"/>
      <c r="NAS282" s="445"/>
      <c r="NAT282" s="414"/>
      <c r="NAW282" s="445"/>
      <c r="NAX282" s="414"/>
      <c r="NBA282" s="445"/>
      <c r="NBB282" s="414"/>
      <c r="NBE282" s="445"/>
      <c r="NBF282" s="414"/>
      <c r="NBI282" s="445"/>
      <c r="NBJ282" s="414"/>
      <c r="NBM282" s="445"/>
      <c r="NBN282" s="414"/>
      <c r="NBQ282" s="445"/>
      <c r="NBR282" s="414"/>
      <c r="NBU282" s="445"/>
      <c r="NBV282" s="414"/>
      <c r="NBY282" s="445"/>
      <c r="NBZ282" s="414"/>
      <c r="NCC282" s="445"/>
      <c r="NCD282" s="414"/>
      <c r="NCG282" s="445"/>
      <c r="NCH282" s="414"/>
      <c r="NCK282" s="445"/>
      <c r="NCL282" s="414"/>
      <c r="NCO282" s="445"/>
      <c r="NCP282" s="414"/>
      <c r="NCS282" s="445"/>
      <c r="NCT282" s="414"/>
      <c r="NCW282" s="445"/>
      <c r="NCX282" s="414"/>
      <c r="NDA282" s="445"/>
      <c r="NDB282" s="414"/>
      <c r="NDE282" s="445"/>
      <c r="NDF282" s="414"/>
      <c r="NDI282" s="445"/>
      <c r="NDJ282" s="414"/>
      <c r="NDM282" s="445"/>
      <c r="NDN282" s="414"/>
      <c r="NDQ282" s="445"/>
      <c r="NDR282" s="414"/>
      <c r="NDU282" s="445"/>
      <c r="NDV282" s="414"/>
      <c r="NDY282" s="445"/>
      <c r="NDZ282" s="414"/>
      <c r="NEC282" s="445"/>
      <c r="NED282" s="414"/>
      <c r="NEG282" s="445"/>
      <c r="NEH282" s="414"/>
      <c r="NEK282" s="445"/>
      <c r="NEL282" s="414"/>
      <c r="NEO282" s="445"/>
      <c r="NEP282" s="414"/>
      <c r="NES282" s="445"/>
      <c r="NET282" s="414"/>
      <c r="NEW282" s="445"/>
      <c r="NEX282" s="414"/>
      <c r="NFA282" s="445"/>
      <c r="NFB282" s="414"/>
      <c r="NFE282" s="445"/>
      <c r="NFF282" s="414"/>
      <c r="NFI282" s="445"/>
      <c r="NFJ282" s="414"/>
      <c r="NFM282" s="445"/>
      <c r="NFN282" s="414"/>
      <c r="NFQ282" s="445"/>
      <c r="NFR282" s="414"/>
      <c r="NFU282" s="445"/>
      <c r="NFV282" s="414"/>
      <c r="NFY282" s="445"/>
      <c r="NFZ282" s="414"/>
      <c r="NGC282" s="445"/>
      <c r="NGD282" s="414"/>
      <c r="NGG282" s="445"/>
      <c r="NGH282" s="414"/>
      <c r="NGK282" s="445"/>
      <c r="NGL282" s="414"/>
      <c r="NGO282" s="445"/>
      <c r="NGP282" s="414"/>
      <c r="NGS282" s="445"/>
      <c r="NGT282" s="414"/>
      <c r="NGW282" s="445"/>
      <c r="NGX282" s="414"/>
      <c r="NHA282" s="445"/>
      <c r="NHB282" s="414"/>
      <c r="NHE282" s="445"/>
      <c r="NHF282" s="414"/>
      <c r="NHI282" s="445"/>
      <c r="NHJ282" s="414"/>
      <c r="NHM282" s="445"/>
      <c r="NHN282" s="414"/>
      <c r="NHQ282" s="445"/>
      <c r="NHR282" s="414"/>
      <c r="NHU282" s="445"/>
      <c r="NHV282" s="414"/>
      <c r="NHY282" s="445"/>
      <c r="NHZ282" s="414"/>
      <c r="NIC282" s="445"/>
      <c r="NID282" s="414"/>
      <c r="NIG282" s="445"/>
      <c r="NIH282" s="414"/>
      <c r="NIK282" s="445"/>
      <c r="NIL282" s="414"/>
      <c r="NIO282" s="445"/>
      <c r="NIP282" s="414"/>
      <c r="NIS282" s="445"/>
      <c r="NIT282" s="414"/>
      <c r="NIW282" s="445"/>
      <c r="NIX282" s="414"/>
      <c r="NJA282" s="445"/>
      <c r="NJB282" s="414"/>
      <c r="NJE282" s="445"/>
      <c r="NJF282" s="414"/>
      <c r="NJI282" s="445"/>
      <c r="NJJ282" s="414"/>
      <c r="NJM282" s="445"/>
      <c r="NJN282" s="414"/>
      <c r="NJQ282" s="445"/>
      <c r="NJR282" s="414"/>
      <c r="NJU282" s="445"/>
      <c r="NJV282" s="414"/>
      <c r="NJY282" s="445"/>
      <c r="NJZ282" s="414"/>
      <c r="NKC282" s="445"/>
      <c r="NKD282" s="414"/>
      <c r="NKG282" s="445"/>
      <c r="NKH282" s="414"/>
      <c r="NKK282" s="445"/>
      <c r="NKL282" s="414"/>
      <c r="NKO282" s="445"/>
      <c r="NKP282" s="414"/>
      <c r="NKS282" s="445"/>
      <c r="NKT282" s="414"/>
      <c r="NKW282" s="445"/>
      <c r="NKX282" s="414"/>
      <c r="NLA282" s="445"/>
      <c r="NLB282" s="414"/>
      <c r="NLE282" s="445"/>
      <c r="NLF282" s="414"/>
      <c r="NLI282" s="445"/>
      <c r="NLJ282" s="414"/>
      <c r="NLM282" s="445"/>
      <c r="NLN282" s="414"/>
      <c r="NLQ282" s="445"/>
      <c r="NLR282" s="414"/>
      <c r="NLU282" s="445"/>
      <c r="NLV282" s="414"/>
      <c r="NLY282" s="445"/>
      <c r="NLZ282" s="414"/>
      <c r="NMC282" s="445"/>
      <c r="NMD282" s="414"/>
      <c r="NMG282" s="445"/>
      <c r="NMH282" s="414"/>
      <c r="NMK282" s="445"/>
      <c r="NML282" s="414"/>
      <c r="NMO282" s="445"/>
      <c r="NMP282" s="414"/>
      <c r="NMS282" s="445"/>
      <c r="NMT282" s="414"/>
      <c r="NMW282" s="445"/>
      <c r="NMX282" s="414"/>
      <c r="NNA282" s="445"/>
      <c r="NNB282" s="414"/>
      <c r="NNE282" s="445"/>
      <c r="NNF282" s="414"/>
      <c r="NNI282" s="445"/>
      <c r="NNJ282" s="414"/>
      <c r="NNM282" s="445"/>
      <c r="NNN282" s="414"/>
      <c r="NNQ282" s="445"/>
      <c r="NNR282" s="414"/>
      <c r="NNU282" s="445"/>
      <c r="NNV282" s="414"/>
      <c r="NNY282" s="445"/>
      <c r="NNZ282" s="414"/>
      <c r="NOC282" s="445"/>
      <c r="NOD282" s="414"/>
      <c r="NOG282" s="445"/>
      <c r="NOH282" s="414"/>
      <c r="NOK282" s="445"/>
      <c r="NOL282" s="414"/>
      <c r="NOO282" s="445"/>
      <c r="NOP282" s="414"/>
      <c r="NOS282" s="445"/>
      <c r="NOT282" s="414"/>
      <c r="NOW282" s="445"/>
      <c r="NOX282" s="414"/>
      <c r="NPA282" s="445"/>
      <c r="NPB282" s="414"/>
      <c r="NPE282" s="445"/>
      <c r="NPF282" s="414"/>
      <c r="NPI282" s="445"/>
      <c r="NPJ282" s="414"/>
      <c r="NPM282" s="445"/>
      <c r="NPN282" s="414"/>
      <c r="NPQ282" s="445"/>
      <c r="NPR282" s="414"/>
      <c r="NPU282" s="445"/>
      <c r="NPV282" s="414"/>
      <c r="NPY282" s="445"/>
      <c r="NPZ282" s="414"/>
      <c r="NQC282" s="445"/>
      <c r="NQD282" s="414"/>
      <c r="NQG282" s="445"/>
      <c r="NQH282" s="414"/>
      <c r="NQK282" s="445"/>
      <c r="NQL282" s="414"/>
      <c r="NQO282" s="445"/>
      <c r="NQP282" s="414"/>
      <c r="NQS282" s="445"/>
      <c r="NQT282" s="414"/>
      <c r="NQW282" s="445"/>
      <c r="NQX282" s="414"/>
      <c r="NRA282" s="445"/>
      <c r="NRB282" s="414"/>
      <c r="NRE282" s="445"/>
      <c r="NRF282" s="414"/>
      <c r="NRI282" s="445"/>
      <c r="NRJ282" s="414"/>
      <c r="NRM282" s="445"/>
      <c r="NRN282" s="414"/>
      <c r="NRQ282" s="445"/>
      <c r="NRR282" s="414"/>
      <c r="NRU282" s="445"/>
      <c r="NRV282" s="414"/>
      <c r="NRY282" s="445"/>
      <c r="NRZ282" s="414"/>
      <c r="NSC282" s="445"/>
      <c r="NSD282" s="414"/>
      <c r="NSG282" s="445"/>
      <c r="NSH282" s="414"/>
      <c r="NSK282" s="445"/>
      <c r="NSL282" s="414"/>
      <c r="NSO282" s="445"/>
      <c r="NSP282" s="414"/>
      <c r="NSS282" s="445"/>
      <c r="NST282" s="414"/>
      <c r="NSW282" s="445"/>
      <c r="NSX282" s="414"/>
      <c r="NTA282" s="445"/>
      <c r="NTB282" s="414"/>
      <c r="NTE282" s="445"/>
      <c r="NTF282" s="414"/>
      <c r="NTI282" s="445"/>
      <c r="NTJ282" s="414"/>
      <c r="NTM282" s="445"/>
      <c r="NTN282" s="414"/>
      <c r="NTQ282" s="445"/>
      <c r="NTR282" s="414"/>
      <c r="NTU282" s="445"/>
      <c r="NTV282" s="414"/>
      <c r="NTY282" s="445"/>
      <c r="NTZ282" s="414"/>
      <c r="NUC282" s="445"/>
      <c r="NUD282" s="414"/>
      <c r="NUG282" s="445"/>
      <c r="NUH282" s="414"/>
      <c r="NUK282" s="445"/>
      <c r="NUL282" s="414"/>
      <c r="NUO282" s="445"/>
      <c r="NUP282" s="414"/>
      <c r="NUS282" s="445"/>
      <c r="NUT282" s="414"/>
      <c r="NUW282" s="445"/>
      <c r="NUX282" s="414"/>
      <c r="NVA282" s="445"/>
      <c r="NVB282" s="414"/>
      <c r="NVE282" s="445"/>
      <c r="NVF282" s="414"/>
      <c r="NVI282" s="445"/>
      <c r="NVJ282" s="414"/>
      <c r="NVM282" s="445"/>
      <c r="NVN282" s="414"/>
      <c r="NVQ282" s="445"/>
      <c r="NVR282" s="414"/>
      <c r="NVU282" s="445"/>
      <c r="NVV282" s="414"/>
      <c r="NVY282" s="445"/>
      <c r="NVZ282" s="414"/>
      <c r="NWC282" s="445"/>
      <c r="NWD282" s="414"/>
      <c r="NWG282" s="445"/>
      <c r="NWH282" s="414"/>
      <c r="NWK282" s="445"/>
      <c r="NWL282" s="414"/>
      <c r="NWO282" s="445"/>
      <c r="NWP282" s="414"/>
      <c r="NWS282" s="445"/>
      <c r="NWT282" s="414"/>
      <c r="NWW282" s="445"/>
      <c r="NWX282" s="414"/>
      <c r="NXA282" s="445"/>
      <c r="NXB282" s="414"/>
      <c r="NXE282" s="445"/>
      <c r="NXF282" s="414"/>
      <c r="NXI282" s="445"/>
      <c r="NXJ282" s="414"/>
      <c r="NXM282" s="445"/>
      <c r="NXN282" s="414"/>
      <c r="NXQ282" s="445"/>
      <c r="NXR282" s="414"/>
      <c r="NXU282" s="445"/>
      <c r="NXV282" s="414"/>
      <c r="NXY282" s="445"/>
      <c r="NXZ282" s="414"/>
      <c r="NYC282" s="445"/>
      <c r="NYD282" s="414"/>
      <c r="NYG282" s="445"/>
      <c r="NYH282" s="414"/>
      <c r="NYK282" s="445"/>
      <c r="NYL282" s="414"/>
      <c r="NYO282" s="445"/>
      <c r="NYP282" s="414"/>
      <c r="NYS282" s="445"/>
      <c r="NYT282" s="414"/>
      <c r="NYW282" s="445"/>
      <c r="NYX282" s="414"/>
      <c r="NZA282" s="445"/>
      <c r="NZB282" s="414"/>
      <c r="NZE282" s="445"/>
      <c r="NZF282" s="414"/>
      <c r="NZI282" s="445"/>
      <c r="NZJ282" s="414"/>
      <c r="NZM282" s="445"/>
      <c r="NZN282" s="414"/>
      <c r="NZQ282" s="445"/>
      <c r="NZR282" s="414"/>
      <c r="NZU282" s="445"/>
      <c r="NZV282" s="414"/>
      <c r="NZY282" s="445"/>
      <c r="NZZ282" s="414"/>
      <c r="OAC282" s="445"/>
      <c r="OAD282" s="414"/>
      <c r="OAG282" s="445"/>
      <c r="OAH282" s="414"/>
      <c r="OAK282" s="445"/>
      <c r="OAL282" s="414"/>
      <c r="OAO282" s="445"/>
      <c r="OAP282" s="414"/>
      <c r="OAS282" s="445"/>
      <c r="OAT282" s="414"/>
      <c r="OAW282" s="445"/>
      <c r="OAX282" s="414"/>
      <c r="OBA282" s="445"/>
      <c r="OBB282" s="414"/>
      <c r="OBE282" s="445"/>
      <c r="OBF282" s="414"/>
      <c r="OBI282" s="445"/>
      <c r="OBJ282" s="414"/>
      <c r="OBM282" s="445"/>
      <c r="OBN282" s="414"/>
      <c r="OBQ282" s="445"/>
      <c r="OBR282" s="414"/>
      <c r="OBU282" s="445"/>
      <c r="OBV282" s="414"/>
      <c r="OBY282" s="445"/>
      <c r="OBZ282" s="414"/>
      <c r="OCC282" s="445"/>
      <c r="OCD282" s="414"/>
      <c r="OCG282" s="445"/>
      <c r="OCH282" s="414"/>
      <c r="OCK282" s="445"/>
      <c r="OCL282" s="414"/>
      <c r="OCO282" s="445"/>
      <c r="OCP282" s="414"/>
      <c r="OCS282" s="445"/>
      <c r="OCT282" s="414"/>
      <c r="OCW282" s="445"/>
      <c r="OCX282" s="414"/>
      <c r="ODA282" s="445"/>
      <c r="ODB282" s="414"/>
      <c r="ODE282" s="445"/>
      <c r="ODF282" s="414"/>
      <c r="ODI282" s="445"/>
      <c r="ODJ282" s="414"/>
      <c r="ODM282" s="445"/>
      <c r="ODN282" s="414"/>
      <c r="ODQ282" s="445"/>
      <c r="ODR282" s="414"/>
      <c r="ODU282" s="445"/>
      <c r="ODV282" s="414"/>
      <c r="ODY282" s="445"/>
      <c r="ODZ282" s="414"/>
      <c r="OEC282" s="445"/>
      <c r="OED282" s="414"/>
      <c r="OEG282" s="445"/>
      <c r="OEH282" s="414"/>
      <c r="OEK282" s="445"/>
      <c r="OEL282" s="414"/>
      <c r="OEO282" s="445"/>
      <c r="OEP282" s="414"/>
      <c r="OES282" s="445"/>
      <c r="OET282" s="414"/>
      <c r="OEW282" s="445"/>
      <c r="OEX282" s="414"/>
      <c r="OFA282" s="445"/>
      <c r="OFB282" s="414"/>
      <c r="OFE282" s="445"/>
      <c r="OFF282" s="414"/>
      <c r="OFI282" s="445"/>
      <c r="OFJ282" s="414"/>
      <c r="OFM282" s="445"/>
      <c r="OFN282" s="414"/>
      <c r="OFQ282" s="445"/>
      <c r="OFR282" s="414"/>
      <c r="OFU282" s="445"/>
      <c r="OFV282" s="414"/>
      <c r="OFY282" s="445"/>
      <c r="OFZ282" s="414"/>
      <c r="OGC282" s="445"/>
      <c r="OGD282" s="414"/>
      <c r="OGG282" s="445"/>
      <c r="OGH282" s="414"/>
      <c r="OGK282" s="445"/>
      <c r="OGL282" s="414"/>
      <c r="OGO282" s="445"/>
      <c r="OGP282" s="414"/>
      <c r="OGS282" s="445"/>
      <c r="OGT282" s="414"/>
      <c r="OGW282" s="445"/>
      <c r="OGX282" s="414"/>
      <c r="OHA282" s="445"/>
      <c r="OHB282" s="414"/>
      <c r="OHE282" s="445"/>
      <c r="OHF282" s="414"/>
      <c r="OHI282" s="445"/>
      <c r="OHJ282" s="414"/>
      <c r="OHM282" s="445"/>
      <c r="OHN282" s="414"/>
      <c r="OHQ282" s="445"/>
      <c r="OHR282" s="414"/>
      <c r="OHU282" s="445"/>
      <c r="OHV282" s="414"/>
      <c r="OHY282" s="445"/>
      <c r="OHZ282" s="414"/>
      <c r="OIC282" s="445"/>
      <c r="OID282" s="414"/>
      <c r="OIG282" s="445"/>
      <c r="OIH282" s="414"/>
      <c r="OIK282" s="445"/>
      <c r="OIL282" s="414"/>
      <c r="OIO282" s="445"/>
      <c r="OIP282" s="414"/>
      <c r="OIS282" s="445"/>
      <c r="OIT282" s="414"/>
      <c r="OIW282" s="445"/>
      <c r="OIX282" s="414"/>
      <c r="OJA282" s="445"/>
      <c r="OJB282" s="414"/>
      <c r="OJE282" s="445"/>
      <c r="OJF282" s="414"/>
      <c r="OJI282" s="445"/>
      <c r="OJJ282" s="414"/>
      <c r="OJM282" s="445"/>
      <c r="OJN282" s="414"/>
      <c r="OJQ282" s="445"/>
      <c r="OJR282" s="414"/>
      <c r="OJU282" s="445"/>
      <c r="OJV282" s="414"/>
      <c r="OJY282" s="445"/>
      <c r="OJZ282" s="414"/>
      <c r="OKC282" s="445"/>
      <c r="OKD282" s="414"/>
      <c r="OKG282" s="445"/>
      <c r="OKH282" s="414"/>
      <c r="OKK282" s="445"/>
      <c r="OKL282" s="414"/>
      <c r="OKO282" s="445"/>
      <c r="OKP282" s="414"/>
      <c r="OKS282" s="445"/>
      <c r="OKT282" s="414"/>
      <c r="OKW282" s="445"/>
      <c r="OKX282" s="414"/>
      <c r="OLA282" s="445"/>
      <c r="OLB282" s="414"/>
      <c r="OLE282" s="445"/>
      <c r="OLF282" s="414"/>
      <c r="OLI282" s="445"/>
      <c r="OLJ282" s="414"/>
      <c r="OLM282" s="445"/>
      <c r="OLN282" s="414"/>
      <c r="OLQ282" s="445"/>
      <c r="OLR282" s="414"/>
      <c r="OLU282" s="445"/>
      <c r="OLV282" s="414"/>
      <c r="OLY282" s="445"/>
      <c r="OLZ282" s="414"/>
      <c r="OMC282" s="445"/>
      <c r="OMD282" s="414"/>
      <c r="OMG282" s="445"/>
      <c r="OMH282" s="414"/>
      <c r="OMK282" s="445"/>
      <c r="OML282" s="414"/>
      <c r="OMO282" s="445"/>
      <c r="OMP282" s="414"/>
      <c r="OMS282" s="445"/>
      <c r="OMT282" s="414"/>
      <c r="OMW282" s="445"/>
      <c r="OMX282" s="414"/>
      <c r="ONA282" s="445"/>
      <c r="ONB282" s="414"/>
      <c r="ONE282" s="445"/>
      <c r="ONF282" s="414"/>
      <c r="ONI282" s="445"/>
      <c r="ONJ282" s="414"/>
      <c r="ONM282" s="445"/>
      <c r="ONN282" s="414"/>
      <c r="ONQ282" s="445"/>
      <c r="ONR282" s="414"/>
      <c r="ONU282" s="445"/>
      <c r="ONV282" s="414"/>
      <c r="ONY282" s="445"/>
      <c r="ONZ282" s="414"/>
      <c r="OOC282" s="445"/>
      <c r="OOD282" s="414"/>
      <c r="OOG282" s="445"/>
      <c r="OOH282" s="414"/>
      <c r="OOK282" s="445"/>
      <c r="OOL282" s="414"/>
      <c r="OOO282" s="445"/>
      <c r="OOP282" s="414"/>
      <c r="OOS282" s="445"/>
      <c r="OOT282" s="414"/>
      <c r="OOW282" s="445"/>
      <c r="OOX282" s="414"/>
      <c r="OPA282" s="445"/>
      <c r="OPB282" s="414"/>
      <c r="OPE282" s="445"/>
      <c r="OPF282" s="414"/>
      <c r="OPI282" s="445"/>
      <c r="OPJ282" s="414"/>
      <c r="OPM282" s="445"/>
      <c r="OPN282" s="414"/>
      <c r="OPQ282" s="445"/>
      <c r="OPR282" s="414"/>
      <c r="OPU282" s="445"/>
      <c r="OPV282" s="414"/>
      <c r="OPY282" s="445"/>
      <c r="OPZ282" s="414"/>
      <c r="OQC282" s="445"/>
      <c r="OQD282" s="414"/>
      <c r="OQG282" s="445"/>
      <c r="OQH282" s="414"/>
      <c r="OQK282" s="445"/>
      <c r="OQL282" s="414"/>
      <c r="OQO282" s="445"/>
      <c r="OQP282" s="414"/>
      <c r="OQS282" s="445"/>
      <c r="OQT282" s="414"/>
      <c r="OQW282" s="445"/>
      <c r="OQX282" s="414"/>
      <c r="ORA282" s="445"/>
      <c r="ORB282" s="414"/>
      <c r="ORE282" s="445"/>
      <c r="ORF282" s="414"/>
      <c r="ORI282" s="445"/>
      <c r="ORJ282" s="414"/>
      <c r="ORM282" s="445"/>
      <c r="ORN282" s="414"/>
      <c r="ORQ282" s="445"/>
      <c r="ORR282" s="414"/>
      <c r="ORU282" s="445"/>
      <c r="ORV282" s="414"/>
      <c r="ORY282" s="445"/>
      <c r="ORZ282" s="414"/>
      <c r="OSC282" s="445"/>
      <c r="OSD282" s="414"/>
      <c r="OSG282" s="445"/>
      <c r="OSH282" s="414"/>
      <c r="OSK282" s="445"/>
      <c r="OSL282" s="414"/>
      <c r="OSO282" s="445"/>
      <c r="OSP282" s="414"/>
      <c r="OSS282" s="445"/>
      <c r="OST282" s="414"/>
      <c r="OSW282" s="445"/>
      <c r="OSX282" s="414"/>
      <c r="OTA282" s="445"/>
      <c r="OTB282" s="414"/>
      <c r="OTE282" s="445"/>
      <c r="OTF282" s="414"/>
      <c r="OTI282" s="445"/>
      <c r="OTJ282" s="414"/>
      <c r="OTM282" s="445"/>
      <c r="OTN282" s="414"/>
      <c r="OTQ282" s="445"/>
      <c r="OTR282" s="414"/>
      <c r="OTU282" s="445"/>
      <c r="OTV282" s="414"/>
      <c r="OTY282" s="445"/>
      <c r="OTZ282" s="414"/>
      <c r="OUC282" s="445"/>
      <c r="OUD282" s="414"/>
      <c r="OUG282" s="445"/>
      <c r="OUH282" s="414"/>
      <c r="OUK282" s="445"/>
      <c r="OUL282" s="414"/>
      <c r="OUO282" s="445"/>
      <c r="OUP282" s="414"/>
      <c r="OUS282" s="445"/>
      <c r="OUT282" s="414"/>
      <c r="OUW282" s="445"/>
      <c r="OUX282" s="414"/>
      <c r="OVA282" s="445"/>
      <c r="OVB282" s="414"/>
      <c r="OVE282" s="445"/>
      <c r="OVF282" s="414"/>
      <c r="OVI282" s="445"/>
      <c r="OVJ282" s="414"/>
      <c r="OVM282" s="445"/>
      <c r="OVN282" s="414"/>
      <c r="OVQ282" s="445"/>
      <c r="OVR282" s="414"/>
      <c r="OVU282" s="445"/>
      <c r="OVV282" s="414"/>
      <c r="OVY282" s="445"/>
      <c r="OVZ282" s="414"/>
      <c r="OWC282" s="445"/>
      <c r="OWD282" s="414"/>
      <c r="OWG282" s="445"/>
      <c r="OWH282" s="414"/>
      <c r="OWK282" s="445"/>
      <c r="OWL282" s="414"/>
      <c r="OWO282" s="445"/>
      <c r="OWP282" s="414"/>
      <c r="OWS282" s="445"/>
      <c r="OWT282" s="414"/>
      <c r="OWW282" s="445"/>
      <c r="OWX282" s="414"/>
      <c r="OXA282" s="445"/>
      <c r="OXB282" s="414"/>
      <c r="OXE282" s="445"/>
      <c r="OXF282" s="414"/>
      <c r="OXI282" s="445"/>
      <c r="OXJ282" s="414"/>
      <c r="OXM282" s="445"/>
      <c r="OXN282" s="414"/>
      <c r="OXQ282" s="445"/>
      <c r="OXR282" s="414"/>
      <c r="OXU282" s="445"/>
      <c r="OXV282" s="414"/>
      <c r="OXY282" s="445"/>
      <c r="OXZ282" s="414"/>
      <c r="OYC282" s="445"/>
      <c r="OYD282" s="414"/>
      <c r="OYG282" s="445"/>
      <c r="OYH282" s="414"/>
      <c r="OYK282" s="445"/>
      <c r="OYL282" s="414"/>
      <c r="OYO282" s="445"/>
      <c r="OYP282" s="414"/>
      <c r="OYS282" s="445"/>
      <c r="OYT282" s="414"/>
      <c r="OYW282" s="445"/>
      <c r="OYX282" s="414"/>
      <c r="OZA282" s="445"/>
      <c r="OZB282" s="414"/>
      <c r="OZE282" s="445"/>
      <c r="OZF282" s="414"/>
      <c r="OZI282" s="445"/>
      <c r="OZJ282" s="414"/>
      <c r="OZM282" s="445"/>
      <c r="OZN282" s="414"/>
      <c r="OZQ282" s="445"/>
      <c r="OZR282" s="414"/>
      <c r="OZU282" s="445"/>
      <c r="OZV282" s="414"/>
      <c r="OZY282" s="445"/>
      <c r="OZZ282" s="414"/>
      <c r="PAC282" s="445"/>
      <c r="PAD282" s="414"/>
      <c r="PAG282" s="445"/>
      <c r="PAH282" s="414"/>
      <c r="PAK282" s="445"/>
      <c r="PAL282" s="414"/>
      <c r="PAO282" s="445"/>
      <c r="PAP282" s="414"/>
      <c r="PAS282" s="445"/>
      <c r="PAT282" s="414"/>
      <c r="PAW282" s="445"/>
      <c r="PAX282" s="414"/>
      <c r="PBA282" s="445"/>
      <c r="PBB282" s="414"/>
      <c r="PBE282" s="445"/>
      <c r="PBF282" s="414"/>
      <c r="PBI282" s="445"/>
      <c r="PBJ282" s="414"/>
      <c r="PBM282" s="445"/>
      <c r="PBN282" s="414"/>
      <c r="PBQ282" s="445"/>
      <c r="PBR282" s="414"/>
      <c r="PBU282" s="445"/>
      <c r="PBV282" s="414"/>
      <c r="PBY282" s="445"/>
      <c r="PBZ282" s="414"/>
      <c r="PCC282" s="445"/>
      <c r="PCD282" s="414"/>
      <c r="PCG282" s="445"/>
      <c r="PCH282" s="414"/>
      <c r="PCK282" s="445"/>
      <c r="PCL282" s="414"/>
      <c r="PCO282" s="445"/>
      <c r="PCP282" s="414"/>
      <c r="PCS282" s="445"/>
      <c r="PCT282" s="414"/>
      <c r="PCW282" s="445"/>
      <c r="PCX282" s="414"/>
      <c r="PDA282" s="445"/>
      <c r="PDB282" s="414"/>
      <c r="PDE282" s="445"/>
      <c r="PDF282" s="414"/>
      <c r="PDI282" s="445"/>
      <c r="PDJ282" s="414"/>
      <c r="PDM282" s="445"/>
      <c r="PDN282" s="414"/>
      <c r="PDQ282" s="445"/>
      <c r="PDR282" s="414"/>
      <c r="PDU282" s="445"/>
      <c r="PDV282" s="414"/>
      <c r="PDY282" s="445"/>
      <c r="PDZ282" s="414"/>
      <c r="PEC282" s="445"/>
      <c r="PED282" s="414"/>
      <c r="PEG282" s="445"/>
      <c r="PEH282" s="414"/>
      <c r="PEK282" s="445"/>
      <c r="PEL282" s="414"/>
      <c r="PEO282" s="445"/>
      <c r="PEP282" s="414"/>
      <c r="PES282" s="445"/>
      <c r="PET282" s="414"/>
      <c r="PEW282" s="445"/>
      <c r="PEX282" s="414"/>
      <c r="PFA282" s="445"/>
      <c r="PFB282" s="414"/>
      <c r="PFE282" s="445"/>
      <c r="PFF282" s="414"/>
      <c r="PFI282" s="445"/>
      <c r="PFJ282" s="414"/>
      <c r="PFM282" s="445"/>
      <c r="PFN282" s="414"/>
      <c r="PFQ282" s="445"/>
      <c r="PFR282" s="414"/>
      <c r="PFU282" s="445"/>
      <c r="PFV282" s="414"/>
      <c r="PFY282" s="445"/>
      <c r="PFZ282" s="414"/>
      <c r="PGC282" s="445"/>
      <c r="PGD282" s="414"/>
      <c r="PGG282" s="445"/>
      <c r="PGH282" s="414"/>
      <c r="PGK282" s="445"/>
      <c r="PGL282" s="414"/>
      <c r="PGO282" s="445"/>
      <c r="PGP282" s="414"/>
      <c r="PGS282" s="445"/>
      <c r="PGT282" s="414"/>
      <c r="PGW282" s="445"/>
      <c r="PGX282" s="414"/>
      <c r="PHA282" s="445"/>
      <c r="PHB282" s="414"/>
      <c r="PHE282" s="445"/>
      <c r="PHF282" s="414"/>
      <c r="PHI282" s="445"/>
      <c r="PHJ282" s="414"/>
      <c r="PHM282" s="445"/>
      <c r="PHN282" s="414"/>
      <c r="PHQ282" s="445"/>
      <c r="PHR282" s="414"/>
      <c r="PHU282" s="445"/>
      <c r="PHV282" s="414"/>
      <c r="PHY282" s="445"/>
      <c r="PHZ282" s="414"/>
      <c r="PIC282" s="445"/>
      <c r="PID282" s="414"/>
      <c r="PIG282" s="445"/>
      <c r="PIH282" s="414"/>
      <c r="PIK282" s="445"/>
      <c r="PIL282" s="414"/>
      <c r="PIO282" s="445"/>
      <c r="PIP282" s="414"/>
      <c r="PIS282" s="445"/>
      <c r="PIT282" s="414"/>
      <c r="PIW282" s="445"/>
      <c r="PIX282" s="414"/>
      <c r="PJA282" s="445"/>
      <c r="PJB282" s="414"/>
      <c r="PJE282" s="445"/>
      <c r="PJF282" s="414"/>
      <c r="PJI282" s="445"/>
      <c r="PJJ282" s="414"/>
      <c r="PJM282" s="445"/>
      <c r="PJN282" s="414"/>
      <c r="PJQ282" s="445"/>
      <c r="PJR282" s="414"/>
      <c r="PJU282" s="445"/>
      <c r="PJV282" s="414"/>
      <c r="PJY282" s="445"/>
      <c r="PJZ282" s="414"/>
      <c r="PKC282" s="445"/>
      <c r="PKD282" s="414"/>
      <c r="PKG282" s="445"/>
      <c r="PKH282" s="414"/>
      <c r="PKK282" s="445"/>
      <c r="PKL282" s="414"/>
      <c r="PKO282" s="445"/>
      <c r="PKP282" s="414"/>
      <c r="PKS282" s="445"/>
      <c r="PKT282" s="414"/>
      <c r="PKW282" s="445"/>
      <c r="PKX282" s="414"/>
      <c r="PLA282" s="445"/>
      <c r="PLB282" s="414"/>
      <c r="PLE282" s="445"/>
      <c r="PLF282" s="414"/>
      <c r="PLI282" s="445"/>
      <c r="PLJ282" s="414"/>
      <c r="PLM282" s="445"/>
      <c r="PLN282" s="414"/>
      <c r="PLQ282" s="445"/>
      <c r="PLR282" s="414"/>
      <c r="PLU282" s="445"/>
      <c r="PLV282" s="414"/>
      <c r="PLY282" s="445"/>
      <c r="PLZ282" s="414"/>
      <c r="PMC282" s="445"/>
      <c r="PMD282" s="414"/>
      <c r="PMG282" s="445"/>
      <c r="PMH282" s="414"/>
      <c r="PMK282" s="445"/>
      <c r="PML282" s="414"/>
      <c r="PMO282" s="445"/>
      <c r="PMP282" s="414"/>
      <c r="PMS282" s="445"/>
      <c r="PMT282" s="414"/>
      <c r="PMW282" s="445"/>
      <c r="PMX282" s="414"/>
      <c r="PNA282" s="445"/>
      <c r="PNB282" s="414"/>
      <c r="PNE282" s="445"/>
      <c r="PNF282" s="414"/>
      <c r="PNI282" s="445"/>
      <c r="PNJ282" s="414"/>
      <c r="PNM282" s="445"/>
      <c r="PNN282" s="414"/>
      <c r="PNQ282" s="445"/>
      <c r="PNR282" s="414"/>
      <c r="PNU282" s="445"/>
      <c r="PNV282" s="414"/>
      <c r="PNY282" s="445"/>
      <c r="PNZ282" s="414"/>
      <c r="POC282" s="445"/>
      <c r="POD282" s="414"/>
      <c r="POG282" s="445"/>
      <c r="POH282" s="414"/>
      <c r="POK282" s="445"/>
      <c r="POL282" s="414"/>
      <c r="POO282" s="445"/>
      <c r="POP282" s="414"/>
      <c r="POS282" s="445"/>
      <c r="POT282" s="414"/>
      <c r="POW282" s="445"/>
      <c r="POX282" s="414"/>
      <c r="PPA282" s="445"/>
      <c r="PPB282" s="414"/>
      <c r="PPE282" s="445"/>
      <c r="PPF282" s="414"/>
      <c r="PPI282" s="445"/>
      <c r="PPJ282" s="414"/>
      <c r="PPM282" s="445"/>
      <c r="PPN282" s="414"/>
      <c r="PPQ282" s="445"/>
      <c r="PPR282" s="414"/>
      <c r="PPU282" s="445"/>
      <c r="PPV282" s="414"/>
      <c r="PPY282" s="445"/>
      <c r="PPZ282" s="414"/>
      <c r="PQC282" s="445"/>
      <c r="PQD282" s="414"/>
      <c r="PQG282" s="445"/>
      <c r="PQH282" s="414"/>
      <c r="PQK282" s="445"/>
      <c r="PQL282" s="414"/>
      <c r="PQO282" s="445"/>
      <c r="PQP282" s="414"/>
      <c r="PQS282" s="445"/>
      <c r="PQT282" s="414"/>
      <c r="PQW282" s="445"/>
      <c r="PQX282" s="414"/>
      <c r="PRA282" s="445"/>
      <c r="PRB282" s="414"/>
      <c r="PRE282" s="445"/>
      <c r="PRF282" s="414"/>
      <c r="PRI282" s="445"/>
      <c r="PRJ282" s="414"/>
      <c r="PRM282" s="445"/>
      <c r="PRN282" s="414"/>
      <c r="PRQ282" s="445"/>
      <c r="PRR282" s="414"/>
      <c r="PRU282" s="445"/>
      <c r="PRV282" s="414"/>
      <c r="PRY282" s="445"/>
      <c r="PRZ282" s="414"/>
      <c r="PSC282" s="445"/>
      <c r="PSD282" s="414"/>
      <c r="PSG282" s="445"/>
      <c r="PSH282" s="414"/>
      <c r="PSK282" s="445"/>
      <c r="PSL282" s="414"/>
      <c r="PSO282" s="445"/>
      <c r="PSP282" s="414"/>
      <c r="PSS282" s="445"/>
      <c r="PST282" s="414"/>
      <c r="PSW282" s="445"/>
      <c r="PSX282" s="414"/>
      <c r="PTA282" s="445"/>
      <c r="PTB282" s="414"/>
      <c r="PTE282" s="445"/>
      <c r="PTF282" s="414"/>
      <c r="PTI282" s="445"/>
      <c r="PTJ282" s="414"/>
      <c r="PTM282" s="445"/>
      <c r="PTN282" s="414"/>
      <c r="PTQ282" s="445"/>
      <c r="PTR282" s="414"/>
      <c r="PTU282" s="445"/>
      <c r="PTV282" s="414"/>
      <c r="PTY282" s="445"/>
      <c r="PTZ282" s="414"/>
      <c r="PUC282" s="445"/>
      <c r="PUD282" s="414"/>
      <c r="PUG282" s="445"/>
      <c r="PUH282" s="414"/>
      <c r="PUK282" s="445"/>
      <c r="PUL282" s="414"/>
      <c r="PUO282" s="445"/>
      <c r="PUP282" s="414"/>
      <c r="PUS282" s="445"/>
      <c r="PUT282" s="414"/>
      <c r="PUW282" s="445"/>
      <c r="PUX282" s="414"/>
      <c r="PVA282" s="445"/>
      <c r="PVB282" s="414"/>
      <c r="PVE282" s="445"/>
      <c r="PVF282" s="414"/>
      <c r="PVI282" s="445"/>
      <c r="PVJ282" s="414"/>
      <c r="PVM282" s="445"/>
      <c r="PVN282" s="414"/>
      <c r="PVQ282" s="445"/>
      <c r="PVR282" s="414"/>
      <c r="PVU282" s="445"/>
      <c r="PVV282" s="414"/>
      <c r="PVY282" s="445"/>
      <c r="PVZ282" s="414"/>
      <c r="PWC282" s="445"/>
      <c r="PWD282" s="414"/>
      <c r="PWG282" s="445"/>
      <c r="PWH282" s="414"/>
      <c r="PWK282" s="445"/>
      <c r="PWL282" s="414"/>
      <c r="PWO282" s="445"/>
      <c r="PWP282" s="414"/>
      <c r="PWS282" s="445"/>
      <c r="PWT282" s="414"/>
      <c r="PWW282" s="445"/>
      <c r="PWX282" s="414"/>
      <c r="PXA282" s="445"/>
      <c r="PXB282" s="414"/>
      <c r="PXE282" s="445"/>
      <c r="PXF282" s="414"/>
      <c r="PXI282" s="445"/>
      <c r="PXJ282" s="414"/>
      <c r="PXM282" s="445"/>
      <c r="PXN282" s="414"/>
      <c r="PXQ282" s="445"/>
      <c r="PXR282" s="414"/>
      <c r="PXU282" s="445"/>
      <c r="PXV282" s="414"/>
      <c r="PXY282" s="445"/>
      <c r="PXZ282" s="414"/>
      <c r="PYC282" s="445"/>
      <c r="PYD282" s="414"/>
      <c r="PYG282" s="445"/>
      <c r="PYH282" s="414"/>
      <c r="PYK282" s="445"/>
      <c r="PYL282" s="414"/>
      <c r="PYO282" s="445"/>
      <c r="PYP282" s="414"/>
      <c r="PYS282" s="445"/>
      <c r="PYT282" s="414"/>
      <c r="PYW282" s="445"/>
      <c r="PYX282" s="414"/>
      <c r="PZA282" s="445"/>
      <c r="PZB282" s="414"/>
      <c r="PZE282" s="445"/>
      <c r="PZF282" s="414"/>
      <c r="PZI282" s="445"/>
      <c r="PZJ282" s="414"/>
      <c r="PZM282" s="445"/>
      <c r="PZN282" s="414"/>
      <c r="PZQ282" s="445"/>
      <c r="PZR282" s="414"/>
      <c r="PZU282" s="445"/>
      <c r="PZV282" s="414"/>
      <c r="PZY282" s="445"/>
      <c r="PZZ282" s="414"/>
      <c r="QAC282" s="445"/>
      <c r="QAD282" s="414"/>
      <c r="QAG282" s="445"/>
      <c r="QAH282" s="414"/>
      <c r="QAK282" s="445"/>
      <c r="QAL282" s="414"/>
      <c r="QAO282" s="445"/>
      <c r="QAP282" s="414"/>
      <c r="QAS282" s="445"/>
      <c r="QAT282" s="414"/>
      <c r="QAW282" s="445"/>
      <c r="QAX282" s="414"/>
      <c r="QBA282" s="445"/>
      <c r="QBB282" s="414"/>
      <c r="QBE282" s="445"/>
      <c r="QBF282" s="414"/>
      <c r="QBI282" s="445"/>
      <c r="QBJ282" s="414"/>
      <c r="QBM282" s="445"/>
      <c r="QBN282" s="414"/>
      <c r="QBQ282" s="445"/>
      <c r="QBR282" s="414"/>
      <c r="QBU282" s="445"/>
      <c r="QBV282" s="414"/>
      <c r="QBY282" s="445"/>
      <c r="QBZ282" s="414"/>
      <c r="QCC282" s="445"/>
      <c r="QCD282" s="414"/>
      <c r="QCG282" s="445"/>
      <c r="QCH282" s="414"/>
      <c r="QCK282" s="445"/>
      <c r="QCL282" s="414"/>
      <c r="QCO282" s="445"/>
      <c r="QCP282" s="414"/>
      <c r="QCS282" s="445"/>
      <c r="QCT282" s="414"/>
      <c r="QCW282" s="445"/>
      <c r="QCX282" s="414"/>
      <c r="QDA282" s="445"/>
      <c r="QDB282" s="414"/>
      <c r="QDE282" s="445"/>
      <c r="QDF282" s="414"/>
      <c r="QDI282" s="445"/>
      <c r="QDJ282" s="414"/>
      <c r="QDM282" s="445"/>
      <c r="QDN282" s="414"/>
      <c r="QDQ282" s="445"/>
      <c r="QDR282" s="414"/>
      <c r="QDU282" s="445"/>
      <c r="QDV282" s="414"/>
      <c r="QDY282" s="445"/>
      <c r="QDZ282" s="414"/>
      <c r="QEC282" s="445"/>
      <c r="QED282" s="414"/>
      <c r="QEG282" s="445"/>
      <c r="QEH282" s="414"/>
      <c r="QEK282" s="445"/>
      <c r="QEL282" s="414"/>
      <c r="QEO282" s="445"/>
      <c r="QEP282" s="414"/>
      <c r="QES282" s="445"/>
      <c r="QET282" s="414"/>
      <c r="QEW282" s="445"/>
      <c r="QEX282" s="414"/>
      <c r="QFA282" s="445"/>
      <c r="QFB282" s="414"/>
      <c r="QFE282" s="445"/>
      <c r="QFF282" s="414"/>
      <c r="QFI282" s="445"/>
      <c r="QFJ282" s="414"/>
      <c r="QFM282" s="445"/>
      <c r="QFN282" s="414"/>
      <c r="QFQ282" s="445"/>
      <c r="QFR282" s="414"/>
      <c r="QFU282" s="445"/>
      <c r="QFV282" s="414"/>
      <c r="QFY282" s="445"/>
      <c r="QFZ282" s="414"/>
      <c r="QGC282" s="445"/>
      <c r="QGD282" s="414"/>
      <c r="QGG282" s="445"/>
      <c r="QGH282" s="414"/>
      <c r="QGK282" s="445"/>
      <c r="QGL282" s="414"/>
      <c r="QGO282" s="445"/>
      <c r="QGP282" s="414"/>
      <c r="QGS282" s="445"/>
      <c r="QGT282" s="414"/>
      <c r="QGW282" s="445"/>
      <c r="QGX282" s="414"/>
      <c r="QHA282" s="445"/>
      <c r="QHB282" s="414"/>
      <c r="QHE282" s="445"/>
      <c r="QHF282" s="414"/>
      <c r="QHI282" s="445"/>
      <c r="QHJ282" s="414"/>
      <c r="QHM282" s="445"/>
      <c r="QHN282" s="414"/>
      <c r="QHQ282" s="445"/>
      <c r="QHR282" s="414"/>
      <c r="QHU282" s="445"/>
      <c r="QHV282" s="414"/>
      <c r="QHY282" s="445"/>
      <c r="QHZ282" s="414"/>
      <c r="QIC282" s="445"/>
      <c r="QID282" s="414"/>
      <c r="QIG282" s="445"/>
      <c r="QIH282" s="414"/>
      <c r="QIK282" s="445"/>
      <c r="QIL282" s="414"/>
      <c r="QIO282" s="445"/>
      <c r="QIP282" s="414"/>
      <c r="QIS282" s="445"/>
      <c r="QIT282" s="414"/>
      <c r="QIW282" s="445"/>
      <c r="QIX282" s="414"/>
      <c r="QJA282" s="445"/>
      <c r="QJB282" s="414"/>
      <c r="QJE282" s="445"/>
      <c r="QJF282" s="414"/>
      <c r="QJI282" s="445"/>
      <c r="QJJ282" s="414"/>
      <c r="QJM282" s="445"/>
      <c r="QJN282" s="414"/>
      <c r="QJQ282" s="445"/>
      <c r="QJR282" s="414"/>
      <c r="QJU282" s="445"/>
      <c r="QJV282" s="414"/>
      <c r="QJY282" s="445"/>
      <c r="QJZ282" s="414"/>
      <c r="QKC282" s="445"/>
      <c r="QKD282" s="414"/>
      <c r="QKG282" s="445"/>
      <c r="QKH282" s="414"/>
      <c r="QKK282" s="445"/>
      <c r="QKL282" s="414"/>
      <c r="QKO282" s="445"/>
      <c r="QKP282" s="414"/>
      <c r="QKS282" s="445"/>
      <c r="QKT282" s="414"/>
      <c r="QKW282" s="445"/>
      <c r="QKX282" s="414"/>
      <c r="QLA282" s="445"/>
      <c r="QLB282" s="414"/>
      <c r="QLE282" s="445"/>
      <c r="QLF282" s="414"/>
      <c r="QLI282" s="445"/>
      <c r="QLJ282" s="414"/>
      <c r="QLM282" s="445"/>
      <c r="QLN282" s="414"/>
      <c r="QLQ282" s="445"/>
      <c r="QLR282" s="414"/>
      <c r="QLU282" s="445"/>
      <c r="QLV282" s="414"/>
      <c r="QLY282" s="445"/>
      <c r="QLZ282" s="414"/>
      <c r="QMC282" s="445"/>
      <c r="QMD282" s="414"/>
      <c r="QMG282" s="445"/>
      <c r="QMH282" s="414"/>
      <c r="QMK282" s="445"/>
      <c r="QML282" s="414"/>
      <c r="QMO282" s="445"/>
      <c r="QMP282" s="414"/>
      <c r="QMS282" s="445"/>
      <c r="QMT282" s="414"/>
      <c r="QMW282" s="445"/>
      <c r="QMX282" s="414"/>
      <c r="QNA282" s="445"/>
      <c r="QNB282" s="414"/>
      <c r="QNE282" s="445"/>
      <c r="QNF282" s="414"/>
      <c r="QNI282" s="445"/>
      <c r="QNJ282" s="414"/>
      <c r="QNM282" s="445"/>
      <c r="QNN282" s="414"/>
      <c r="QNQ282" s="445"/>
      <c r="QNR282" s="414"/>
      <c r="QNU282" s="445"/>
      <c r="QNV282" s="414"/>
      <c r="QNY282" s="445"/>
      <c r="QNZ282" s="414"/>
      <c r="QOC282" s="445"/>
      <c r="QOD282" s="414"/>
      <c r="QOG282" s="445"/>
      <c r="QOH282" s="414"/>
      <c r="QOK282" s="445"/>
      <c r="QOL282" s="414"/>
      <c r="QOO282" s="445"/>
      <c r="QOP282" s="414"/>
      <c r="QOS282" s="445"/>
      <c r="QOT282" s="414"/>
      <c r="QOW282" s="445"/>
      <c r="QOX282" s="414"/>
      <c r="QPA282" s="445"/>
      <c r="QPB282" s="414"/>
      <c r="QPE282" s="445"/>
      <c r="QPF282" s="414"/>
      <c r="QPI282" s="445"/>
      <c r="QPJ282" s="414"/>
      <c r="QPM282" s="445"/>
      <c r="QPN282" s="414"/>
      <c r="QPQ282" s="445"/>
      <c r="QPR282" s="414"/>
      <c r="QPU282" s="445"/>
      <c r="QPV282" s="414"/>
      <c r="QPY282" s="445"/>
      <c r="QPZ282" s="414"/>
      <c r="QQC282" s="445"/>
      <c r="QQD282" s="414"/>
      <c r="QQG282" s="445"/>
      <c r="QQH282" s="414"/>
      <c r="QQK282" s="445"/>
      <c r="QQL282" s="414"/>
      <c r="QQO282" s="445"/>
      <c r="QQP282" s="414"/>
      <c r="QQS282" s="445"/>
      <c r="QQT282" s="414"/>
      <c r="QQW282" s="445"/>
      <c r="QQX282" s="414"/>
      <c r="QRA282" s="445"/>
      <c r="QRB282" s="414"/>
      <c r="QRE282" s="445"/>
      <c r="QRF282" s="414"/>
      <c r="QRI282" s="445"/>
      <c r="QRJ282" s="414"/>
      <c r="QRM282" s="445"/>
      <c r="QRN282" s="414"/>
      <c r="QRQ282" s="445"/>
      <c r="QRR282" s="414"/>
      <c r="QRU282" s="445"/>
      <c r="QRV282" s="414"/>
      <c r="QRY282" s="445"/>
      <c r="QRZ282" s="414"/>
      <c r="QSC282" s="445"/>
      <c r="QSD282" s="414"/>
      <c r="QSG282" s="445"/>
      <c r="QSH282" s="414"/>
      <c r="QSK282" s="445"/>
      <c r="QSL282" s="414"/>
      <c r="QSO282" s="445"/>
      <c r="QSP282" s="414"/>
      <c r="QSS282" s="445"/>
      <c r="QST282" s="414"/>
      <c r="QSW282" s="445"/>
      <c r="QSX282" s="414"/>
      <c r="QTA282" s="445"/>
      <c r="QTB282" s="414"/>
      <c r="QTE282" s="445"/>
      <c r="QTF282" s="414"/>
      <c r="QTI282" s="445"/>
      <c r="QTJ282" s="414"/>
      <c r="QTM282" s="445"/>
      <c r="QTN282" s="414"/>
      <c r="QTQ282" s="445"/>
      <c r="QTR282" s="414"/>
      <c r="QTU282" s="445"/>
      <c r="QTV282" s="414"/>
      <c r="QTY282" s="445"/>
      <c r="QTZ282" s="414"/>
      <c r="QUC282" s="445"/>
      <c r="QUD282" s="414"/>
      <c r="QUG282" s="445"/>
      <c r="QUH282" s="414"/>
      <c r="QUK282" s="445"/>
      <c r="QUL282" s="414"/>
      <c r="QUO282" s="445"/>
      <c r="QUP282" s="414"/>
      <c r="QUS282" s="445"/>
      <c r="QUT282" s="414"/>
      <c r="QUW282" s="445"/>
      <c r="QUX282" s="414"/>
      <c r="QVA282" s="445"/>
      <c r="QVB282" s="414"/>
      <c r="QVE282" s="445"/>
      <c r="QVF282" s="414"/>
      <c r="QVI282" s="445"/>
      <c r="QVJ282" s="414"/>
      <c r="QVM282" s="445"/>
      <c r="QVN282" s="414"/>
      <c r="QVQ282" s="445"/>
      <c r="QVR282" s="414"/>
      <c r="QVU282" s="445"/>
      <c r="QVV282" s="414"/>
      <c r="QVY282" s="445"/>
      <c r="QVZ282" s="414"/>
      <c r="QWC282" s="445"/>
      <c r="QWD282" s="414"/>
      <c r="QWG282" s="445"/>
      <c r="QWH282" s="414"/>
      <c r="QWK282" s="445"/>
      <c r="QWL282" s="414"/>
      <c r="QWO282" s="445"/>
      <c r="QWP282" s="414"/>
      <c r="QWS282" s="445"/>
      <c r="QWT282" s="414"/>
      <c r="QWW282" s="445"/>
      <c r="QWX282" s="414"/>
      <c r="QXA282" s="445"/>
      <c r="QXB282" s="414"/>
      <c r="QXE282" s="445"/>
      <c r="QXF282" s="414"/>
      <c r="QXI282" s="445"/>
      <c r="QXJ282" s="414"/>
      <c r="QXM282" s="445"/>
      <c r="QXN282" s="414"/>
      <c r="QXQ282" s="445"/>
      <c r="QXR282" s="414"/>
      <c r="QXU282" s="445"/>
      <c r="QXV282" s="414"/>
      <c r="QXY282" s="445"/>
      <c r="QXZ282" s="414"/>
      <c r="QYC282" s="445"/>
      <c r="QYD282" s="414"/>
      <c r="QYG282" s="445"/>
      <c r="QYH282" s="414"/>
      <c r="QYK282" s="445"/>
      <c r="QYL282" s="414"/>
      <c r="QYO282" s="445"/>
      <c r="QYP282" s="414"/>
      <c r="QYS282" s="445"/>
      <c r="QYT282" s="414"/>
      <c r="QYW282" s="445"/>
      <c r="QYX282" s="414"/>
      <c r="QZA282" s="445"/>
      <c r="QZB282" s="414"/>
      <c r="QZE282" s="445"/>
      <c r="QZF282" s="414"/>
      <c r="QZI282" s="445"/>
      <c r="QZJ282" s="414"/>
      <c r="QZM282" s="445"/>
      <c r="QZN282" s="414"/>
      <c r="QZQ282" s="445"/>
      <c r="QZR282" s="414"/>
      <c r="QZU282" s="445"/>
      <c r="QZV282" s="414"/>
      <c r="QZY282" s="445"/>
      <c r="QZZ282" s="414"/>
      <c r="RAC282" s="445"/>
      <c r="RAD282" s="414"/>
      <c r="RAG282" s="445"/>
      <c r="RAH282" s="414"/>
      <c r="RAK282" s="445"/>
      <c r="RAL282" s="414"/>
      <c r="RAO282" s="445"/>
      <c r="RAP282" s="414"/>
      <c r="RAS282" s="445"/>
      <c r="RAT282" s="414"/>
      <c r="RAW282" s="445"/>
      <c r="RAX282" s="414"/>
      <c r="RBA282" s="445"/>
      <c r="RBB282" s="414"/>
      <c r="RBE282" s="445"/>
      <c r="RBF282" s="414"/>
      <c r="RBI282" s="445"/>
      <c r="RBJ282" s="414"/>
      <c r="RBM282" s="445"/>
      <c r="RBN282" s="414"/>
      <c r="RBQ282" s="445"/>
      <c r="RBR282" s="414"/>
      <c r="RBU282" s="445"/>
      <c r="RBV282" s="414"/>
      <c r="RBY282" s="445"/>
      <c r="RBZ282" s="414"/>
      <c r="RCC282" s="445"/>
      <c r="RCD282" s="414"/>
      <c r="RCG282" s="445"/>
      <c r="RCH282" s="414"/>
      <c r="RCK282" s="445"/>
      <c r="RCL282" s="414"/>
      <c r="RCO282" s="445"/>
      <c r="RCP282" s="414"/>
      <c r="RCS282" s="445"/>
      <c r="RCT282" s="414"/>
      <c r="RCW282" s="445"/>
      <c r="RCX282" s="414"/>
      <c r="RDA282" s="445"/>
      <c r="RDB282" s="414"/>
      <c r="RDE282" s="445"/>
      <c r="RDF282" s="414"/>
      <c r="RDI282" s="445"/>
      <c r="RDJ282" s="414"/>
      <c r="RDM282" s="445"/>
      <c r="RDN282" s="414"/>
      <c r="RDQ282" s="445"/>
      <c r="RDR282" s="414"/>
      <c r="RDU282" s="445"/>
      <c r="RDV282" s="414"/>
      <c r="RDY282" s="445"/>
      <c r="RDZ282" s="414"/>
      <c r="REC282" s="445"/>
      <c r="RED282" s="414"/>
      <c r="REG282" s="445"/>
      <c r="REH282" s="414"/>
      <c r="REK282" s="445"/>
      <c r="REL282" s="414"/>
      <c r="REO282" s="445"/>
      <c r="REP282" s="414"/>
      <c r="RES282" s="445"/>
      <c r="RET282" s="414"/>
      <c r="REW282" s="445"/>
      <c r="REX282" s="414"/>
      <c r="RFA282" s="445"/>
      <c r="RFB282" s="414"/>
      <c r="RFE282" s="445"/>
      <c r="RFF282" s="414"/>
      <c r="RFI282" s="445"/>
      <c r="RFJ282" s="414"/>
      <c r="RFM282" s="445"/>
      <c r="RFN282" s="414"/>
      <c r="RFQ282" s="445"/>
      <c r="RFR282" s="414"/>
      <c r="RFU282" s="445"/>
      <c r="RFV282" s="414"/>
      <c r="RFY282" s="445"/>
      <c r="RFZ282" s="414"/>
      <c r="RGC282" s="445"/>
      <c r="RGD282" s="414"/>
      <c r="RGG282" s="445"/>
      <c r="RGH282" s="414"/>
      <c r="RGK282" s="445"/>
      <c r="RGL282" s="414"/>
      <c r="RGO282" s="445"/>
      <c r="RGP282" s="414"/>
      <c r="RGS282" s="445"/>
      <c r="RGT282" s="414"/>
      <c r="RGW282" s="445"/>
      <c r="RGX282" s="414"/>
      <c r="RHA282" s="445"/>
      <c r="RHB282" s="414"/>
      <c r="RHE282" s="445"/>
      <c r="RHF282" s="414"/>
      <c r="RHI282" s="445"/>
      <c r="RHJ282" s="414"/>
      <c r="RHM282" s="445"/>
      <c r="RHN282" s="414"/>
      <c r="RHQ282" s="445"/>
      <c r="RHR282" s="414"/>
      <c r="RHU282" s="445"/>
      <c r="RHV282" s="414"/>
      <c r="RHY282" s="445"/>
      <c r="RHZ282" s="414"/>
      <c r="RIC282" s="445"/>
      <c r="RID282" s="414"/>
      <c r="RIG282" s="445"/>
      <c r="RIH282" s="414"/>
      <c r="RIK282" s="445"/>
      <c r="RIL282" s="414"/>
      <c r="RIO282" s="445"/>
      <c r="RIP282" s="414"/>
      <c r="RIS282" s="445"/>
      <c r="RIT282" s="414"/>
      <c r="RIW282" s="445"/>
      <c r="RIX282" s="414"/>
      <c r="RJA282" s="445"/>
      <c r="RJB282" s="414"/>
      <c r="RJE282" s="445"/>
      <c r="RJF282" s="414"/>
      <c r="RJI282" s="445"/>
      <c r="RJJ282" s="414"/>
      <c r="RJM282" s="445"/>
      <c r="RJN282" s="414"/>
      <c r="RJQ282" s="445"/>
      <c r="RJR282" s="414"/>
      <c r="RJU282" s="445"/>
      <c r="RJV282" s="414"/>
      <c r="RJY282" s="445"/>
      <c r="RJZ282" s="414"/>
      <c r="RKC282" s="445"/>
      <c r="RKD282" s="414"/>
      <c r="RKG282" s="445"/>
      <c r="RKH282" s="414"/>
      <c r="RKK282" s="445"/>
      <c r="RKL282" s="414"/>
      <c r="RKO282" s="445"/>
      <c r="RKP282" s="414"/>
      <c r="RKS282" s="445"/>
      <c r="RKT282" s="414"/>
      <c r="RKW282" s="445"/>
      <c r="RKX282" s="414"/>
      <c r="RLA282" s="445"/>
      <c r="RLB282" s="414"/>
      <c r="RLE282" s="445"/>
      <c r="RLF282" s="414"/>
      <c r="RLI282" s="445"/>
      <c r="RLJ282" s="414"/>
      <c r="RLM282" s="445"/>
      <c r="RLN282" s="414"/>
      <c r="RLQ282" s="445"/>
      <c r="RLR282" s="414"/>
      <c r="RLU282" s="445"/>
      <c r="RLV282" s="414"/>
      <c r="RLY282" s="445"/>
      <c r="RLZ282" s="414"/>
      <c r="RMC282" s="445"/>
      <c r="RMD282" s="414"/>
      <c r="RMG282" s="445"/>
      <c r="RMH282" s="414"/>
      <c r="RMK282" s="445"/>
      <c r="RML282" s="414"/>
      <c r="RMO282" s="445"/>
      <c r="RMP282" s="414"/>
      <c r="RMS282" s="445"/>
      <c r="RMT282" s="414"/>
      <c r="RMW282" s="445"/>
      <c r="RMX282" s="414"/>
      <c r="RNA282" s="445"/>
      <c r="RNB282" s="414"/>
      <c r="RNE282" s="445"/>
      <c r="RNF282" s="414"/>
      <c r="RNI282" s="445"/>
      <c r="RNJ282" s="414"/>
      <c r="RNM282" s="445"/>
      <c r="RNN282" s="414"/>
      <c r="RNQ282" s="445"/>
      <c r="RNR282" s="414"/>
      <c r="RNU282" s="445"/>
      <c r="RNV282" s="414"/>
      <c r="RNY282" s="445"/>
      <c r="RNZ282" s="414"/>
      <c r="ROC282" s="445"/>
      <c r="ROD282" s="414"/>
      <c r="ROG282" s="445"/>
      <c r="ROH282" s="414"/>
      <c r="ROK282" s="445"/>
      <c r="ROL282" s="414"/>
      <c r="ROO282" s="445"/>
      <c r="ROP282" s="414"/>
      <c r="ROS282" s="445"/>
      <c r="ROT282" s="414"/>
      <c r="ROW282" s="445"/>
      <c r="ROX282" s="414"/>
      <c r="RPA282" s="445"/>
      <c r="RPB282" s="414"/>
      <c r="RPE282" s="445"/>
      <c r="RPF282" s="414"/>
      <c r="RPI282" s="445"/>
      <c r="RPJ282" s="414"/>
      <c r="RPM282" s="445"/>
      <c r="RPN282" s="414"/>
      <c r="RPQ282" s="445"/>
      <c r="RPR282" s="414"/>
      <c r="RPU282" s="445"/>
      <c r="RPV282" s="414"/>
      <c r="RPY282" s="445"/>
      <c r="RPZ282" s="414"/>
      <c r="RQC282" s="445"/>
      <c r="RQD282" s="414"/>
      <c r="RQG282" s="445"/>
      <c r="RQH282" s="414"/>
      <c r="RQK282" s="445"/>
      <c r="RQL282" s="414"/>
      <c r="RQO282" s="445"/>
      <c r="RQP282" s="414"/>
      <c r="RQS282" s="445"/>
      <c r="RQT282" s="414"/>
      <c r="RQW282" s="445"/>
      <c r="RQX282" s="414"/>
      <c r="RRA282" s="445"/>
      <c r="RRB282" s="414"/>
      <c r="RRE282" s="445"/>
      <c r="RRF282" s="414"/>
      <c r="RRI282" s="445"/>
      <c r="RRJ282" s="414"/>
      <c r="RRM282" s="445"/>
      <c r="RRN282" s="414"/>
      <c r="RRQ282" s="445"/>
      <c r="RRR282" s="414"/>
      <c r="RRU282" s="445"/>
      <c r="RRV282" s="414"/>
      <c r="RRY282" s="445"/>
      <c r="RRZ282" s="414"/>
      <c r="RSC282" s="445"/>
      <c r="RSD282" s="414"/>
      <c r="RSG282" s="445"/>
      <c r="RSH282" s="414"/>
      <c r="RSK282" s="445"/>
      <c r="RSL282" s="414"/>
      <c r="RSO282" s="445"/>
      <c r="RSP282" s="414"/>
      <c r="RSS282" s="445"/>
      <c r="RST282" s="414"/>
      <c r="RSW282" s="445"/>
      <c r="RSX282" s="414"/>
      <c r="RTA282" s="445"/>
      <c r="RTB282" s="414"/>
      <c r="RTE282" s="445"/>
      <c r="RTF282" s="414"/>
      <c r="RTI282" s="445"/>
      <c r="RTJ282" s="414"/>
      <c r="RTM282" s="445"/>
      <c r="RTN282" s="414"/>
      <c r="RTQ282" s="445"/>
      <c r="RTR282" s="414"/>
      <c r="RTU282" s="445"/>
      <c r="RTV282" s="414"/>
      <c r="RTY282" s="445"/>
      <c r="RTZ282" s="414"/>
      <c r="RUC282" s="445"/>
      <c r="RUD282" s="414"/>
      <c r="RUG282" s="445"/>
      <c r="RUH282" s="414"/>
      <c r="RUK282" s="445"/>
      <c r="RUL282" s="414"/>
      <c r="RUO282" s="445"/>
      <c r="RUP282" s="414"/>
      <c r="RUS282" s="445"/>
      <c r="RUT282" s="414"/>
      <c r="RUW282" s="445"/>
      <c r="RUX282" s="414"/>
      <c r="RVA282" s="445"/>
      <c r="RVB282" s="414"/>
      <c r="RVE282" s="445"/>
      <c r="RVF282" s="414"/>
      <c r="RVI282" s="445"/>
      <c r="RVJ282" s="414"/>
      <c r="RVM282" s="445"/>
      <c r="RVN282" s="414"/>
      <c r="RVQ282" s="445"/>
      <c r="RVR282" s="414"/>
      <c r="RVU282" s="445"/>
      <c r="RVV282" s="414"/>
      <c r="RVY282" s="445"/>
      <c r="RVZ282" s="414"/>
      <c r="RWC282" s="445"/>
      <c r="RWD282" s="414"/>
      <c r="RWG282" s="445"/>
      <c r="RWH282" s="414"/>
      <c r="RWK282" s="445"/>
      <c r="RWL282" s="414"/>
      <c r="RWO282" s="445"/>
      <c r="RWP282" s="414"/>
      <c r="RWS282" s="445"/>
      <c r="RWT282" s="414"/>
      <c r="RWW282" s="445"/>
      <c r="RWX282" s="414"/>
      <c r="RXA282" s="445"/>
      <c r="RXB282" s="414"/>
      <c r="RXE282" s="445"/>
      <c r="RXF282" s="414"/>
      <c r="RXI282" s="445"/>
      <c r="RXJ282" s="414"/>
      <c r="RXM282" s="445"/>
      <c r="RXN282" s="414"/>
      <c r="RXQ282" s="445"/>
      <c r="RXR282" s="414"/>
      <c r="RXU282" s="445"/>
      <c r="RXV282" s="414"/>
      <c r="RXY282" s="445"/>
      <c r="RXZ282" s="414"/>
      <c r="RYC282" s="445"/>
      <c r="RYD282" s="414"/>
      <c r="RYG282" s="445"/>
      <c r="RYH282" s="414"/>
      <c r="RYK282" s="445"/>
      <c r="RYL282" s="414"/>
      <c r="RYO282" s="445"/>
      <c r="RYP282" s="414"/>
      <c r="RYS282" s="445"/>
      <c r="RYT282" s="414"/>
      <c r="RYW282" s="445"/>
      <c r="RYX282" s="414"/>
      <c r="RZA282" s="445"/>
      <c r="RZB282" s="414"/>
      <c r="RZE282" s="445"/>
      <c r="RZF282" s="414"/>
      <c r="RZI282" s="445"/>
      <c r="RZJ282" s="414"/>
      <c r="RZM282" s="445"/>
      <c r="RZN282" s="414"/>
      <c r="RZQ282" s="445"/>
      <c r="RZR282" s="414"/>
      <c r="RZU282" s="445"/>
      <c r="RZV282" s="414"/>
      <c r="RZY282" s="445"/>
      <c r="RZZ282" s="414"/>
      <c r="SAC282" s="445"/>
      <c r="SAD282" s="414"/>
      <c r="SAG282" s="445"/>
      <c r="SAH282" s="414"/>
      <c r="SAK282" s="445"/>
      <c r="SAL282" s="414"/>
      <c r="SAO282" s="445"/>
      <c r="SAP282" s="414"/>
      <c r="SAS282" s="445"/>
      <c r="SAT282" s="414"/>
      <c r="SAW282" s="445"/>
      <c r="SAX282" s="414"/>
      <c r="SBA282" s="445"/>
      <c r="SBB282" s="414"/>
      <c r="SBE282" s="445"/>
      <c r="SBF282" s="414"/>
      <c r="SBI282" s="445"/>
      <c r="SBJ282" s="414"/>
      <c r="SBM282" s="445"/>
      <c r="SBN282" s="414"/>
      <c r="SBQ282" s="445"/>
      <c r="SBR282" s="414"/>
      <c r="SBU282" s="445"/>
      <c r="SBV282" s="414"/>
      <c r="SBY282" s="445"/>
      <c r="SBZ282" s="414"/>
      <c r="SCC282" s="445"/>
      <c r="SCD282" s="414"/>
      <c r="SCG282" s="445"/>
      <c r="SCH282" s="414"/>
      <c r="SCK282" s="445"/>
      <c r="SCL282" s="414"/>
      <c r="SCO282" s="445"/>
      <c r="SCP282" s="414"/>
      <c r="SCS282" s="445"/>
      <c r="SCT282" s="414"/>
      <c r="SCW282" s="445"/>
      <c r="SCX282" s="414"/>
      <c r="SDA282" s="445"/>
      <c r="SDB282" s="414"/>
      <c r="SDE282" s="445"/>
      <c r="SDF282" s="414"/>
      <c r="SDI282" s="445"/>
      <c r="SDJ282" s="414"/>
      <c r="SDM282" s="445"/>
      <c r="SDN282" s="414"/>
      <c r="SDQ282" s="445"/>
      <c r="SDR282" s="414"/>
      <c r="SDU282" s="445"/>
      <c r="SDV282" s="414"/>
      <c r="SDY282" s="445"/>
      <c r="SDZ282" s="414"/>
      <c r="SEC282" s="445"/>
      <c r="SED282" s="414"/>
      <c r="SEG282" s="445"/>
      <c r="SEH282" s="414"/>
      <c r="SEK282" s="445"/>
      <c r="SEL282" s="414"/>
      <c r="SEO282" s="445"/>
      <c r="SEP282" s="414"/>
      <c r="SES282" s="445"/>
      <c r="SET282" s="414"/>
      <c r="SEW282" s="445"/>
      <c r="SEX282" s="414"/>
      <c r="SFA282" s="445"/>
      <c r="SFB282" s="414"/>
      <c r="SFE282" s="445"/>
      <c r="SFF282" s="414"/>
      <c r="SFI282" s="445"/>
      <c r="SFJ282" s="414"/>
      <c r="SFM282" s="445"/>
      <c r="SFN282" s="414"/>
      <c r="SFQ282" s="445"/>
      <c r="SFR282" s="414"/>
      <c r="SFU282" s="445"/>
      <c r="SFV282" s="414"/>
      <c r="SFY282" s="445"/>
      <c r="SFZ282" s="414"/>
      <c r="SGC282" s="445"/>
      <c r="SGD282" s="414"/>
      <c r="SGG282" s="445"/>
      <c r="SGH282" s="414"/>
      <c r="SGK282" s="445"/>
      <c r="SGL282" s="414"/>
      <c r="SGO282" s="445"/>
      <c r="SGP282" s="414"/>
      <c r="SGS282" s="445"/>
      <c r="SGT282" s="414"/>
      <c r="SGW282" s="445"/>
      <c r="SGX282" s="414"/>
      <c r="SHA282" s="445"/>
      <c r="SHB282" s="414"/>
      <c r="SHE282" s="445"/>
      <c r="SHF282" s="414"/>
      <c r="SHI282" s="445"/>
      <c r="SHJ282" s="414"/>
      <c r="SHM282" s="445"/>
      <c r="SHN282" s="414"/>
      <c r="SHQ282" s="445"/>
      <c r="SHR282" s="414"/>
      <c r="SHU282" s="445"/>
      <c r="SHV282" s="414"/>
      <c r="SHY282" s="445"/>
      <c r="SHZ282" s="414"/>
      <c r="SIC282" s="445"/>
      <c r="SID282" s="414"/>
      <c r="SIG282" s="445"/>
      <c r="SIH282" s="414"/>
      <c r="SIK282" s="445"/>
      <c r="SIL282" s="414"/>
      <c r="SIO282" s="445"/>
      <c r="SIP282" s="414"/>
      <c r="SIS282" s="445"/>
      <c r="SIT282" s="414"/>
      <c r="SIW282" s="445"/>
      <c r="SIX282" s="414"/>
      <c r="SJA282" s="445"/>
      <c r="SJB282" s="414"/>
      <c r="SJE282" s="445"/>
      <c r="SJF282" s="414"/>
      <c r="SJI282" s="445"/>
      <c r="SJJ282" s="414"/>
      <c r="SJM282" s="445"/>
      <c r="SJN282" s="414"/>
      <c r="SJQ282" s="445"/>
      <c r="SJR282" s="414"/>
      <c r="SJU282" s="445"/>
      <c r="SJV282" s="414"/>
      <c r="SJY282" s="445"/>
      <c r="SJZ282" s="414"/>
      <c r="SKC282" s="445"/>
      <c r="SKD282" s="414"/>
      <c r="SKG282" s="445"/>
      <c r="SKH282" s="414"/>
      <c r="SKK282" s="445"/>
      <c r="SKL282" s="414"/>
      <c r="SKO282" s="445"/>
      <c r="SKP282" s="414"/>
      <c r="SKS282" s="445"/>
      <c r="SKT282" s="414"/>
      <c r="SKW282" s="445"/>
      <c r="SKX282" s="414"/>
      <c r="SLA282" s="445"/>
      <c r="SLB282" s="414"/>
      <c r="SLE282" s="445"/>
      <c r="SLF282" s="414"/>
      <c r="SLI282" s="445"/>
      <c r="SLJ282" s="414"/>
      <c r="SLM282" s="445"/>
      <c r="SLN282" s="414"/>
      <c r="SLQ282" s="445"/>
      <c r="SLR282" s="414"/>
      <c r="SLU282" s="445"/>
      <c r="SLV282" s="414"/>
      <c r="SLY282" s="445"/>
      <c r="SLZ282" s="414"/>
      <c r="SMC282" s="445"/>
      <c r="SMD282" s="414"/>
      <c r="SMG282" s="445"/>
      <c r="SMH282" s="414"/>
      <c r="SMK282" s="445"/>
      <c r="SML282" s="414"/>
      <c r="SMO282" s="445"/>
      <c r="SMP282" s="414"/>
      <c r="SMS282" s="445"/>
      <c r="SMT282" s="414"/>
      <c r="SMW282" s="445"/>
      <c r="SMX282" s="414"/>
      <c r="SNA282" s="445"/>
      <c r="SNB282" s="414"/>
      <c r="SNE282" s="445"/>
      <c r="SNF282" s="414"/>
      <c r="SNI282" s="445"/>
      <c r="SNJ282" s="414"/>
      <c r="SNM282" s="445"/>
      <c r="SNN282" s="414"/>
      <c r="SNQ282" s="445"/>
      <c r="SNR282" s="414"/>
      <c r="SNU282" s="445"/>
      <c r="SNV282" s="414"/>
      <c r="SNY282" s="445"/>
      <c r="SNZ282" s="414"/>
      <c r="SOC282" s="445"/>
      <c r="SOD282" s="414"/>
      <c r="SOG282" s="445"/>
      <c r="SOH282" s="414"/>
      <c r="SOK282" s="445"/>
      <c r="SOL282" s="414"/>
      <c r="SOO282" s="445"/>
      <c r="SOP282" s="414"/>
      <c r="SOS282" s="445"/>
      <c r="SOT282" s="414"/>
      <c r="SOW282" s="445"/>
      <c r="SOX282" s="414"/>
      <c r="SPA282" s="445"/>
      <c r="SPB282" s="414"/>
      <c r="SPE282" s="445"/>
      <c r="SPF282" s="414"/>
      <c r="SPI282" s="445"/>
      <c r="SPJ282" s="414"/>
      <c r="SPM282" s="445"/>
      <c r="SPN282" s="414"/>
      <c r="SPQ282" s="445"/>
      <c r="SPR282" s="414"/>
      <c r="SPU282" s="445"/>
      <c r="SPV282" s="414"/>
      <c r="SPY282" s="445"/>
      <c r="SPZ282" s="414"/>
      <c r="SQC282" s="445"/>
      <c r="SQD282" s="414"/>
      <c r="SQG282" s="445"/>
      <c r="SQH282" s="414"/>
      <c r="SQK282" s="445"/>
      <c r="SQL282" s="414"/>
      <c r="SQO282" s="445"/>
      <c r="SQP282" s="414"/>
      <c r="SQS282" s="445"/>
      <c r="SQT282" s="414"/>
      <c r="SQW282" s="445"/>
      <c r="SQX282" s="414"/>
      <c r="SRA282" s="445"/>
      <c r="SRB282" s="414"/>
      <c r="SRE282" s="445"/>
      <c r="SRF282" s="414"/>
      <c r="SRI282" s="445"/>
      <c r="SRJ282" s="414"/>
      <c r="SRM282" s="445"/>
      <c r="SRN282" s="414"/>
      <c r="SRQ282" s="445"/>
      <c r="SRR282" s="414"/>
      <c r="SRU282" s="445"/>
      <c r="SRV282" s="414"/>
      <c r="SRY282" s="445"/>
      <c r="SRZ282" s="414"/>
      <c r="SSC282" s="445"/>
      <c r="SSD282" s="414"/>
      <c r="SSG282" s="445"/>
      <c r="SSH282" s="414"/>
      <c r="SSK282" s="445"/>
      <c r="SSL282" s="414"/>
      <c r="SSO282" s="445"/>
      <c r="SSP282" s="414"/>
      <c r="SSS282" s="445"/>
      <c r="SST282" s="414"/>
      <c r="SSW282" s="445"/>
      <c r="SSX282" s="414"/>
      <c r="STA282" s="445"/>
      <c r="STB282" s="414"/>
      <c r="STE282" s="445"/>
      <c r="STF282" s="414"/>
      <c r="STI282" s="445"/>
      <c r="STJ282" s="414"/>
      <c r="STM282" s="445"/>
      <c r="STN282" s="414"/>
      <c r="STQ282" s="445"/>
      <c r="STR282" s="414"/>
      <c r="STU282" s="445"/>
      <c r="STV282" s="414"/>
      <c r="STY282" s="445"/>
      <c r="STZ282" s="414"/>
      <c r="SUC282" s="445"/>
      <c r="SUD282" s="414"/>
      <c r="SUG282" s="445"/>
      <c r="SUH282" s="414"/>
      <c r="SUK282" s="445"/>
      <c r="SUL282" s="414"/>
      <c r="SUO282" s="445"/>
      <c r="SUP282" s="414"/>
      <c r="SUS282" s="445"/>
      <c r="SUT282" s="414"/>
      <c r="SUW282" s="445"/>
      <c r="SUX282" s="414"/>
      <c r="SVA282" s="445"/>
      <c r="SVB282" s="414"/>
      <c r="SVE282" s="445"/>
      <c r="SVF282" s="414"/>
      <c r="SVI282" s="445"/>
      <c r="SVJ282" s="414"/>
      <c r="SVM282" s="445"/>
      <c r="SVN282" s="414"/>
      <c r="SVQ282" s="445"/>
      <c r="SVR282" s="414"/>
      <c r="SVU282" s="445"/>
      <c r="SVV282" s="414"/>
      <c r="SVY282" s="445"/>
      <c r="SVZ282" s="414"/>
      <c r="SWC282" s="445"/>
      <c r="SWD282" s="414"/>
      <c r="SWG282" s="445"/>
      <c r="SWH282" s="414"/>
      <c r="SWK282" s="445"/>
      <c r="SWL282" s="414"/>
      <c r="SWO282" s="445"/>
      <c r="SWP282" s="414"/>
      <c r="SWS282" s="445"/>
      <c r="SWT282" s="414"/>
      <c r="SWW282" s="445"/>
      <c r="SWX282" s="414"/>
      <c r="SXA282" s="445"/>
      <c r="SXB282" s="414"/>
      <c r="SXE282" s="445"/>
      <c r="SXF282" s="414"/>
      <c r="SXI282" s="445"/>
      <c r="SXJ282" s="414"/>
      <c r="SXM282" s="445"/>
      <c r="SXN282" s="414"/>
      <c r="SXQ282" s="445"/>
      <c r="SXR282" s="414"/>
      <c r="SXU282" s="445"/>
      <c r="SXV282" s="414"/>
      <c r="SXY282" s="445"/>
      <c r="SXZ282" s="414"/>
      <c r="SYC282" s="445"/>
      <c r="SYD282" s="414"/>
      <c r="SYG282" s="445"/>
      <c r="SYH282" s="414"/>
      <c r="SYK282" s="445"/>
      <c r="SYL282" s="414"/>
      <c r="SYO282" s="445"/>
      <c r="SYP282" s="414"/>
      <c r="SYS282" s="445"/>
      <c r="SYT282" s="414"/>
      <c r="SYW282" s="445"/>
      <c r="SYX282" s="414"/>
      <c r="SZA282" s="445"/>
      <c r="SZB282" s="414"/>
      <c r="SZE282" s="445"/>
      <c r="SZF282" s="414"/>
      <c r="SZI282" s="445"/>
      <c r="SZJ282" s="414"/>
      <c r="SZM282" s="445"/>
      <c r="SZN282" s="414"/>
      <c r="SZQ282" s="445"/>
      <c r="SZR282" s="414"/>
      <c r="SZU282" s="445"/>
      <c r="SZV282" s="414"/>
      <c r="SZY282" s="445"/>
      <c r="SZZ282" s="414"/>
      <c r="TAC282" s="445"/>
      <c r="TAD282" s="414"/>
      <c r="TAG282" s="445"/>
      <c r="TAH282" s="414"/>
      <c r="TAK282" s="445"/>
      <c r="TAL282" s="414"/>
      <c r="TAO282" s="445"/>
      <c r="TAP282" s="414"/>
      <c r="TAS282" s="445"/>
      <c r="TAT282" s="414"/>
      <c r="TAW282" s="445"/>
      <c r="TAX282" s="414"/>
      <c r="TBA282" s="445"/>
      <c r="TBB282" s="414"/>
      <c r="TBE282" s="445"/>
      <c r="TBF282" s="414"/>
      <c r="TBI282" s="445"/>
      <c r="TBJ282" s="414"/>
      <c r="TBM282" s="445"/>
      <c r="TBN282" s="414"/>
      <c r="TBQ282" s="445"/>
      <c r="TBR282" s="414"/>
      <c r="TBU282" s="445"/>
      <c r="TBV282" s="414"/>
      <c r="TBY282" s="445"/>
      <c r="TBZ282" s="414"/>
      <c r="TCC282" s="445"/>
      <c r="TCD282" s="414"/>
      <c r="TCG282" s="445"/>
      <c r="TCH282" s="414"/>
      <c r="TCK282" s="445"/>
      <c r="TCL282" s="414"/>
      <c r="TCO282" s="445"/>
      <c r="TCP282" s="414"/>
      <c r="TCS282" s="445"/>
      <c r="TCT282" s="414"/>
      <c r="TCW282" s="445"/>
      <c r="TCX282" s="414"/>
      <c r="TDA282" s="445"/>
      <c r="TDB282" s="414"/>
      <c r="TDE282" s="445"/>
      <c r="TDF282" s="414"/>
      <c r="TDI282" s="445"/>
      <c r="TDJ282" s="414"/>
      <c r="TDM282" s="445"/>
      <c r="TDN282" s="414"/>
      <c r="TDQ282" s="445"/>
      <c r="TDR282" s="414"/>
      <c r="TDU282" s="445"/>
      <c r="TDV282" s="414"/>
      <c r="TDY282" s="445"/>
      <c r="TDZ282" s="414"/>
      <c r="TEC282" s="445"/>
      <c r="TED282" s="414"/>
      <c r="TEG282" s="445"/>
      <c r="TEH282" s="414"/>
      <c r="TEK282" s="445"/>
      <c r="TEL282" s="414"/>
      <c r="TEO282" s="445"/>
      <c r="TEP282" s="414"/>
      <c r="TES282" s="445"/>
      <c r="TET282" s="414"/>
      <c r="TEW282" s="445"/>
      <c r="TEX282" s="414"/>
      <c r="TFA282" s="445"/>
      <c r="TFB282" s="414"/>
      <c r="TFE282" s="445"/>
      <c r="TFF282" s="414"/>
      <c r="TFI282" s="445"/>
      <c r="TFJ282" s="414"/>
      <c r="TFM282" s="445"/>
      <c r="TFN282" s="414"/>
      <c r="TFQ282" s="445"/>
      <c r="TFR282" s="414"/>
      <c r="TFU282" s="445"/>
      <c r="TFV282" s="414"/>
      <c r="TFY282" s="445"/>
      <c r="TFZ282" s="414"/>
      <c r="TGC282" s="445"/>
      <c r="TGD282" s="414"/>
      <c r="TGG282" s="445"/>
      <c r="TGH282" s="414"/>
      <c r="TGK282" s="445"/>
      <c r="TGL282" s="414"/>
      <c r="TGO282" s="445"/>
      <c r="TGP282" s="414"/>
      <c r="TGS282" s="445"/>
      <c r="TGT282" s="414"/>
      <c r="TGW282" s="445"/>
      <c r="TGX282" s="414"/>
      <c r="THA282" s="445"/>
      <c r="THB282" s="414"/>
      <c r="THE282" s="445"/>
      <c r="THF282" s="414"/>
      <c r="THI282" s="445"/>
      <c r="THJ282" s="414"/>
      <c r="THM282" s="445"/>
      <c r="THN282" s="414"/>
      <c r="THQ282" s="445"/>
      <c r="THR282" s="414"/>
      <c r="THU282" s="445"/>
      <c r="THV282" s="414"/>
      <c r="THY282" s="445"/>
      <c r="THZ282" s="414"/>
      <c r="TIC282" s="445"/>
      <c r="TID282" s="414"/>
      <c r="TIG282" s="445"/>
      <c r="TIH282" s="414"/>
      <c r="TIK282" s="445"/>
      <c r="TIL282" s="414"/>
      <c r="TIO282" s="445"/>
      <c r="TIP282" s="414"/>
      <c r="TIS282" s="445"/>
      <c r="TIT282" s="414"/>
      <c r="TIW282" s="445"/>
      <c r="TIX282" s="414"/>
      <c r="TJA282" s="445"/>
      <c r="TJB282" s="414"/>
      <c r="TJE282" s="445"/>
      <c r="TJF282" s="414"/>
      <c r="TJI282" s="445"/>
      <c r="TJJ282" s="414"/>
      <c r="TJM282" s="445"/>
      <c r="TJN282" s="414"/>
      <c r="TJQ282" s="445"/>
      <c r="TJR282" s="414"/>
      <c r="TJU282" s="445"/>
      <c r="TJV282" s="414"/>
      <c r="TJY282" s="445"/>
      <c r="TJZ282" s="414"/>
      <c r="TKC282" s="445"/>
      <c r="TKD282" s="414"/>
      <c r="TKG282" s="445"/>
      <c r="TKH282" s="414"/>
      <c r="TKK282" s="445"/>
      <c r="TKL282" s="414"/>
      <c r="TKO282" s="445"/>
      <c r="TKP282" s="414"/>
      <c r="TKS282" s="445"/>
      <c r="TKT282" s="414"/>
      <c r="TKW282" s="445"/>
      <c r="TKX282" s="414"/>
      <c r="TLA282" s="445"/>
      <c r="TLB282" s="414"/>
      <c r="TLE282" s="445"/>
      <c r="TLF282" s="414"/>
      <c r="TLI282" s="445"/>
      <c r="TLJ282" s="414"/>
      <c r="TLM282" s="445"/>
      <c r="TLN282" s="414"/>
      <c r="TLQ282" s="445"/>
      <c r="TLR282" s="414"/>
      <c r="TLU282" s="445"/>
      <c r="TLV282" s="414"/>
      <c r="TLY282" s="445"/>
      <c r="TLZ282" s="414"/>
      <c r="TMC282" s="445"/>
      <c r="TMD282" s="414"/>
      <c r="TMG282" s="445"/>
      <c r="TMH282" s="414"/>
      <c r="TMK282" s="445"/>
      <c r="TML282" s="414"/>
      <c r="TMO282" s="445"/>
      <c r="TMP282" s="414"/>
      <c r="TMS282" s="445"/>
      <c r="TMT282" s="414"/>
      <c r="TMW282" s="445"/>
      <c r="TMX282" s="414"/>
      <c r="TNA282" s="445"/>
      <c r="TNB282" s="414"/>
      <c r="TNE282" s="445"/>
      <c r="TNF282" s="414"/>
      <c r="TNI282" s="445"/>
      <c r="TNJ282" s="414"/>
      <c r="TNM282" s="445"/>
      <c r="TNN282" s="414"/>
      <c r="TNQ282" s="445"/>
      <c r="TNR282" s="414"/>
      <c r="TNU282" s="445"/>
      <c r="TNV282" s="414"/>
      <c r="TNY282" s="445"/>
      <c r="TNZ282" s="414"/>
      <c r="TOC282" s="445"/>
      <c r="TOD282" s="414"/>
      <c r="TOG282" s="445"/>
      <c r="TOH282" s="414"/>
      <c r="TOK282" s="445"/>
      <c r="TOL282" s="414"/>
      <c r="TOO282" s="445"/>
      <c r="TOP282" s="414"/>
      <c r="TOS282" s="445"/>
      <c r="TOT282" s="414"/>
      <c r="TOW282" s="445"/>
      <c r="TOX282" s="414"/>
      <c r="TPA282" s="445"/>
      <c r="TPB282" s="414"/>
      <c r="TPE282" s="445"/>
      <c r="TPF282" s="414"/>
      <c r="TPI282" s="445"/>
      <c r="TPJ282" s="414"/>
      <c r="TPM282" s="445"/>
      <c r="TPN282" s="414"/>
      <c r="TPQ282" s="445"/>
      <c r="TPR282" s="414"/>
      <c r="TPU282" s="445"/>
      <c r="TPV282" s="414"/>
      <c r="TPY282" s="445"/>
      <c r="TPZ282" s="414"/>
      <c r="TQC282" s="445"/>
      <c r="TQD282" s="414"/>
      <c r="TQG282" s="445"/>
      <c r="TQH282" s="414"/>
      <c r="TQK282" s="445"/>
      <c r="TQL282" s="414"/>
      <c r="TQO282" s="445"/>
      <c r="TQP282" s="414"/>
      <c r="TQS282" s="445"/>
      <c r="TQT282" s="414"/>
      <c r="TQW282" s="445"/>
      <c r="TQX282" s="414"/>
      <c r="TRA282" s="445"/>
      <c r="TRB282" s="414"/>
      <c r="TRE282" s="445"/>
      <c r="TRF282" s="414"/>
      <c r="TRI282" s="445"/>
      <c r="TRJ282" s="414"/>
      <c r="TRM282" s="445"/>
      <c r="TRN282" s="414"/>
      <c r="TRQ282" s="445"/>
      <c r="TRR282" s="414"/>
      <c r="TRU282" s="445"/>
      <c r="TRV282" s="414"/>
      <c r="TRY282" s="445"/>
      <c r="TRZ282" s="414"/>
      <c r="TSC282" s="445"/>
      <c r="TSD282" s="414"/>
      <c r="TSG282" s="445"/>
      <c r="TSH282" s="414"/>
      <c r="TSK282" s="445"/>
      <c r="TSL282" s="414"/>
      <c r="TSO282" s="445"/>
      <c r="TSP282" s="414"/>
      <c r="TSS282" s="445"/>
      <c r="TST282" s="414"/>
      <c r="TSW282" s="445"/>
      <c r="TSX282" s="414"/>
      <c r="TTA282" s="445"/>
      <c r="TTB282" s="414"/>
      <c r="TTE282" s="445"/>
      <c r="TTF282" s="414"/>
      <c r="TTI282" s="445"/>
      <c r="TTJ282" s="414"/>
      <c r="TTM282" s="445"/>
      <c r="TTN282" s="414"/>
      <c r="TTQ282" s="445"/>
      <c r="TTR282" s="414"/>
      <c r="TTU282" s="445"/>
      <c r="TTV282" s="414"/>
      <c r="TTY282" s="445"/>
      <c r="TTZ282" s="414"/>
      <c r="TUC282" s="445"/>
      <c r="TUD282" s="414"/>
      <c r="TUG282" s="445"/>
      <c r="TUH282" s="414"/>
      <c r="TUK282" s="445"/>
      <c r="TUL282" s="414"/>
      <c r="TUO282" s="445"/>
      <c r="TUP282" s="414"/>
      <c r="TUS282" s="445"/>
      <c r="TUT282" s="414"/>
      <c r="TUW282" s="445"/>
      <c r="TUX282" s="414"/>
      <c r="TVA282" s="445"/>
      <c r="TVB282" s="414"/>
      <c r="TVE282" s="445"/>
      <c r="TVF282" s="414"/>
      <c r="TVI282" s="445"/>
      <c r="TVJ282" s="414"/>
      <c r="TVM282" s="445"/>
      <c r="TVN282" s="414"/>
      <c r="TVQ282" s="445"/>
      <c r="TVR282" s="414"/>
      <c r="TVU282" s="445"/>
      <c r="TVV282" s="414"/>
      <c r="TVY282" s="445"/>
      <c r="TVZ282" s="414"/>
      <c r="TWC282" s="445"/>
      <c r="TWD282" s="414"/>
      <c r="TWG282" s="445"/>
      <c r="TWH282" s="414"/>
      <c r="TWK282" s="445"/>
      <c r="TWL282" s="414"/>
      <c r="TWO282" s="445"/>
      <c r="TWP282" s="414"/>
      <c r="TWS282" s="445"/>
      <c r="TWT282" s="414"/>
      <c r="TWW282" s="445"/>
      <c r="TWX282" s="414"/>
      <c r="TXA282" s="445"/>
      <c r="TXB282" s="414"/>
      <c r="TXE282" s="445"/>
      <c r="TXF282" s="414"/>
      <c r="TXI282" s="445"/>
      <c r="TXJ282" s="414"/>
      <c r="TXM282" s="445"/>
      <c r="TXN282" s="414"/>
      <c r="TXQ282" s="445"/>
      <c r="TXR282" s="414"/>
      <c r="TXU282" s="445"/>
      <c r="TXV282" s="414"/>
      <c r="TXY282" s="445"/>
      <c r="TXZ282" s="414"/>
      <c r="TYC282" s="445"/>
      <c r="TYD282" s="414"/>
      <c r="TYG282" s="445"/>
      <c r="TYH282" s="414"/>
      <c r="TYK282" s="445"/>
      <c r="TYL282" s="414"/>
      <c r="TYO282" s="445"/>
      <c r="TYP282" s="414"/>
      <c r="TYS282" s="445"/>
      <c r="TYT282" s="414"/>
      <c r="TYW282" s="445"/>
      <c r="TYX282" s="414"/>
      <c r="TZA282" s="445"/>
      <c r="TZB282" s="414"/>
      <c r="TZE282" s="445"/>
      <c r="TZF282" s="414"/>
      <c r="TZI282" s="445"/>
      <c r="TZJ282" s="414"/>
      <c r="TZM282" s="445"/>
      <c r="TZN282" s="414"/>
      <c r="TZQ282" s="445"/>
      <c r="TZR282" s="414"/>
      <c r="TZU282" s="445"/>
      <c r="TZV282" s="414"/>
      <c r="TZY282" s="445"/>
      <c r="TZZ282" s="414"/>
      <c r="UAC282" s="445"/>
      <c r="UAD282" s="414"/>
      <c r="UAG282" s="445"/>
      <c r="UAH282" s="414"/>
      <c r="UAK282" s="445"/>
      <c r="UAL282" s="414"/>
      <c r="UAO282" s="445"/>
      <c r="UAP282" s="414"/>
      <c r="UAS282" s="445"/>
      <c r="UAT282" s="414"/>
      <c r="UAW282" s="445"/>
      <c r="UAX282" s="414"/>
      <c r="UBA282" s="445"/>
      <c r="UBB282" s="414"/>
      <c r="UBE282" s="445"/>
      <c r="UBF282" s="414"/>
      <c r="UBI282" s="445"/>
      <c r="UBJ282" s="414"/>
      <c r="UBM282" s="445"/>
      <c r="UBN282" s="414"/>
      <c r="UBQ282" s="445"/>
      <c r="UBR282" s="414"/>
      <c r="UBU282" s="445"/>
      <c r="UBV282" s="414"/>
      <c r="UBY282" s="445"/>
      <c r="UBZ282" s="414"/>
      <c r="UCC282" s="445"/>
      <c r="UCD282" s="414"/>
      <c r="UCG282" s="445"/>
      <c r="UCH282" s="414"/>
      <c r="UCK282" s="445"/>
      <c r="UCL282" s="414"/>
      <c r="UCO282" s="445"/>
      <c r="UCP282" s="414"/>
      <c r="UCS282" s="445"/>
      <c r="UCT282" s="414"/>
      <c r="UCW282" s="445"/>
      <c r="UCX282" s="414"/>
      <c r="UDA282" s="445"/>
      <c r="UDB282" s="414"/>
      <c r="UDE282" s="445"/>
      <c r="UDF282" s="414"/>
      <c r="UDI282" s="445"/>
      <c r="UDJ282" s="414"/>
      <c r="UDM282" s="445"/>
      <c r="UDN282" s="414"/>
      <c r="UDQ282" s="445"/>
      <c r="UDR282" s="414"/>
      <c r="UDU282" s="445"/>
      <c r="UDV282" s="414"/>
      <c r="UDY282" s="445"/>
      <c r="UDZ282" s="414"/>
      <c r="UEC282" s="445"/>
      <c r="UED282" s="414"/>
      <c r="UEG282" s="445"/>
      <c r="UEH282" s="414"/>
      <c r="UEK282" s="445"/>
      <c r="UEL282" s="414"/>
      <c r="UEO282" s="445"/>
      <c r="UEP282" s="414"/>
      <c r="UES282" s="445"/>
      <c r="UET282" s="414"/>
      <c r="UEW282" s="445"/>
      <c r="UEX282" s="414"/>
      <c r="UFA282" s="445"/>
      <c r="UFB282" s="414"/>
      <c r="UFE282" s="445"/>
      <c r="UFF282" s="414"/>
      <c r="UFI282" s="445"/>
      <c r="UFJ282" s="414"/>
      <c r="UFM282" s="445"/>
      <c r="UFN282" s="414"/>
      <c r="UFQ282" s="445"/>
      <c r="UFR282" s="414"/>
      <c r="UFU282" s="445"/>
      <c r="UFV282" s="414"/>
      <c r="UFY282" s="445"/>
      <c r="UFZ282" s="414"/>
      <c r="UGC282" s="445"/>
      <c r="UGD282" s="414"/>
      <c r="UGG282" s="445"/>
      <c r="UGH282" s="414"/>
      <c r="UGK282" s="445"/>
      <c r="UGL282" s="414"/>
      <c r="UGO282" s="445"/>
      <c r="UGP282" s="414"/>
      <c r="UGS282" s="445"/>
      <c r="UGT282" s="414"/>
      <c r="UGW282" s="445"/>
      <c r="UGX282" s="414"/>
      <c r="UHA282" s="445"/>
      <c r="UHB282" s="414"/>
      <c r="UHE282" s="445"/>
      <c r="UHF282" s="414"/>
      <c r="UHI282" s="445"/>
      <c r="UHJ282" s="414"/>
      <c r="UHM282" s="445"/>
      <c r="UHN282" s="414"/>
      <c r="UHQ282" s="445"/>
      <c r="UHR282" s="414"/>
      <c r="UHU282" s="445"/>
      <c r="UHV282" s="414"/>
      <c r="UHY282" s="445"/>
      <c r="UHZ282" s="414"/>
      <c r="UIC282" s="445"/>
      <c r="UID282" s="414"/>
      <c r="UIG282" s="445"/>
      <c r="UIH282" s="414"/>
      <c r="UIK282" s="445"/>
      <c r="UIL282" s="414"/>
      <c r="UIO282" s="445"/>
      <c r="UIP282" s="414"/>
      <c r="UIS282" s="445"/>
      <c r="UIT282" s="414"/>
      <c r="UIW282" s="445"/>
      <c r="UIX282" s="414"/>
      <c r="UJA282" s="445"/>
      <c r="UJB282" s="414"/>
      <c r="UJE282" s="445"/>
      <c r="UJF282" s="414"/>
      <c r="UJI282" s="445"/>
      <c r="UJJ282" s="414"/>
      <c r="UJM282" s="445"/>
      <c r="UJN282" s="414"/>
      <c r="UJQ282" s="445"/>
      <c r="UJR282" s="414"/>
      <c r="UJU282" s="445"/>
      <c r="UJV282" s="414"/>
      <c r="UJY282" s="445"/>
      <c r="UJZ282" s="414"/>
      <c r="UKC282" s="445"/>
      <c r="UKD282" s="414"/>
      <c r="UKG282" s="445"/>
      <c r="UKH282" s="414"/>
      <c r="UKK282" s="445"/>
      <c r="UKL282" s="414"/>
      <c r="UKO282" s="445"/>
      <c r="UKP282" s="414"/>
      <c r="UKS282" s="445"/>
      <c r="UKT282" s="414"/>
      <c r="UKW282" s="445"/>
      <c r="UKX282" s="414"/>
      <c r="ULA282" s="445"/>
      <c r="ULB282" s="414"/>
      <c r="ULE282" s="445"/>
      <c r="ULF282" s="414"/>
      <c r="ULI282" s="445"/>
      <c r="ULJ282" s="414"/>
      <c r="ULM282" s="445"/>
      <c r="ULN282" s="414"/>
      <c r="ULQ282" s="445"/>
      <c r="ULR282" s="414"/>
      <c r="ULU282" s="445"/>
      <c r="ULV282" s="414"/>
      <c r="ULY282" s="445"/>
      <c r="ULZ282" s="414"/>
      <c r="UMC282" s="445"/>
      <c r="UMD282" s="414"/>
      <c r="UMG282" s="445"/>
      <c r="UMH282" s="414"/>
      <c r="UMK282" s="445"/>
      <c r="UML282" s="414"/>
      <c r="UMO282" s="445"/>
      <c r="UMP282" s="414"/>
      <c r="UMS282" s="445"/>
      <c r="UMT282" s="414"/>
      <c r="UMW282" s="445"/>
      <c r="UMX282" s="414"/>
      <c r="UNA282" s="445"/>
      <c r="UNB282" s="414"/>
      <c r="UNE282" s="445"/>
      <c r="UNF282" s="414"/>
      <c r="UNI282" s="445"/>
      <c r="UNJ282" s="414"/>
      <c r="UNM282" s="445"/>
      <c r="UNN282" s="414"/>
      <c r="UNQ282" s="445"/>
      <c r="UNR282" s="414"/>
      <c r="UNU282" s="445"/>
      <c r="UNV282" s="414"/>
      <c r="UNY282" s="445"/>
      <c r="UNZ282" s="414"/>
      <c r="UOC282" s="445"/>
      <c r="UOD282" s="414"/>
      <c r="UOG282" s="445"/>
      <c r="UOH282" s="414"/>
      <c r="UOK282" s="445"/>
      <c r="UOL282" s="414"/>
      <c r="UOO282" s="445"/>
      <c r="UOP282" s="414"/>
      <c r="UOS282" s="445"/>
      <c r="UOT282" s="414"/>
      <c r="UOW282" s="445"/>
      <c r="UOX282" s="414"/>
      <c r="UPA282" s="445"/>
      <c r="UPB282" s="414"/>
      <c r="UPE282" s="445"/>
      <c r="UPF282" s="414"/>
      <c r="UPI282" s="445"/>
      <c r="UPJ282" s="414"/>
      <c r="UPM282" s="445"/>
      <c r="UPN282" s="414"/>
      <c r="UPQ282" s="445"/>
      <c r="UPR282" s="414"/>
      <c r="UPU282" s="445"/>
      <c r="UPV282" s="414"/>
      <c r="UPY282" s="445"/>
      <c r="UPZ282" s="414"/>
      <c r="UQC282" s="445"/>
      <c r="UQD282" s="414"/>
      <c r="UQG282" s="445"/>
      <c r="UQH282" s="414"/>
      <c r="UQK282" s="445"/>
      <c r="UQL282" s="414"/>
      <c r="UQO282" s="445"/>
      <c r="UQP282" s="414"/>
      <c r="UQS282" s="445"/>
      <c r="UQT282" s="414"/>
      <c r="UQW282" s="445"/>
      <c r="UQX282" s="414"/>
      <c r="URA282" s="445"/>
      <c r="URB282" s="414"/>
      <c r="URE282" s="445"/>
      <c r="URF282" s="414"/>
      <c r="URI282" s="445"/>
      <c r="URJ282" s="414"/>
      <c r="URM282" s="445"/>
      <c r="URN282" s="414"/>
      <c r="URQ282" s="445"/>
      <c r="URR282" s="414"/>
      <c r="URU282" s="445"/>
      <c r="URV282" s="414"/>
      <c r="URY282" s="445"/>
      <c r="URZ282" s="414"/>
      <c r="USC282" s="445"/>
      <c r="USD282" s="414"/>
      <c r="USG282" s="445"/>
      <c r="USH282" s="414"/>
      <c r="USK282" s="445"/>
      <c r="USL282" s="414"/>
      <c r="USO282" s="445"/>
      <c r="USP282" s="414"/>
      <c r="USS282" s="445"/>
      <c r="UST282" s="414"/>
      <c r="USW282" s="445"/>
      <c r="USX282" s="414"/>
      <c r="UTA282" s="445"/>
      <c r="UTB282" s="414"/>
      <c r="UTE282" s="445"/>
      <c r="UTF282" s="414"/>
      <c r="UTI282" s="445"/>
      <c r="UTJ282" s="414"/>
      <c r="UTM282" s="445"/>
      <c r="UTN282" s="414"/>
      <c r="UTQ282" s="445"/>
      <c r="UTR282" s="414"/>
      <c r="UTU282" s="445"/>
      <c r="UTV282" s="414"/>
      <c r="UTY282" s="445"/>
      <c r="UTZ282" s="414"/>
      <c r="UUC282" s="445"/>
      <c r="UUD282" s="414"/>
      <c r="UUG282" s="445"/>
      <c r="UUH282" s="414"/>
      <c r="UUK282" s="445"/>
      <c r="UUL282" s="414"/>
      <c r="UUO282" s="445"/>
      <c r="UUP282" s="414"/>
      <c r="UUS282" s="445"/>
      <c r="UUT282" s="414"/>
      <c r="UUW282" s="445"/>
      <c r="UUX282" s="414"/>
      <c r="UVA282" s="445"/>
      <c r="UVB282" s="414"/>
      <c r="UVE282" s="445"/>
      <c r="UVF282" s="414"/>
      <c r="UVI282" s="445"/>
      <c r="UVJ282" s="414"/>
      <c r="UVM282" s="445"/>
      <c r="UVN282" s="414"/>
      <c r="UVQ282" s="445"/>
      <c r="UVR282" s="414"/>
      <c r="UVU282" s="445"/>
      <c r="UVV282" s="414"/>
      <c r="UVY282" s="445"/>
      <c r="UVZ282" s="414"/>
      <c r="UWC282" s="445"/>
      <c r="UWD282" s="414"/>
      <c r="UWG282" s="445"/>
      <c r="UWH282" s="414"/>
      <c r="UWK282" s="445"/>
      <c r="UWL282" s="414"/>
      <c r="UWO282" s="445"/>
      <c r="UWP282" s="414"/>
      <c r="UWS282" s="445"/>
      <c r="UWT282" s="414"/>
      <c r="UWW282" s="445"/>
      <c r="UWX282" s="414"/>
      <c r="UXA282" s="445"/>
      <c r="UXB282" s="414"/>
      <c r="UXE282" s="445"/>
      <c r="UXF282" s="414"/>
      <c r="UXI282" s="445"/>
      <c r="UXJ282" s="414"/>
      <c r="UXM282" s="445"/>
      <c r="UXN282" s="414"/>
      <c r="UXQ282" s="445"/>
      <c r="UXR282" s="414"/>
      <c r="UXU282" s="445"/>
      <c r="UXV282" s="414"/>
      <c r="UXY282" s="445"/>
      <c r="UXZ282" s="414"/>
      <c r="UYC282" s="445"/>
      <c r="UYD282" s="414"/>
      <c r="UYG282" s="445"/>
      <c r="UYH282" s="414"/>
      <c r="UYK282" s="445"/>
      <c r="UYL282" s="414"/>
      <c r="UYO282" s="445"/>
      <c r="UYP282" s="414"/>
      <c r="UYS282" s="445"/>
      <c r="UYT282" s="414"/>
      <c r="UYW282" s="445"/>
      <c r="UYX282" s="414"/>
      <c r="UZA282" s="445"/>
      <c r="UZB282" s="414"/>
      <c r="UZE282" s="445"/>
      <c r="UZF282" s="414"/>
      <c r="UZI282" s="445"/>
      <c r="UZJ282" s="414"/>
      <c r="UZM282" s="445"/>
      <c r="UZN282" s="414"/>
      <c r="UZQ282" s="445"/>
      <c r="UZR282" s="414"/>
      <c r="UZU282" s="445"/>
      <c r="UZV282" s="414"/>
      <c r="UZY282" s="445"/>
      <c r="UZZ282" s="414"/>
      <c r="VAC282" s="445"/>
      <c r="VAD282" s="414"/>
      <c r="VAG282" s="445"/>
      <c r="VAH282" s="414"/>
      <c r="VAK282" s="445"/>
      <c r="VAL282" s="414"/>
      <c r="VAO282" s="445"/>
      <c r="VAP282" s="414"/>
      <c r="VAS282" s="445"/>
      <c r="VAT282" s="414"/>
      <c r="VAW282" s="445"/>
      <c r="VAX282" s="414"/>
      <c r="VBA282" s="445"/>
      <c r="VBB282" s="414"/>
      <c r="VBE282" s="445"/>
      <c r="VBF282" s="414"/>
      <c r="VBI282" s="445"/>
      <c r="VBJ282" s="414"/>
      <c r="VBM282" s="445"/>
      <c r="VBN282" s="414"/>
      <c r="VBQ282" s="445"/>
      <c r="VBR282" s="414"/>
      <c r="VBU282" s="445"/>
      <c r="VBV282" s="414"/>
      <c r="VBY282" s="445"/>
      <c r="VBZ282" s="414"/>
      <c r="VCC282" s="445"/>
      <c r="VCD282" s="414"/>
      <c r="VCG282" s="445"/>
      <c r="VCH282" s="414"/>
      <c r="VCK282" s="445"/>
      <c r="VCL282" s="414"/>
      <c r="VCO282" s="445"/>
      <c r="VCP282" s="414"/>
      <c r="VCS282" s="445"/>
      <c r="VCT282" s="414"/>
      <c r="VCW282" s="445"/>
      <c r="VCX282" s="414"/>
      <c r="VDA282" s="445"/>
      <c r="VDB282" s="414"/>
      <c r="VDE282" s="445"/>
      <c r="VDF282" s="414"/>
      <c r="VDI282" s="445"/>
      <c r="VDJ282" s="414"/>
      <c r="VDM282" s="445"/>
      <c r="VDN282" s="414"/>
      <c r="VDQ282" s="445"/>
      <c r="VDR282" s="414"/>
      <c r="VDU282" s="445"/>
      <c r="VDV282" s="414"/>
      <c r="VDY282" s="445"/>
      <c r="VDZ282" s="414"/>
      <c r="VEC282" s="445"/>
      <c r="VED282" s="414"/>
      <c r="VEG282" s="445"/>
      <c r="VEH282" s="414"/>
      <c r="VEK282" s="445"/>
      <c r="VEL282" s="414"/>
      <c r="VEO282" s="445"/>
      <c r="VEP282" s="414"/>
      <c r="VES282" s="445"/>
      <c r="VET282" s="414"/>
      <c r="VEW282" s="445"/>
      <c r="VEX282" s="414"/>
      <c r="VFA282" s="445"/>
      <c r="VFB282" s="414"/>
      <c r="VFE282" s="445"/>
      <c r="VFF282" s="414"/>
      <c r="VFI282" s="445"/>
      <c r="VFJ282" s="414"/>
      <c r="VFM282" s="445"/>
      <c r="VFN282" s="414"/>
      <c r="VFQ282" s="445"/>
      <c r="VFR282" s="414"/>
      <c r="VFU282" s="445"/>
      <c r="VFV282" s="414"/>
      <c r="VFY282" s="445"/>
      <c r="VFZ282" s="414"/>
      <c r="VGC282" s="445"/>
      <c r="VGD282" s="414"/>
      <c r="VGG282" s="445"/>
      <c r="VGH282" s="414"/>
      <c r="VGK282" s="445"/>
      <c r="VGL282" s="414"/>
      <c r="VGO282" s="445"/>
      <c r="VGP282" s="414"/>
      <c r="VGS282" s="445"/>
      <c r="VGT282" s="414"/>
      <c r="VGW282" s="445"/>
      <c r="VGX282" s="414"/>
      <c r="VHA282" s="445"/>
      <c r="VHB282" s="414"/>
      <c r="VHE282" s="445"/>
      <c r="VHF282" s="414"/>
      <c r="VHI282" s="445"/>
      <c r="VHJ282" s="414"/>
      <c r="VHM282" s="445"/>
      <c r="VHN282" s="414"/>
      <c r="VHQ282" s="445"/>
      <c r="VHR282" s="414"/>
      <c r="VHU282" s="445"/>
      <c r="VHV282" s="414"/>
      <c r="VHY282" s="445"/>
      <c r="VHZ282" s="414"/>
      <c r="VIC282" s="445"/>
      <c r="VID282" s="414"/>
      <c r="VIG282" s="445"/>
      <c r="VIH282" s="414"/>
      <c r="VIK282" s="445"/>
      <c r="VIL282" s="414"/>
      <c r="VIO282" s="445"/>
      <c r="VIP282" s="414"/>
      <c r="VIS282" s="445"/>
      <c r="VIT282" s="414"/>
      <c r="VIW282" s="445"/>
      <c r="VIX282" s="414"/>
      <c r="VJA282" s="445"/>
      <c r="VJB282" s="414"/>
      <c r="VJE282" s="445"/>
      <c r="VJF282" s="414"/>
      <c r="VJI282" s="445"/>
      <c r="VJJ282" s="414"/>
      <c r="VJM282" s="445"/>
      <c r="VJN282" s="414"/>
      <c r="VJQ282" s="445"/>
      <c r="VJR282" s="414"/>
      <c r="VJU282" s="445"/>
      <c r="VJV282" s="414"/>
      <c r="VJY282" s="445"/>
      <c r="VJZ282" s="414"/>
      <c r="VKC282" s="445"/>
      <c r="VKD282" s="414"/>
      <c r="VKG282" s="445"/>
      <c r="VKH282" s="414"/>
      <c r="VKK282" s="445"/>
      <c r="VKL282" s="414"/>
      <c r="VKO282" s="445"/>
      <c r="VKP282" s="414"/>
      <c r="VKS282" s="445"/>
      <c r="VKT282" s="414"/>
      <c r="VKW282" s="445"/>
      <c r="VKX282" s="414"/>
      <c r="VLA282" s="445"/>
      <c r="VLB282" s="414"/>
      <c r="VLE282" s="445"/>
      <c r="VLF282" s="414"/>
      <c r="VLI282" s="445"/>
      <c r="VLJ282" s="414"/>
      <c r="VLM282" s="445"/>
      <c r="VLN282" s="414"/>
      <c r="VLQ282" s="445"/>
      <c r="VLR282" s="414"/>
      <c r="VLU282" s="445"/>
      <c r="VLV282" s="414"/>
      <c r="VLY282" s="445"/>
      <c r="VLZ282" s="414"/>
      <c r="VMC282" s="445"/>
      <c r="VMD282" s="414"/>
      <c r="VMG282" s="445"/>
      <c r="VMH282" s="414"/>
      <c r="VMK282" s="445"/>
      <c r="VML282" s="414"/>
      <c r="VMO282" s="445"/>
      <c r="VMP282" s="414"/>
      <c r="VMS282" s="445"/>
      <c r="VMT282" s="414"/>
      <c r="VMW282" s="445"/>
      <c r="VMX282" s="414"/>
      <c r="VNA282" s="445"/>
      <c r="VNB282" s="414"/>
      <c r="VNE282" s="445"/>
      <c r="VNF282" s="414"/>
      <c r="VNI282" s="445"/>
      <c r="VNJ282" s="414"/>
      <c r="VNM282" s="445"/>
      <c r="VNN282" s="414"/>
      <c r="VNQ282" s="445"/>
      <c r="VNR282" s="414"/>
      <c r="VNU282" s="445"/>
      <c r="VNV282" s="414"/>
      <c r="VNY282" s="445"/>
      <c r="VNZ282" s="414"/>
      <c r="VOC282" s="445"/>
      <c r="VOD282" s="414"/>
      <c r="VOG282" s="445"/>
      <c r="VOH282" s="414"/>
      <c r="VOK282" s="445"/>
      <c r="VOL282" s="414"/>
      <c r="VOO282" s="445"/>
      <c r="VOP282" s="414"/>
      <c r="VOS282" s="445"/>
      <c r="VOT282" s="414"/>
      <c r="VOW282" s="445"/>
      <c r="VOX282" s="414"/>
      <c r="VPA282" s="445"/>
      <c r="VPB282" s="414"/>
      <c r="VPE282" s="445"/>
      <c r="VPF282" s="414"/>
      <c r="VPI282" s="445"/>
      <c r="VPJ282" s="414"/>
      <c r="VPM282" s="445"/>
      <c r="VPN282" s="414"/>
      <c r="VPQ282" s="445"/>
      <c r="VPR282" s="414"/>
      <c r="VPU282" s="445"/>
      <c r="VPV282" s="414"/>
      <c r="VPY282" s="445"/>
      <c r="VPZ282" s="414"/>
      <c r="VQC282" s="445"/>
      <c r="VQD282" s="414"/>
      <c r="VQG282" s="445"/>
      <c r="VQH282" s="414"/>
      <c r="VQK282" s="445"/>
      <c r="VQL282" s="414"/>
      <c r="VQO282" s="445"/>
      <c r="VQP282" s="414"/>
      <c r="VQS282" s="445"/>
      <c r="VQT282" s="414"/>
      <c r="VQW282" s="445"/>
      <c r="VQX282" s="414"/>
      <c r="VRA282" s="445"/>
      <c r="VRB282" s="414"/>
      <c r="VRE282" s="445"/>
      <c r="VRF282" s="414"/>
      <c r="VRI282" s="445"/>
      <c r="VRJ282" s="414"/>
      <c r="VRM282" s="445"/>
      <c r="VRN282" s="414"/>
      <c r="VRQ282" s="445"/>
      <c r="VRR282" s="414"/>
      <c r="VRU282" s="445"/>
      <c r="VRV282" s="414"/>
      <c r="VRY282" s="445"/>
      <c r="VRZ282" s="414"/>
      <c r="VSC282" s="445"/>
      <c r="VSD282" s="414"/>
      <c r="VSG282" s="445"/>
      <c r="VSH282" s="414"/>
      <c r="VSK282" s="445"/>
      <c r="VSL282" s="414"/>
      <c r="VSO282" s="445"/>
      <c r="VSP282" s="414"/>
      <c r="VSS282" s="445"/>
      <c r="VST282" s="414"/>
      <c r="VSW282" s="445"/>
      <c r="VSX282" s="414"/>
      <c r="VTA282" s="445"/>
      <c r="VTB282" s="414"/>
      <c r="VTE282" s="445"/>
      <c r="VTF282" s="414"/>
      <c r="VTI282" s="445"/>
      <c r="VTJ282" s="414"/>
      <c r="VTM282" s="445"/>
      <c r="VTN282" s="414"/>
      <c r="VTQ282" s="445"/>
      <c r="VTR282" s="414"/>
      <c r="VTU282" s="445"/>
      <c r="VTV282" s="414"/>
      <c r="VTY282" s="445"/>
      <c r="VTZ282" s="414"/>
      <c r="VUC282" s="445"/>
      <c r="VUD282" s="414"/>
      <c r="VUG282" s="445"/>
      <c r="VUH282" s="414"/>
      <c r="VUK282" s="445"/>
      <c r="VUL282" s="414"/>
      <c r="VUO282" s="445"/>
      <c r="VUP282" s="414"/>
      <c r="VUS282" s="445"/>
      <c r="VUT282" s="414"/>
      <c r="VUW282" s="445"/>
      <c r="VUX282" s="414"/>
      <c r="VVA282" s="445"/>
      <c r="VVB282" s="414"/>
      <c r="VVE282" s="445"/>
      <c r="VVF282" s="414"/>
      <c r="VVI282" s="445"/>
      <c r="VVJ282" s="414"/>
      <c r="VVM282" s="445"/>
      <c r="VVN282" s="414"/>
      <c r="VVQ282" s="445"/>
      <c r="VVR282" s="414"/>
      <c r="VVU282" s="445"/>
      <c r="VVV282" s="414"/>
      <c r="VVY282" s="445"/>
      <c r="VVZ282" s="414"/>
      <c r="VWC282" s="445"/>
      <c r="VWD282" s="414"/>
      <c r="VWG282" s="445"/>
      <c r="VWH282" s="414"/>
      <c r="VWK282" s="445"/>
      <c r="VWL282" s="414"/>
      <c r="VWO282" s="445"/>
      <c r="VWP282" s="414"/>
      <c r="VWS282" s="445"/>
      <c r="VWT282" s="414"/>
      <c r="VWW282" s="445"/>
      <c r="VWX282" s="414"/>
      <c r="VXA282" s="445"/>
      <c r="VXB282" s="414"/>
      <c r="VXE282" s="445"/>
      <c r="VXF282" s="414"/>
      <c r="VXI282" s="445"/>
      <c r="VXJ282" s="414"/>
      <c r="VXM282" s="445"/>
      <c r="VXN282" s="414"/>
      <c r="VXQ282" s="445"/>
      <c r="VXR282" s="414"/>
      <c r="VXU282" s="445"/>
      <c r="VXV282" s="414"/>
      <c r="VXY282" s="445"/>
      <c r="VXZ282" s="414"/>
      <c r="VYC282" s="445"/>
      <c r="VYD282" s="414"/>
      <c r="VYG282" s="445"/>
      <c r="VYH282" s="414"/>
      <c r="VYK282" s="445"/>
      <c r="VYL282" s="414"/>
      <c r="VYO282" s="445"/>
      <c r="VYP282" s="414"/>
      <c r="VYS282" s="445"/>
      <c r="VYT282" s="414"/>
      <c r="VYW282" s="445"/>
      <c r="VYX282" s="414"/>
      <c r="VZA282" s="445"/>
      <c r="VZB282" s="414"/>
      <c r="VZE282" s="445"/>
      <c r="VZF282" s="414"/>
      <c r="VZI282" s="445"/>
      <c r="VZJ282" s="414"/>
      <c r="VZM282" s="445"/>
      <c r="VZN282" s="414"/>
      <c r="VZQ282" s="445"/>
      <c r="VZR282" s="414"/>
      <c r="VZU282" s="445"/>
      <c r="VZV282" s="414"/>
      <c r="VZY282" s="445"/>
      <c r="VZZ282" s="414"/>
      <c r="WAC282" s="445"/>
      <c r="WAD282" s="414"/>
      <c r="WAG282" s="445"/>
      <c r="WAH282" s="414"/>
      <c r="WAK282" s="445"/>
      <c r="WAL282" s="414"/>
      <c r="WAO282" s="445"/>
      <c r="WAP282" s="414"/>
      <c r="WAS282" s="445"/>
      <c r="WAT282" s="414"/>
      <c r="WAW282" s="445"/>
      <c r="WAX282" s="414"/>
      <c r="WBA282" s="445"/>
      <c r="WBB282" s="414"/>
      <c r="WBE282" s="445"/>
      <c r="WBF282" s="414"/>
      <c r="WBI282" s="445"/>
      <c r="WBJ282" s="414"/>
      <c r="WBM282" s="445"/>
      <c r="WBN282" s="414"/>
      <c r="WBQ282" s="445"/>
      <c r="WBR282" s="414"/>
      <c r="WBU282" s="445"/>
      <c r="WBV282" s="414"/>
      <c r="WBY282" s="445"/>
      <c r="WBZ282" s="414"/>
      <c r="WCC282" s="445"/>
      <c r="WCD282" s="414"/>
      <c r="WCG282" s="445"/>
      <c r="WCH282" s="414"/>
      <c r="WCK282" s="445"/>
      <c r="WCL282" s="414"/>
      <c r="WCO282" s="445"/>
      <c r="WCP282" s="414"/>
      <c r="WCS282" s="445"/>
      <c r="WCT282" s="414"/>
      <c r="WCW282" s="445"/>
      <c r="WCX282" s="414"/>
      <c r="WDA282" s="445"/>
      <c r="WDB282" s="414"/>
      <c r="WDE282" s="445"/>
      <c r="WDF282" s="414"/>
      <c r="WDI282" s="445"/>
      <c r="WDJ282" s="414"/>
      <c r="WDM282" s="445"/>
      <c r="WDN282" s="414"/>
      <c r="WDQ282" s="445"/>
      <c r="WDR282" s="414"/>
      <c r="WDU282" s="445"/>
      <c r="WDV282" s="414"/>
      <c r="WDY282" s="445"/>
      <c r="WDZ282" s="414"/>
      <c r="WEC282" s="445"/>
      <c r="WED282" s="414"/>
      <c r="WEG282" s="445"/>
      <c r="WEH282" s="414"/>
      <c r="WEK282" s="445"/>
      <c r="WEL282" s="414"/>
      <c r="WEO282" s="445"/>
      <c r="WEP282" s="414"/>
      <c r="WES282" s="445"/>
      <c r="WET282" s="414"/>
      <c r="WEW282" s="445"/>
      <c r="WEX282" s="414"/>
      <c r="WFA282" s="445"/>
      <c r="WFB282" s="414"/>
      <c r="WFE282" s="445"/>
      <c r="WFF282" s="414"/>
      <c r="WFI282" s="445"/>
      <c r="WFJ282" s="414"/>
      <c r="WFM282" s="445"/>
      <c r="WFN282" s="414"/>
      <c r="WFQ282" s="445"/>
      <c r="WFR282" s="414"/>
      <c r="WFU282" s="445"/>
      <c r="WFV282" s="414"/>
      <c r="WFY282" s="445"/>
      <c r="WFZ282" s="414"/>
      <c r="WGC282" s="445"/>
      <c r="WGD282" s="414"/>
      <c r="WGG282" s="445"/>
      <c r="WGH282" s="414"/>
      <c r="WGK282" s="445"/>
      <c r="WGL282" s="414"/>
      <c r="WGO282" s="445"/>
      <c r="WGP282" s="414"/>
      <c r="WGS282" s="445"/>
      <c r="WGT282" s="414"/>
      <c r="WGW282" s="445"/>
      <c r="WGX282" s="414"/>
      <c r="WHA282" s="445"/>
      <c r="WHB282" s="414"/>
      <c r="WHE282" s="445"/>
      <c r="WHF282" s="414"/>
      <c r="WHI282" s="445"/>
      <c r="WHJ282" s="414"/>
      <c r="WHM282" s="445"/>
      <c r="WHN282" s="414"/>
      <c r="WHQ282" s="445"/>
      <c r="WHR282" s="414"/>
      <c r="WHU282" s="445"/>
      <c r="WHV282" s="414"/>
      <c r="WHY282" s="445"/>
      <c r="WHZ282" s="414"/>
      <c r="WIC282" s="445"/>
      <c r="WID282" s="414"/>
      <c r="WIG282" s="445"/>
      <c r="WIH282" s="414"/>
      <c r="WIK282" s="445"/>
      <c r="WIL282" s="414"/>
      <c r="WIO282" s="445"/>
      <c r="WIP282" s="414"/>
      <c r="WIS282" s="445"/>
      <c r="WIT282" s="414"/>
      <c r="WIW282" s="445"/>
      <c r="WIX282" s="414"/>
      <c r="WJA282" s="445"/>
      <c r="WJB282" s="414"/>
      <c r="WJE282" s="445"/>
      <c r="WJF282" s="414"/>
      <c r="WJI282" s="445"/>
      <c r="WJJ282" s="414"/>
      <c r="WJM282" s="445"/>
      <c r="WJN282" s="414"/>
      <c r="WJQ282" s="445"/>
      <c r="WJR282" s="414"/>
      <c r="WJU282" s="445"/>
      <c r="WJV282" s="414"/>
      <c r="WJY282" s="445"/>
      <c r="WJZ282" s="414"/>
      <c r="WKC282" s="445"/>
      <c r="WKD282" s="414"/>
      <c r="WKG282" s="445"/>
      <c r="WKH282" s="414"/>
      <c r="WKK282" s="445"/>
      <c r="WKL282" s="414"/>
      <c r="WKO282" s="445"/>
      <c r="WKP282" s="414"/>
      <c r="WKS282" s="445"/>
      <c r="WKT282" s="414"/>
      <c r="WKW282" s="445"/>
      <c r="WKX282" s="414"/>
      <c r="WLA282" s="445"/>
      <c r="WLB282" s="414"/>
      <c r="WLE282" s="445"/>
      <c r="WLF282" s="414"/>
      <c r="WLI282" s="445"/>
      <c r="WLJ282" s="414"/>
      <c r="WLM282" s="445"/>
      <c r="WLN282" s="414"/>
      <c r="WLQ282" s="445"/>
      <c r="WLR282" s="414"/>
      <c r="WLU282" s="445"/>
      <c r="WLV282" s="414"/>
      <c r="WLY282" s="445"/>
      <c r="WLZ282" s="414"/>
      <c r="WMC282" s="445"/>
      <c r="WMD282" s="414"/>
      <c r="WMG282" s="445"/>
      <c r="WMH282" s="414"/>
      <c r="WMK282" s="445"/>
      <c r="WML282" s="414"/>
      <c r="WMO282" s="445"/>
      <c r="WMP282" s="414"/>
      <c r="WMS282" s="445"/>
      <c r="WMT282" s="414"/>
      <c r="WMW282" s="445"/>
      <c r="WMX282" s="414"/>
      <c r="WNA282" s="445"/>
      <c r="WNB282" s="414"/>
      <c r="WNE282" s="445"/>
      <c r="WNF282" s="414"/>
      <c r="WNI282" s="445"/>
      <c r="WNJ282" s="414"/>
      <c r="WNM282" s="445"/>
      <c r="WNN282" s="414"/>
      <c r="WNQ282" s="445"/>
      <c r="WNR282" s="414"/>
      <c r="WNU282" s="445"/>
      <c r="WNV282" s="414"/>
      <c r="WNY282" s="445"/>
      <c r="WNZ282" s="414"/>
      <c r="WOC282" s="445"/>
      <c r="WOD282" s="414"/>
      <c r="WOG282" s="445"/>
      <c r="WOH282" s="414"/>
      <c r="WOK282" s="445"/>
      <c r="WOL282" s="414"/>
      <c r="WOO282" s="445"/>
      <c r="WOP282" s="414"/>
      <c r="WOS282" s="445"/>
      <c r="WOT282" s="414"/>
      <c r="WOW282" s="445"/>
      <c r="WOX282" s="414"/>
      <c r="WPA282" s="445"/>
      <c r="WPB282" s="414"/>
      <c r="WPE282" s="445"/>
      <c r="WPF282" s="414"/>
      <c r="WPI282" s="445"/>
      <c r="WPJ282" s="414"/>
      <c r="WPM282" s="445"/>
      <c r="WPN282" s="414"/>
      <c r="WPQ282" s="445"/>
      <c r="WPR282" s="414"/>
      <c r="WPU282" s="445"/>
      <c r="WPV282" s="414"/>
      <c r="WPY282" s="445"/>
      <c r="WPZ282" s="414"/>
      <c r="WQC282" s="445"/>
      <c r="WQD282" s="414"/>
      <c r="WQG282" s="445"/>
      <c r="WQH282" s="414"/>
      <c r="WQK282" s="445"/>
      <c r="WQL282" s="414"/>
      <c r="WQO282" s="445"/>
      <c r="WQP282" s="414"/>
      <c r="WQS282" s="445"/>
      <c r="WQT282" s="414"/>
      <c r="WQW282" s="445"/>
      <c r="WQX282" s="414"/>
      <c r="WRA282" s="445"/>
      <c r="WRB282" s="414"/>
      <c r="WRE282" s="445"/>
      <c r="WRF282" s="414"/>
      <c r="WRI282" s="445"/>
      <c r="WRJ282" s="414"/>
      <c r="WRM282" s="445"/>
      <c r="WRN282" s="414"/>
      <c r="WRQ282" s="445"/>
      <c r="WRR282" s="414"/>
      <c r="WRU282" s="445"/>
      <c r="WRV282" s="414"/>
      <c r="WRY282" s="445"/>
      <c r="WRZ282" s="414"/>
      <c r="WSC282" s="445"/>
      <c r="WSD282" s="414"/>
      <c r="WSG282" s="445"/>
      <c r="WSH282" s="414"/>
      <c r="WSK282" s="445"/>
      <c r="WSL282" s="414"/>
      <c r="WSO282" s="445"/>
      <c r="WSP282" s="414"/>
      <c r="WSS282" s="445"/>
      <c r="WST282" s="414"/>
      <c r="WSW282" s="445"/>
      <c r="WSX282" s="414"/>
      <c r="WTA282" s="445"/>
      <c r="WTB282" s="414"/>
      <c r="WTE282" s="445"/>
      <c r="WTF282" s="414"/>
      <c r="WTI282" s="445"/>
      <c r="WTJ282" s="414"/>
      <c r="WTM282" s="445"/>
      <c r="WTN282" s="414"/>
      <c r="WTQ282" s="445"/>
      <c r="WTR282" s="414"/>
      <c r="WTU282" s="445"/>
      <c r="WTV282" s="414"/>
      <c r="WTY282" s="445"/>
      <c r="WTZ282" s="414"/>
      <c r="WUC282" s="445"/>
      <c r="WUD282" s="414"/>
      <c r="WUG282" s="445"/>
      <c r="WUH282" s="414"/>
      <c r="WUK282" s="445"/>
      <c r="WUL282" s="414"/>
      <c r="WUO282" s="445"/>
      <c r="WUP282" s="414"/>
      <c r="WUS282" s="445"/>
      <c r="WUT282" s="414"/>
      <c r="WUW282" s="445"/>
      <c r="WUX282" s="414"/>
      <c r="WVA282" s="445"/>
      <c r="WVB282" s="414"/>
      <c r="WVE282" s="445"/>
      <c r="WVF282" s="414"/>
      <c r="WVI282" s="445"/>
      <c r="WVJ282" s="414"/>
      <c r="WVM282" s="445"/>
      <c r="WVN282" s="414"/>
      <c r="WVQ282" s="445"/>
      <c r="WVR282" s="414"/>
      <c r="WVU282" s="445"/>
      <c r="WVV282" s="414"/>
      <c r="WVY282" s="445"/>
      <c r="WVZ282" s="414"/>
      <c r="WWC282" s="445"/>
      <c r="WWD282" s="414"/>
      <c r="WWG282" s="445"/>
      <c r="WWH282" s="414"/>
      <c r="WWK282" s="445"/>
      <c r="WWL282" s="414"/>
      <c r="WWO282" s="445"/>
      <c r="WWP282" s="414"/>
      <c r="WWS282" s="445"/>
      <c r="WWT282" s="414"/>
      <c r="WWW282" s="445"/>
      <c r="WWX282" s="414"/>
      <c r="WXA282" s="445"/>
      <c r="WXB282" s="414"/>
      <c r="WXE282" s="445"/>
      <c r="WXF282" s="414"/>
      <c r="WXI282" s="445"/>
      <c r="WXJ282" s="414"/>
      <c r="WXM282" s="445"/>
      <c r="WXN282" s="414"/>
      <c r="WXQ282" s="445"/>
      <c r="WXR282" s="414"/>
      <c r="WXU282" s="445"/>
      <c r="WXV282" s="414"/>
      <c r="WXY282" s="445"/>
      <c r="WXZ282" s="414"/>
      <c r="WYC282" s="445"/>
      <c r="WYD282" s="414"/>
      <c r="WYG282" s="445"/>
      <c r="WYH282" s="414"/>
      <c r="WYK282" s="445"/>
      <c r="WYL282" s="414"/>
      <c r="WYO282" s="445"/>
      <c r="WYP282" s="414"/>
      <c r="WYS282" s="445"/>
      <c r="WYT282" s="414"/>
      <c r="WYW282" s="445"/>
      <c r="WYX282" s="414"/>
      <c r="WZA282" s="445"/>
      <c r="WZB282" s="414"/>
      <c r="WZE282" s="445"/>
      <c r="WZF282" s="414"/>
      <c r="WZI282" s="445"/>
      <c r="WZJ282" s="414"/>
      <c r="WZM282" s="445"/>
      <c r="WZN282" s="414"/>
      <c r="WZQ282" s="445"/>
      <c r="WZR282" s="414"/>
      <c r="WZU282" s="445"/>
      <c r="WZV282" s="414"/>
      <c r="WZY282" s="445"/>
      <c r="WZZ282" s="414"/>
      <c r="XAC282" s="445"/>
      <c r="XAD282" s="414"/>
      <c r="XAG282" s="445"/>
      <c r="XAH282" s="414"/>
      <c r="XAK282" s="445"/>
      <c r="XAL282" s="414"/>
      <c r="XAO282" s="445"/>
      <c r="XAP282" s="414"/>
      <c r="XAS282" s="445"/>
      <c r="XAT282" s="414"/>
      <c r="XAW282" s="445"/>
      <c r="XAX282" s="414"/>
      <c r="XBA282" s="445"/>
      <c r="XBB282" s="414"/>
      <c r="XBE282" s="445"/>
      <c r="XBF282" s="414"/>
      <c r="XBI282" s="445"/>
      <c r="XBJ282" s="414"/>
      <c r="XBM282" s="445"/>
      <c r="XBN282" s="414"/>
      <c r="XBQ282" s="445"/>
      <c r="XBR282" s="414"/>
      <c r="XBU282" s="445"/>
      <c r="XBV282" s="414"/>
      <c r="XBY282" s="445"/>
      <c r="XBZ282" s="414"/>
      <c r="XCC282" s="445"/>
      <c r="XCD282" s="414"/>
      <c r="XCG282" s="445"/>
      <c r="XCH282" s="414"/>
      <c r="XCK282" s="445"/>
      <c r="XCL282" s="414"/>
      <c r="XCO282" s="445"/>
      <c r="XCP282" s="414"/>
      <c r="XCS282" s="445"/>
      <c r="XCT282" s="414"/>
      <c r="XCW282" s="445"/>
      <c r="XCX282" s="414"/>
      <c r="XDA282" s="445"/>
      <c r="XDB282" s="414"/>
      <c r="XDE282" s="445"/>
      <c r="XDF282" s="414"/>
      <c r="XDI282" s="445"/>
      <c r="XDJ282" s="414"/>
      <c r="XDM282" s="445"/>
      <c r="XDN282" s="414"/>
      <c r="XDQ282" s="445"/>
      <c r="XDR282" s="414"/>
      <c r="XDU282" s="445"/>
      <c r="XDV282" s="414"/>
      <c r="XDY282" s="445"/>
      <c r="XDZ282" s="414"/>
      <c r="XEC282" s="445"/>
      <c r="XED282" s="414"/>
      <c r="XEG282" s="445"/>
      <c r="XEH282" s="414"/>
      <c r="XEK282" s="445"/>
      <c r="XEL282" s="414"/>
      <c r="XEO282" s="445"/>
      <c r="XEP282" s="414"/>
      <c r="XES282" s="445"/>
      <c r="XET282" s="414"/>
      <c r="XEW282" s="445"/>
      <c r="XEX282" s="414"/>
      <c r="XFA282" s="445"/>
    </row>
    <row r="283" spans="1:1022 1025:2046 2049:3070 3073:4094 4097:5118 5121:6142 6145:7166 7169:8190 8193:9214 9217:10238 10241:11262 11265:12286 12289:13310 13313:14334 14337:15358 15361:16381">
      <c r="B283" s="443">
        <v>93</v>
      </c>
      <c r="C283" s="447"/>
      <c r="D283" s="614" t="s">
        <v>2134</v>
      </c>
      <c r="E283" s="447" t="s">
        <v>1999</v>
      </c>
      <c r="F283" s="444" t="s">
        <v>133</v>
      </c>
      <c r="G283" s="416"/>
      <c r="H283" s="687">
        <v>37460</v>
      </c>
      <c r="I283" s="432" t="s">
        <v>2000</v>
      </c>
      <c r="AW283" s="445"/>
      <c r="AX283" s="414"/>
      <c r="BA283" s="445"/>
      <c r="BB283" s="414"/>
      <c r="BE283" s="445"/>
      <c r="BF283" s="414"/>
      <c r="BI283" s="445"/>
      <c r="BJ283" s="414"/>
      <c r="BM283" s="445"/>
      <c r="BN283" s="414"/>
      <c r="BQ283" s="445"/>
      <c r="BR283" s="414"/>
      <c r="BU283" s="445"/>
      <c r="BV283" s="414"/>
      <c r="BY283" s="445"/>
      <c r="BZ283" s="414"/>
      <c r="CC283" s="445"/>
      <c r="CD283" s="414"/>
      <c r="CG283" s="445"/>
      <c r="CH283" s="414"/>
      <c r="CK283" s="445"/>
      <c r="CL283" s="414"/>
      <c r="CO283" s="445"/>
      <c r="CP283" s="414"/>
      <c r="CS283" s="445"/>
      <c r="CT283" s="414"/>
      <c r="CW283" s="445"/>
      <c r="CX283" s="414"/>
      <c r="DA283" s="445"/>
      <c r="DB283" s="414"/>
      <c r="DE283" s="445"/>
      <c r="DF283" s="414"/>
      <c r="DI283" s="445"/>
      <c r="DJ283" s="414"/>
      <c r="DM283" s="445"/>
      <c r="DN283" s="414"/>
      <c r="DQ283" s="445"/>
      <c r="DR283" s="414"/>
      <c r="DU283" s="445"/>
      <c r="DV283" s="414"/>
      <c r="DY283" s="445"/>
      <c r="DZ283" s="414"/>
      <c r="EC283" s="445"/>
      <c r="ED283" s="414"/>
      <c r="EG283" s="445"/>
      <c r="EH283" s="414"/>
      <c r="EK283" s="445"/>
      <c r="EL283" s="414"/>
      <c r="EO283" s="445"/>
      <c r="EP283" s="414"/>
      <c r="ES283" s="445"/>
      <c r="ET283" s="414"/>
      <c r="EW283" s="445"/>
      <c r="EX283" s="414"/>
      <c r="FA283" s="445"/>
      <c r="FB283" s="414"/>
      <c r="FE283" s="445"/>
      <c r="FF283" s="414"/>
      <c r="FI283" s="445"/>
      <c r="FJ283" s="414"/>
      <c r="FM283" s="445"/>
      <c r="FN283" s="414"/>
      <c r="FQ283" s="445"/>
      <c r="FR283" s="414"/>
      <c r="FU283" s="445"/>
      <c r="FV283" s="414"/>
      <c r="FY283" s="445"/>
      <c r="FZ283" s="414"/>
      <c r="GC283" s="445"/>
      <c r="GD283" s="414"/>
      <c r="GG283" s="445"/>
      <c r="GH283" s="414"/>
      <c r="GK283" s="445"/>
      <c r="GL283" s="414"/>
      <c r="GO283" s="445"/>
      <c r="GP283" s="414"/>
      <c r="GS283" s="445"/>
      <c r="GT283" s="414"/>
      <c r="GW283" s="445"/>
      <c r="GX283" s="414"/>
      <c r="HA283" s="445"/>
      <c r="HB283" s="414"/>
      <c r="HE283" s="445"/>
      <c r="HF283" s="414"/>
      <c r="HI283" s="445"/>
      <c r="HJ283" s="414"/>
      <c r="HM283" s="445"/>
      <c r="HN283" s="414"/>
      <c r="HQ283" s="445"/>
      <c r="HR283" s="414"/>
      <c r="HU283" s="445"/>
      <c r="HV283" s="414"/>
      <c r="HY283" s="445"/>
      <c r="HZ283" s="414"/>
      <c r="IC283" s="445"/>
      <c r="ID283" s="414"/>
      <c r="IG283" s="445"/>
      <c r="IH283" s="414"/>
      <c r="IK283" s="445"/>
      <c r="IL283" s="414"/>
      <c r="IO283" s="445"/>
      <c r="IP283" s="414"/>
      <c r="IS283" s="445"/>
      <c r="IT283" s="414"/>
      <c r="IW283" s="445"/>
      <c r="IX283" s="414"/>
      <c r="JA283" s="445"/>
      <c r="JB283" s="414"/>
      <c r="JE283" s="445"/>
      <c r="JF283" s="414"/>
      <c r="JI283" s="445"/>
      <c r="JJ283" s="414"/>
      <c r="JM283" s="445"/>
      <c r="JN283" s="414"/>
      <c r="JQ283" s="445"/>
      <c r="JR283" s="414"/>
      <c r="JU283" s="445"/>
      <c r="JV283" s="414"/>
      <c r="JY283" s="445"/>
      <c r="JZ283" s="414"/>
      <c r="KC283" s="445"/>
      <c r="KD283" s="414"/>
      <c r="KG283" s="445"/>
      <c r="KH283" s="414"/>
      <c r="KK283" s="445"/>
      <c r="KL283" s="414"/>
      <c r="KO283" s="445"/>
      <c r="KP283" s="414"/>
      <c r="KS283" s="445"/>
      <c r="KT283" s="414"/>
      <c r="KW283" s="445"/>
      <c r="KX283" s="414"/>
      <c r="LA283" s="445"/>
      <c r="LB283" s="414"/>
      <c r="LE283" s="445"/>
      <c r="LF283" s="414"/>
      <c r="LI283" s="445"/>
      <c r="LJ283" s="414"/>
      <c r="LM283" s="445"/>
      <c r="LN283" s="414"/>
      <c r="LQ283" s="445"/>
      <c r="LR283" s="414"/>
      <c r="LU283" s="445"/>
      <c r="LV283" s="414"/>
      <c r="LY283" s="445"/>
      <c r="LZ283" s="414"/>
      <c r="MC283" s="445"/>
      <c r="MD283" s="414"/>
      <c r="MG283" s="445"/>
      <c r="MH283" s="414"/>
      <c r="MK283" s="445"/>
      <c r="ML283" s="414"/>
      <c r="MO283" s="445"/>
      <c r="MP283" s="414"/>
      <c r="MS283" s="445"/>
      <c r="MT283" s="414"/>
      <c r="MW283" s="445"/>
      <c r="MX283" s="414"/>
      <c r="NA283" s="445"/>
      <c r="NB283" s="414"/>
      <c r="NE283" s="445"/>
      <c r="NF283" s="414"/>
      <c r="NI283" s="445"/>
      <c r="NJ283" s="414"/>
      <c r="NM283" s="445"/>
      <c r="NN283" s="414"/>
      <c r="NQ283" s="445"/>
      <c r="NR283" s="414"/>
      <c r="NU283" s="445"/>
      <c r="NV283" s="414"/>
      <c r="NY283" s="445"/>
      <c r="NZ283" s="414"/>
      <c r="OC283" s="445"/>
      <c r="OD283" s="414"/>
      <c r="OG283" s="445"/>
      <c r="OH283" s="414"/>
      <c r="OK283" s="445"/>
      <c r="OL283" s="414"/>
      <c r="OO283" s="445"/>
      <c r="OP283" s="414"/>
      <c r="OS283" s="445"/>
      <c r="OT283" s="414"/>
      <c r="OW283" s="445"/>
      <c r="OX283" s="414"/>
      <c r="PA283" s="445"/>
      <c r="PB283" s="414"/>
      <c r="PE283" s="445"/>
      <c r="PF283" s="414"/>
      <c r="PI283" s="445"/>
      <c r="PJ283" s="414"/>
      <c r="PM283" s="445"/>
      <c r="PN283" s="414"/>
      <c r="PQ283" s="445"/>
      <c r="PR283" s="414"/>
      <c r="PU283" s="445"/>
      <c r="PV283" s="414"/>
      <c r="PY283" s="445"/>
      <c r="PZ283" s="414"/>
      <c r="QC283" s="445"/>
      <c r="QD283" s="414"/>
      <c r="QG283" s="445"/>
      <c r="QH283" s="414"/>
      <c r="QK283" s="445"/>
      <c r="QL283" s="414"/>
      <c r="QO283" s="445"/>
      <c r="QP283" s="414"/>
      <c r="QS283" s="445"/>
      <c r="QT283" s="414"/>
      <c r="QW283" s="445"/>
      <c r="QX283" s="414"/>
      <c r="RA283" s="445"/>
      <c r="RB283" s="414"/>
      <c r="RE283" s="445"/>
      <c r="RF283" s="414"/>
      <c r="RI283" s="445"/>
      <c r="RJ283" s="414"/>
      <c r="RM283" s="445"/>
      <c r="RN283" s="414"/>
      <c r="RQ283" s="445"/>
      <c r="RR283" s="414"/>
      <c r="RU283" s="445"/>
      <c r="RV283" s="414"/>
      <c r="RY283" s="445"/>
      <c r="RZ283" s="414"/>
      <c r="SC283" s="445"/>
      <c r="SD283" s="414"/>
      <c r="SG283" s="445"/>
      <c r="SH283" s="414"/>
      <c r="SK283" s="445"/>
      <c r="SL283" s="414"/>
      <c r="SO283" s="445"/>
      <c r="SP283" s="414"/>
      <c r="SS283" s="445"/>
      <c r="ST283" s="414"/>
      <c r="SW283" s="445"/>
      <c r="SX283" s="414"/>
      <c r="TA283" s="445"/>
      <c r="TB283" s="414"/>
      <c r="TE283" s="445"/>
      <c r="TF283" s="414"/>
      <c r="TI283" s="445"/>
      <c r="TJ283" s="414"/>
      <c r="TM283" s="445"/>
      <c r="TN283" s="414"/>
      <c r="TQ283" s="445"/>
      <c r="TR283" s="414"/>
      <c r="TU283" s="445"/>
      <c r="TV283" s="414"/>
      <c r="TY283" s="445"/>
      <c r="TZ283" s="414"/>
      <c r="UC283" s="445"/>
      <c r="UD283" s="414"/>
      <c r="UG283" s="445"/>
      <c r="UH283" s="414"/>
      <c r="UK283" s="445"/>
      <c r="UL283" s="414"/>
      <c r="UO283" s="445"/>
      <c r="UP283" s="414"/>
      <c r="US283" s="445"/>
      <c r="UT283" s="414"/>
      <c r="UW283" s="445"/>
      <c r="UX283" s="414"/>
      <c r="VA283" s="445"/>
      <c r="VB283" s="414"/>
      <c r="VE283" s="445"/>
      <c r="VF283" s="414"/>
      <c r="VI283" s="445"/>
      <c r="VJ283" s="414"/>
      <c r="VM283" s="445"/>
      <c r="VN283" s="414"/>
      <c r="VQ283" s="445"/>
      <c r="VR283" s="414"/>
      <c r="VU283" s="445"/>
      <c r="VV283" s="414"/>
      <c r="VY283" s="445"/>
      <c r="VZ283" s="414"/>
      <c r="WC283" s="445"/>
      <c r="WD283" s="414"/>
      <c r="WG283" s="445"/>
      <c r="WH283" s="414"/>
      <c r="WK283" s="445"/>
      <c r="WL283" s="414"/>
      <c r="WO283" s="445"/>
      <c r="WP283" s="414"/>
      <c r="WS283" s="445"/>
      <c r="WT283" s="414"/>
      <c r="WW283" s="445"/>
      <c r="WX283" s="414"/>
      <c r="XA283" s="445"/>
      <c r="XB283" s="414"/>
      <c r="XE283" s="445"/>
      <c r="XF283" s="414"/>
      <c r="XI283" s="445"/>
      <c r="XJ283" s="414"/>
      <c r="XM283" s="445"/>
      <c r="XN283" s="414"/>
      <c r="XQ283" s="445"/>
      <c r="XR283" s="414"/>
      <c r="XU283" s="445"/>
      <c r="XV283" s="414"/>
      <c r="XY283" s="445"/>
      <c r="XZ283" s="414"/>
      <c r="YC283" s="445"/>
      <c r="YD283" s="414"/>
      <c r="YG283" s="445"/>
      <c r="YH283" s="414"/>
      <c r="YK283" s="445"/>
      <c r="YL283" s="414"/>
      <c r="YO283" s="445"/>
      <c r="YP283" s="414"/>
      <c r="YS283" s="445"/>
      <c r="YT283" s="414"/>
      <c r="YW283" s="445"/>
      <c r="YX283" s="414"/>
      <c r="ZA283" s="445"/>
      <c r="ZB283" s="414"/>
      <c r="ZE283" s="445"/>
      <c r="ZF283" s="414"/>
      <c r="ZI283" s="445"/>
      <c r="ZJ283" s="414"/>
      <c r="ZM283" s="445"/>
      <c r="ZN283" s="414"/>
      <c r="ZQ283" s="445"/>
      <c r="ZR283" s="414"/>
      <c r="ZU283" s="445"/>
      <c r="ZV283" s="414"/>
      <c r="ZY283" s="445"/>
      <c r="ZZ283" s="414"/>
      <c r="AAC283" s="445"/>
      <c r="AAD283" s="414"/>
      <c r="AAG283" s="445"/>
      <c r="AAH283" s="414"/>
      <c r="AAK283" s="445"/>
      <c r="AAL283" s="414"/>
      <c r="AAO283" s="445"/>
      <c r="AAP283" s="414"/>
      <c r="AAS283" s="445"/>
      <c r="AAT283" s="414"/>
      <c r="AAW283" s="445"/>
      <c r="AAX283" s="414"/>
      <c r="ABA283" s="445"/>
      <c r="ABB283" s="414"/>
      <c r="ABE283" s="445"/>
      <c r="ABF283" s="414"/>
      <c r="ABI283" s="445"/>
      <c r="ABJ283" s="414"/>
      <c r="ABM283" s="445"/>
      <c r="ABN283" s="414"/>
      <c r="ABQ283" s="445"/>
      <c r="ABR283" s="414"/>
      <c r="ABU283" s="445"/>
      <c r="ABV283" s="414"/>
      <c r="ABY283" s="445"/>
      <c r="ABZ283" s="414"/>
      <c r="ACC283" s="445"/>
      <c r="ACD283" s="414"/>
      <c r="ACG283" s="445"/>
      <c r="ACH283" s="414"/>
      <c r="ACK283" s="445"/>
      <c r="ACL283" s="414"/>
      <c r="ACO283" s="445"/>
      <c r="ACP283" s="414"/>
      <c r="ACS283" s="445"/>
      <c r="ACT283" s="414"/>
      <c r="ACW283" s="445"/>
      <c r="ACX283" s="414"/>
      <c r="ADA283" s="445"/>
      <c r="ADB283" s="414"/>
      <c r="ADE283" s="445"/>
      <c r="ADF283" s="414"/>
      <c r="ADI283" s="445"/>
      <c r="ADJ283" s="414"/>
      <c r="ADM283" s="445"/>
      <c r="ADN283" s="414"/>
      <c r="ADQ283" s="445"/>
      <c r="ADR283" s="414"/>
      <c r="ADU283" s="445"/>
      <c r="ADV283" s="414"/>
      <c r="ADY283" s="445"/>
      <c r="ADZ283" s="414"/>
      <c r="AEC283" s="445"/>
      <c r="AED283" s="414"/>
      <c r="AEG283" s="445"/>
      <c r="AEH283" s="414"/>
      <c r="AEK283" s="445"/>
      <c r="AEL283" s="414"/>
      <c r="AEO283" s="445"/>
      <c r="AEP283" s="414"/>
      <c r="AES283" s="445"/>
      <c r="AET283" s="414"/>
      <c r="AEW283" s="445"/>
      <c r="AEX283" s="414"/>
      <c r="AFA283" s="445"/>
      <c r="AFB283" s="414"/>
      <c r="AFE283" s="445"/>
      <c r="AFF283" s="414"/>
      <c r="AFI283" s="445"/>
      <c r="AFJ283" s="414"/>
      <c r="AFM283" s="445"/>
      <c r="AFN283" s="414"/>
      <c r="AFQ283" s="445"/>
      <c r="AFR283" s="414"/>
      <c r="AFU283" s="445"/>
      <c r="AFV283" s="414"/>
      <c r="AFY283" s="445"/>
      <c r="AFZ283" s="414"/>
      <c r="AGC283" s="445"/>
      <c r="AGD283" s="414"/>
      <c r="AGG283" s="445"/>
      <c r="AGH283" s="414"/>
      <c r="AGK283" s="445"/>
      <c r="AGL283" s="414"/>
      <c r="AGO283" s="445"/>
      <c r="AGP283" s="414"/>
      <c r="AGS283" s="445"/>
      <c r="AGT283" s="414"/>
      <c r="AGW283" s="445"/>
      <c r="AGX283" s="414"/>
      <c r="AHA283" s="445"/>
      <c r="AHB283" s="414"/>
      <c r="AHE283" s="445"/>
      <c r="AHF283" s="414"/>
      <c r="AHI283" s="445"/>
      <c r="AHJ283" s="414"/>
      <c r="AHM283" s="445"/>
      <c r="AHN283" s="414"/>
      <c r="AHQ283" s="445"/>
      <c r="AHR283" s="414"/>
      <c r="AHU283" s="445"/>
      <c r="AHV283" s="414"/>
      <c r="AHY283" s="445"/>
      <c r="AHZ283" s="414"/>
      <c r="AIC283" s="445"/>
      <c r="AID283" s="414"/>
      <c r="AIG283" s="445"/>
      <c r="AIH283" s="414"/>
      <c r="AIK283" s="445"/>
      <c r="AIL283" s="414"/>
      <c r="AIO283" s="445"/>
      <c r="AIP283" s="414"/>
      <c r="AIS283" s="445"/>
      <c r="AIT283" s="414"/>
      <c r="AIW283" s="445"/>
      <c r="AIX283" s="414"/>
      <c r="AJA283" s="445"/>
      <c r="AJB283" s="414"/>
      <c r="AJE283" s="445"/>
      <c r="AJF283" s="414"/>
      <c r="AJI283" s="445"/>
      <c r="AJJ283" s="414"/>
      <c r="AJM283" s="445"/>
      <c r="AJN283" s="414"/>
      <c r="AJQ283" s="445"/>
      <c r="AJR283" s="414"/>
      <c r="AJU283" s="445"/>
      <c r="AJV283" s="414"/>
      <c r="AJY283" s="445"/>
      <c r="AJZ283" s="414"/>
      <c r="AKC283" s="445"/>
      <c r="AKD283" s="414"/>
      <c r="AKG283" s="445"/>
      <c r="AKH283" s="414"/>
      <c r="AKK283" s="445"/>
      <c r="AKL283" s="414"/>
      <c r="AKO283" s="445"/>
      <c r="AKP283" s="414"/>
      <c r="AKS283" s="445"/>
      <c r="AKT283" s="414"/>
      <c r="AKW283" s="445"/>
      <c r="AKX283" s="414"/>
      <c r="ALA283" s="445"/>
      <c r="ALB283" s="414"/>
      <c r="ALE283" s="445"/>
      <c r="ALF283" s="414"/>
      <c r="ALI283" s="445"/>
      <c r="ALJ283" s="414"/>
      <c r="ALM283" s="445"/>
      <c r="ALN283" s="414"/>
      <c r="ALQ283" s="445"/>
      <c r="ALR283" s="414"/>
      <c r="ALU283" s="445"/>
      <c r="ALV283" s="414"/>
      <c r="ALY283" s="445"/>
      <c r="ALZ283" s="414"/>
      <c r="AMC283" s="445"/>
      <c r="AMD283" s="414"/>
      <c r="AMG283" s="445"/>
      <c r="AMH283" s="414"/>
      <c r="AMK283" s="445"/>
      <c r="AML283" s="414"/>
      <c r="AMO283" s="445"/>
      <c r="AMP283" s="414"/>
      <c r="AMS283" s="445"/>
      <c r="AMT283" s="414"/>
      <c r="AMW283" s="445"/>
      <c r="AMX283" s="414"/>
      <c r="ANA283" s="445"/>
      <c r="ANB283" s="414"/>
      <c r="ANE283" s="445"/>
      <c r="ANF283" s="414"/>
      <c r="ANI283" s="445"/>
      <c r="ANJ283" s="414"/>
      <c r="ANM283" s="445"/>
      <c r="ANN283" s="414"/>
      <c r="ANQ283" s="445"/>
      <c r="ANR283" s="414"/>
      <c r="ANU283" s="445"/>
      <c r="ANV283" s="414"/>
      <c r="ANY283" s="445"/>
      <c r="ANZ283" s="414"/>
      <c r="AOC283" s="445"/>
      <c r="AOD283" s="414"/>
      <c r="AOG283" s="445"/>
      <c r="AOH283" s="414"/>
      <c r="AOK283" s="445"/>
      <c r="AOL283" s="414"/>
      <c r="AOO283" s="445"/>
      <c r="AOP283" s="414"/>
      <c r="AOS283" s="445"/>
      <c r="AOT283" s="414"/>
      <c r="AOW283" s="445"/>
      <c r="AOX283" s="414"/>
      <c r="APA283" s="445"/>
      <c r="APB283" s="414"/>
      <c r="APE283" s="445"/>
      <c r="APF283" s="414"/>
      <c r="API283" s="445"/>
      <c r="APJ283" s="414"/>
      <c r="APM283" s="445"/>
      <c r="APN283" s="414"/>
      <c r="APQ283" s="445"/>
      <c r="APR283" s="414"/>
      <c r="APU283" s="445"/>
      <c r="APV283" s="414"/>
      <c r="APY283" s="445"/>
      <c r="APZ283" s="414"/>
      <c r="AQC283" s="445"/>
      <c r="AQD283" s="414"/>
      <c r="AQG283" s="445"/>
      <c r="AQH283" s="414"/>
      <c r="AQK283" s="445"/>
      <c r="AQL283" s="414"/>
      <c r="AQO283" s="445"/>
      <c r="AQP283" s="414"/>
      <c r="AQS283" s="445"/>
      <c r="AQT283" s="414"/>
      <c r="AQW283" s="445"/>
      <c r="AQX283" s="414"/>
      <c r="ARA283" s="445"/>
      <c r="ARB283" s="414"/>
      <c r="ARE283" s="445"/>
      <c r="ARF283" s="414"/>
      <c r="ARI283" s="445"/>
      <c r="ARJ283" s="414"/>
      <c r="ARM283" s="445"/>
      <c r="ARN283" s="414"/>
      <c r="ARQ283" s="445"/>
      <c r="ARR283" s="414"/>
      <c r="ARU283" s="445"/>
      <c r="ARV283" s="414"/>
      <c r="ARY283" s="445"/>
      <c r="ARZ283" s="414"/>
      <c r="ASC283" s="445"/>
      <c r="ASD283" s="414"/>
      <c r="ASG283" s="445"/>
      <c r="ASH283" s="414"/>
      <c r="ASK283" s="445"/>
      <c r="ASL283" s="414"/>
      <c r="ASO283" s="445"/>
      <c r="ASP283" s="414"/>
      <c r="ASS283" s="445"/>
      <c r="AST283" s="414"/>
      <c r="ASW283" s="445"/>
      <c r="ASX283" s="414"/>
      <c r="ATA283" s="445"/>
      <c r="ATB283" s="414"/>
      <c r="ATE283" s="445"/>
      <c r="ATF283" s="414"/>
      <c r="ATI283" s="445"/>
      <c r="ATJ283" s="414"/>
      <c r="ATM283" s="445"/>
      <c r="ATN283" s="414"/>
      <c r="ATQ283" s="445"/>
      <c r="ATR283" s="414"/>
      <c r="ATU283" s="445"/>
      <c r="ATV283" s="414"/>
      <c r="ATY283" s="445"/>
      <c r="ATZ283" s="414"/>
      <c r="AUC283" s="445"/>
      <c r="AUD283" s="414"/>
      <c r="AUG283" s="445"/>
      <c r="AUH283" s="414"/>
      <c r="AUK283" s="445"/>
      <c r="AUL283" s="414"/>
      <c r="AUO283" s="445"/>
      <c r="AUP283" s="414"/>
      <c r="AUS283" s="445"/>
      <c r="AUT283" s="414"/>
      <c r="AUW283" s="445"/>
      <c r="AUX283" s="414"/>
      <c r="AVA283" s="445"/>
      <c r="AVB283" s="414"/>
      <c r="AVE283" s="445"/>
      <c r="AVF283" s="414"/>
      <c r="AVI283" s="445"/>
      <c r="AVJ283" s="414"/>
      <c r="AVM283" s="445"/>
      <c r="AVN283" s="414"/>
      <c r="AVQ283" s="445"/>
      <c r="AVR283" s="414"/>
      <c r="AVU283" s="445"/>
      <c r="AVV283" s="414"/>
      <c r="AVY283" s="445"/>
      <c r="AVZ283" s="414"/>
      <c r="AWC283" s="445"/>
      <c r="AWD283" s="414"/>
      <c r="AWG283" s="445"/>
      <c r="AWH283" s="414"/>
      <c r="AWK283" s="445"/>
      <c r="AWL283" s="414"/>
      <c r="AWO283" s="445"/>
      <c r="AWP283" s="414"/>
      <c r="AWS283" s="445"/>
      <c r="AWT283" s="414"/>
      <c r="AWW283" s="445"/>
      <c r="AWX283" s="414"/>
      <c r="AXA283" s="445"/>
      <c r="AXB283" s="414"/>
      <c r="AXE283" s="445"/>
      <c r="AXF283" s="414"/>
      <c r="AXI283" s="445"/>
      <c r="AXJ283" s="414"/>
      <c r="AXM283" s="445"/>
      <c r="AXN283" s="414"/>
      <c r="AXQ283" s="445"/>
      <c r="AXR283" s="414"/>
      <c r="AXU283" s="445"/>
      <c r="AXV283" s="414"/>
      <c r="AXY283" s="445"/>
      <c r="AXZ283" s="414"/>
      <c r="AYC283" s="445"/>
      <c r="AYD283" s="414"/>
      <c r="AYG283" s="445"/>
      <c r="AYH283" s="414"/>
      <c r="AYK283" s="445"/>
      <c r="AYL283" s="414"/>
      <c r="AYO283" s="445"/>
      <c r="AYP283" s="414"/>
      <c r="AYS283" s="445"/>
      <c r="AYT283" s="414"/>
      <c r="AYW283" s="445"/>
      <c r="AYX283" s="414"/>
      <c r="AZA283" s="445"/>
      <c r="AZB283" s="414"/>
      <c r="AZE283" s="445"/>
      <c r="AZF283" s="414"/>
      <c r="AZI283" s="445"/>
      <c r="AZJ283" s="414"/>
      <c r="AZM283" s="445"/>
      <c r="AZN283" s="414"/>
      <c r="AZQ283" s="445"/>
      <c r="AZR283" s="414"/>
      <c r="AZU283" s="445"/>
      <c r="AZV283" s="414"/>
      <c r="AZY283" s="445"/>
      <c r="AZZ283" s="414"/>
      <c r="BAC283" s="445"/>
      <c r="BAD283" s="414"/>
      <c r="BAG283" s="445"/>
      <c r="BAH283" s="414"/>
      <c r="BAK283" s="445"/>
      <c r="BAL283" s="414"/>
      <c r="BAO283" s="445"/>
      <c r="BAP283" s="414"/>
      <c r="BAS283" s="445"/>
      <c r="BAT283" s="414"/>
      <c r="BAW283" s="445"/>
      <c r="BAX283" s="414"/>
      <c r="BBA283" s="445"/>
      <c r="BBB283" s="414"/>
      <c r="BBE283" s="445"/>
      <c r="BBF283" s="414"/>
      <c r="BBI283" s="445"/>
      <c r="BBJ283" s="414"/>
      <c r="BBM283" s="445"/>
      <c r="BBN283" s="414"/>
      <c r="BBQ283" s="445"/>
      <c r="BBR283" s="414"/>
      <c r="BBU283" s="445"/>
      <c r="BBV283" s="414"/>
      <c r="BBY283" s="445"/>
      <c r="BBZ283" s="414"/>
      <c r="BCC283" s="445"/>
      <c r="BCD283" s="414"/>
      <c r="BCG283" s="445"/>
      <c r="BCH283" s="414"/>
      <c r="BCK283" s="445"/>
      <c r="BCL283" s="414"/>
      <c r="BCO283" s="445"/>
      <c r="BCP283" s="414"/>
      <c r="BCS283" s="445"/>
      <c r="BCT283" s="414"/>
      <c r="BCW283" s="445"/>
      <c r="BCX283" s="414"/>
      <c r="BDA283" s="445"/>
      <c r="BDB283" s="414"/>
      <c r="BDE283" s="445"/>
      <c r="BDF283" s="414"/>
      <c r="BDI283" s="445"/>
      <c r="BDJ283" s="414"/>
      <c r="BDM283" s="445"/>
      <c r="BDN283" s="414"/>
      <c r="BDQ283" s="445"/>
      <c r="BDR283" s="414"/>
      <c r="BDU283" s="445"/>
      <c r="BDV283" s="414"/>
      <c r="BDY283" s="445"/>
      <c r="BDZ283" s="414"/>
      <c r="BEC283" s="445"/>
      <c r="BED283" s="414"/>
      <c r="BEG283" s="445"/>
      <c r="BEH283" s="414"/>
      <c r="BEK283" s="445"/>
      <c r="BEL283" s="414"/>
      <c r="BEO283" s="445"/>
      <c r="BEP283" s="414"/>
      <c r="BES283" s="445"/>
      <c r="BET283" s="414"/>
      <c r="BEW283" s="445"/>
      <c r="BEX283" s="414"/>
      <c r="BFA283" s="445"/>
      <c r="BFB283" s="414"/>
      <c r="BFE283" s="445"/>
      <c r="BFF283" s="414"/>
      <c r="BFI283" s="445"/>
      <c r="BFJ283" s="414"/>
      <c r="BFM283" s="445"/>
      <c r="BFN283" s="414"/>
      <c r="BFQ283" s="445"/>
      <c r="BFR283" s="414"/>
      <c r="BFU283" s="445"/>
      <c r="BFV283" s="414"/>
      <c r="BFY283" s="445"/>
      <c r="BFZ283" s="414"/>
      <c r="BGC283" s="445"/>
      <c r="BGD283" s="414"/>
      <c r="BGG283" s="445"/>
      <c r="BGH283" s="414"/>
      <c r="BGK283" s="445"/>
      <c r="BGL283" s="414"/>
      <c r="BGO283" s="445"/>
      <c r="BGP283" s="414"/>
      <c r="BGS283" s="445"/>
      <c r="BGT283" s="414"/>
      <c r="BGW283" s="445"/>
      <c r="BGX283" s="414"/>
      <c r="BHA283" s="445"/>
      <c r="BHB283" s="414"/>
      <c r="BHE283" s="445"/>
      <c r="BHF283" s="414"/>
      <c r="BHI283" s="445"/>
      <c r="BHJ283" s="414"/>
      <c r="BHM283" s="445"/>
      <c r="BHN283" s="414"/>
      <c r="BHQ283" s="445"/>
      <c r="BHR283" s="414"/>
      <c r="BHU283" s="445"/>
      <c r="BHV283" s="414"/>
      <c r="BHY283" s="445"/>
      <c r="BHZ283" s="414"/>
      <c r="BIC283" s="445"/>
      <c r="BID283" s="414"/>
      <c r="BIG283" s="445"/>
      <c r="BIH283" s="414"/>
      <c r="BIK283" s="445"/>
      <c r="BIL283" s="414"/>
      <c r="BIO283" s="445"/>
      <c r="BIP283" s="414"/>
      <c r="BIS283" s="445"/>
      <c r="BIT283" s="414"/>
      <c r="BIW283" s="445"/>
      <c r="BIX283" s="414"/>
      <c r="BJA283" s="445"/>
      <c r="BJB283" s="414"/>
      <c r="BJE283" s="445"/>
      <c r="BJF283" s="414"/>
      <c r="BJI283" s="445"/>
      <c r="BJJ283" s="414"/>
      <c r="BJM283" s="445"/>
      <c r="BJN283" s="414"/>
      <c r="BJQ283" s="445"/>
      <c r="BJR283" s="414"/>
      <c r="BJU283" s="445"/>
      <c r="BJV283" s="414"/>
      <c r="BJY283" s="445"/>
      <c r="BJZ283" s="414"/>
      <c r="BKC283" s="445"/>
      <c r="BKD283" s="414"/>
      <c r="BKG283" s="445"/>
      <c r="BKH283" s="414"/>
      <c r="BKK283" s="445"/>
      <c r="BKL283" s="414"/>
      <c r="BKO283" s="445"/>
      <c r="BKP283" s="414"/>
      <c r="BKS283" s="445"/>
      <c r="BKT283" s="414"/>
      <c r="BKW283" s="445"/>
      <c r="BKX283" s="414"/>
      <c r="BLA283" s="445"/>
      <c r="BLB283" s="414"/>
      <c r="BLE283" s="445"/>
      <c r="BLF283" s="414"/>
      <c r="BLI283" s="445"/>
      <c r="BLJ283" s="414"/>
      <c r="BLM283" s="445"/>
      <c r="BLN283" s="414"/>
      <c r="BLQ283" s="445"/>
      <c r="BLR283" s="414"/>
      <c r="BLU283" s="445"/>
      <c r="BLV283" s="414"/>
      <c r="BLY283" s="445"/>
      <c r="BLZ283" s="414"/>
      <c r="BMC283" s="445"/>
      <c r="BMD283" s="414"/>
      <c r="BMG283" s="445"/>
      <c r="BMH283" s="414"/>
      <c r="BMK283" s="445"/>
      <c r="BML283" s="414"/>
      <c r="BMO283" s="445"/>
      <c r="BMP283" s="414"/>
      <c r="BMS283" s="445"/>
      <c r="BMT283" s="414"/>
      <c r="BMW283" s="445"/>
      <c r="BMX283" s="414"/>
      <c r="BNA283" s="445"/>
      <c r="BNB283" s="414"/>
      <c r="BNE283" s="445"/>
      <c r="BNF283" s="414"/>
      <c r="BNI283" s="445"/>
      <c r="BNJ283" s="414"/>
      <c r="BNM283" s="445"/>
      <c r="BNN283" s="414"/>
      <c r="BNQ283" s="445"/>
      <c r="BNR283" s="414"/>
      <c r="BNU283" s="445"/>
      <c r="BNV283" s="414"/>
      <c r="BNY283" s="445"/>
      <c r="BNZ283" s="414"/>
      <c r="BOC283" s="445"/>
      <c r="BOD283" s="414"/>
      <c r="BOG283" s="445"/>
      <c r="BOH283" s="414"/>
      <c r="BOK283" s="445"/>
      <c r="BOL283" s="414"/>
      <c r="BOO283" s="445"/>
      <c r="BOP283" s="414"/>
      <c r="BOS283" s="445"/>
      <c r="BOT283" s="414"/>
      <c r="BOW283" s="445"/>
      <c r="BOX283" s="414"/>
      <c r="BPA283" s="445"/>
      <c r="BPB283" s="414"/>
      <c r="BPE283" s="445"/>
      <c r="BPF283" s="414"/>
      <c r="BPI283" s="445"/>
      <c r="BPJ283" s="414"/>
      <c r="BPM283" s="445"/>
      <c r="BPN283" s="414"/>
      <c r="BPQ283" s="445"/>
      <c r="BPR283" s="414"/>
      <c r="BPU283" s="445"/>
      <c r="BPV283" s="414"/>
      <c r="BPY283" s="445"/>
      <c r="BPZ283" s="414"/>
      <c r="BQC283" s="445"/>
      <c r="BQD283" s="414"/>
      <c r="BQG283" s="445"/>
      <c r="BQH283" s="414"/>
      <c r="BQK283" s="445"/>
      <c r="BQL283" s="414"/>
      <c r="BQO283" s="445"/>
      <c r="BQP283" s="414"/>
      <c r="BQS283" s="445"/>
      <c r="BQT283" s="414"/>
      <c r="BQW283" s="445"/>
      <c r="BQX283" s="414"/>
      <c r="BRA283" s="445"/>
      <c r="BRB283" s="414"/>
      <c r="BRE283" s="445"/>
      <c r="BRF283" s="414"/>
      <c r="BRI283" s="445"/>
      <c r="BRJ283" s="414"/>
      <c r="BRM283" s="445"/>
      <c r="BRN283" s="414"/>
      <c r="BRQ283" s="445"/>
      <c r="BRR283" s="414"/>
      <c r="BRU283" s="445"/>
      <c r="BRV283" s="414"/>
      <c r="BRY283" s="445"/>
      <c r="BRZ283" s="414"/>
      <c r="BSC283" s="445"/>
      <c r="BSD283" s="414"/>
      <c r="BSG283" s="445"/>
      <c r="BSH283" s="414"/>
      <c r="BSK283" s="445"/>
      <c r="BSL283" s="414"/>
      <c r="BSO283" s="445"/>
      <c r="BSP283" s="414"/>
      <c r="BSS283" s="445"/>
      <c r="BST283" s="414"/>
      <c r="BSW283" s="445"/>
      <c r="BSX283" s="414"/>
      <c r="BTA283" s="445"/>
      <c r="BTB283" s="414"/>
      <c r="BTE283" s="445"/>
      <c r="BTF283" s="414"/>
      <c r="BTI283" s="445"/>
      <c r="BTJ283" s="414"/>
      <c r="BTM283" s="445"/>
      <c r="BTN283" s="414"/>
      <c r="BTQ283" s="445"/>
      <c r="BTR283" s="414"/>
      <c r="BTU283" s="445"/>
      <c r="BTV283" s="414"/>
      <c r="BTY283" s="445"/>
      <c r="BTZ283" s="414"/>
      <c r="BUC283" s="445"/>
      <c r="BUD283" s="414"/>
      <c r="BUG283" s="445"/>
      <c r="BUH283" s="414"/>
      <c r="BUK283" s="445"/>
      <c r="BUL283" s="414"/>
      <c r="BUO283" s="445"/>
      <c r="BUP283" s="414"/>
      <c r="BUS283" s="445"/>
      <c r="BUT283" s="414"/>
      <c r="BUW283" s="445"/>
      <c r="BUX283" s="414"/>
      <c r="BVA283" s="445"/>
      <c r="BVB283" s="414"/>
      <c r="BVE283" s="445"/>
      <c r="BVF283" s="414"/>
      <c r="BVI283" s="445"/>
      <c r="BVJ283" s="414"/>
      <c r="BVM283" s="445"/>
      <c r="BVN283" s="414"/>
      <c r="BVQ283" s="445"/>
      <c r="BVR283" s="414"/>
      <c r="BVU283" s="445"/>
      <c r="BVV283" s="414"/>
      <c r="BVY283" s="445"/>
      <c r="BVZ283" s="414"/>
      <c r="BWC283" s="445"/>
      <c r="BWD283" s="414"/>
      <c r="BWG283" s="445"/>
      <c r="BWH283" s="414"/>
      <c r="BWK283" s="445"/>
      <c r="BWL283" s="414"/>
      <c r="BWO283" s="445"/>
      <c r="BWP283" s="414"/>
      <c r="BWS283" s="445"/>
      <c r="BWT283" s="414"/>
      <c r="BWW283" s="445"/>
      <c r="BWX283" s="414"/>
      <c r="BXA283" s="445"/>
      <c r="BXB283" s="414"/>
      <c r="BXE283" s="445"/>
      <c r="BXF283" s="414"/>
      <c r="BXI283" s="445"/>
      <c r="BXJ283" s="414"/>
      <c r="BXM283" s="445"/>
      <c r="BXN283" s="414"/>
      <c r="BXQ283" s="445"/>
      <c r="BXR283" s="414"/>
      <c r="BXU283" s="445"/>
      <c r="BXV283" s="414"/>
      <c r="BXY283" s="445"/>
      <c r="BXZ283" s="414"/>
      <c r="BYC283" s="445"/>
      <c r="BYD283" s="414"/>
      <c r="BYG283" s="445"/>
      <c r="BYH283" s="414"/>
      <c r="BYK283" s="445"/>
      <c r="BYL283" s="414"/>
      <c r="BYO283" s="445"/>
      <c r="BYP283" s="414"/>
      <c r="BYS283" s="445"/>
      <c r="BYT283" s="414"/>
      <c r="BYW283" s="445"/>
      <c r="BYX283" s="414"/>
      <c r="BZA283" s="445"/>
      <c r="BZB283" s="414"/>
      <c r="BZE283" s="445"/>
      <c r="BZF283" s="414"/>
      <c r="BZI283" s="445"/>
      <c r="BZJ283" s="414"/>
      <c r="BZM283" s="445"/>
      <c r="BZN283" s="414"/>
      <c r="BZQ283" s="445"/>
      <c r="BZR283" s="414"/>
      <c r="BZU283" s="445"/>
      <c r="BZV283" s="414"/>
      <c r="BZY283" s="445"/>
      <c r="BZZ283" s="414"/>
      <c r="CAC283" s="445"/>
      <c r="CAD283" s="414"/>
      <c r="CAG283" s="445"/>
      <c r="CAH283" s="414"/>
      <c r="CAK283" s="445"/>
      <c r="CAL283" s="414"/>
      <c r="CAO283" s="445"/>
      <c r="CAP283" s="414"/>
      <c r="CAS283" s="445"/>
      <c r="CAT283" s="414"/>
      <c r="CAW283" s="445"/>
      <c r="CAX283" s="414"/>
      <c r="CBA283" s="445"/>
      <c r="CBB283" s="414"/>
      <c r="CBE283" s="445"/>
      <c r="CBF283" s="414"/>
      <c r="CBI283" s="445"/>
      <c r="CBJ283" s="414"/>
      <c r="CBM283" s="445"/>
      <c r="CBN283" s="414"/>
      <c r="CBQ283" s="445"/>
      <c r="CBR283" s="414"/>
      <c r="CBU283" s="445"/>
      <c r="CBV283" s="414"/>
      <c r="CBY283" s="445"/>
      <c r="CBZ283" s="414"/>
      <c r="CCC283" s="445"/>
      <c r="CCD283" s="414"/>
      <c r="CCG283" s="445"/>
      <c r="CCH283" s="414"/>
      <c r="CCK283" s="445"/>
      <c r="CCL283" s="414"/>
      <c r="CCO283" s="445"/>
      <c r="CCP283" s="414"/>
      <c r="CCS283" s="445"/>
      <c r="CCT283" s="414"/>
      <c r="CCW283" s="445"/>
      <c r="CCX283" s="414"/>
      <c r="CDA283" s="445"/>
      <c r="CDB283" s="414"/>
      <c r="CDE283" s="445"/>
      <c r="CDF283" s="414"/>
      <c r="CDI283" s="445"/>
      <c r="CDJ283" s="414"/>
      <c r="CDM283" s="445"/>
      <c r="CDN283" s="414"/>
      <c r="CDQ283" s="445"/>
      <c r="CDR283" s="414"/>
      <c r="CDU283" s="445"/>
      <c r="CDV283" s="414"/>
      <c r="CDY283" s="445"/>
      <c r="CDZ283" s="414"/>
      <c r="CEC283" s="445"/>
      <c r="CED283" s="414"/>
      <c r="CEG283" s="445"/>
      <c r="CEH283" s="414"/>
      <c r="CEK283" s="445"/>
      <c r="CEL283" s="414"/>
      <c r="CEO283" s="445"/>
      <c r="CEP283" s="414"/>
      <c r="CES283" s="445"/>
      <c r="CET283" s="414"/>
      <c r="CEW283" s="445"/>
      <c r="CEX283" s="414"/>
      <c r="CFA283" s="445"/>
      <c r="CFB283" s="414"/>
      <c r="CFE283" s="445"/>
      <c r="CFF283" s="414"/>
      <c r="CFI283" s="445"/>
      <c r="CFJ283" s="414"/>
      <c r="CFM283" s="445"/>
      <c r="CFN283" s="414"/>
      <c r="CFQ283" s="445"/>
      <c r="CFR283" s="414"/>
      <c r="CFU283" s="445"/>
      <c r="CFV283" s="414"/>
      <c r="CFY283" s="445"/>
      <c r="CFZ283" s="414"/>
      <c r="CGC283" s="445"/>
      <c r="CGD283" s="414"/>
      <c r="CGG283" s="445"/>
      <c r="CGH283" s="414"/>
      <c r="CGK283" s="445"/>
      <c r="CGL283" s="414"/>
      <c r="CGO283" s="445"/>
      <c r="CGP283" s="414"/>
      <c r="CGS283" s="445"/>
      <c r="CGT283" s="414"/>
      <c r="CGW283" s="445"/>
      <c r="CGX283" s="414"/>
      <c r="CHA283" s="445"/>
      <c r="CHB283" s="414"/>
      <c r="CHE283" s="445"/>
      <c r="CHF283" s="414"/>
      <c r="CHI283" s="445"/>
      <c r="CHJ283" s="414"/>
      <c r="CHM283" s="445"/>
      <c r="CHN283" s="414"/>
      <c r="CHQ283" s="445"/>
      <c r="CHR283" s="414"/>
      <c r="CHU283" s="445"/>
      <c r="CHV283" s="414"/>
      <c r="CHY283" s="445"/>
      <c r="CHZ283" s="414"/>
      <c r="CIC283" s="445"/>
      <c r="CID283" s="414"/>
      <c r="CIG283" s="445"/>
      <c r="CIH283" s="414"/>
      <c r="CIK283" s="445"/>
      <c r="CIL283" s="414"/>
      <c r="CIO283" s="445"/>
      <c r="CIP283" s="414"/>
      <c r="CIS283" s="445"/>
      <c r="CIT283" s="414"/>
      <c r="CIW283" s="445"/>
      <c r="CIX283" s="414"/>
      <c r="CJA283" s="445"/>
      <c r="CJB283" s="414"/>
      <c r="CJE283" s="445"/>
      <c r="CJF283" s="414"/>
      <c r="CJI283" s="445"/>
      <c r="CJJ283" s="414"/>
      <c r="CJM283" s="445"/>
      <c r="CJN283" s="414"/>
      <c r="CJQ283" s="445"/>
      <c r="CJR283" s="414"/>
      <c r="CJU283" s="445"/>
      <c r="CJV283" s="414"/>
      <c r="CJY283" s="445"/>
      <c r="CJZ283" s="414"/>
      <c r="CKC283" s="445"/>
      <c r="CKD283" s="414"/>
      <c r="CKG283" s="445"/>
      <c r="CKH283" s="414"/>
      <c r="CKK283" s="445"/>
      <c r="CKL283" s="414"/>
      <c r="CKO283" s="445"/>
      <c r="CKP283" s="414"/>
      <c r="CKS283" s="445"/>
      <c r="CKT283" s="414"/>
      <c r="CKW283" s="445"/>
      <c r="CKX283" s="414"/>
      <c r="CLA283" s="445"/>
      <c r="CLB283" s="414"/>
      <c r="CLE283" s="445"/>
      <c r="CLF283" s="414"/>
      <c r="CLI283" s="445"/>
      <c r="CLJ283" s="414"/>
      <c r="CLM283" s="445"/>
      <c r="CLN283" s="414"/>
      <c r="CLQ283" s="445"/>
      <c r="CLR283" s="414"/>
      <c r="CLU283" s="445"/>
      <c r="CLV283" s="414"/>
      <c r="CLY283" s="445"/>
      <c r="CLZ283" s="414"/>
      <c r="CMC283" s="445"/>
      <c r="CMD283" s="414"/>
      <c r="CMG283" s="445"/>
      <c r="CMH283" s="414"/>
      <c r="CMK283" s="445"/>
      <c r="CML283" s="414"/>
      <c r="CMO283" s="445"/>
      <c r="CMP283" s="414"/>
      <c r="CMS283" s="445"/>
      <c r="CMT283" s="414"/>
      <c r="CMW283" s="445"/>
      <c r="CMX283" s="414"/>
      <c r="CNA283" s="445"/>
      <c r="CNB283" s="414"/>
      <c r="CNE283" s="445"/>
      <c r="CNF283" s="414"/>
      <c r="CNI283" s="445"/>
      <c r="CNJ283" s="414"/>
      <c r="CNM283" s="445"/>
      <c r="CNN283" s="414"/>
      <c r="CNQ283" s="445"/>
      <c r="CNR283" s="414"/>
      <c r="CNU283" s="445"/>
      <c r="CNV283" s="414"/>
      <c r="CNY283" s="445"/>
      <c r="CNZ283" s="414"/>
      <c r="COC283" s="445"/>
      <c r="COD283" s="414"/>
      <c r="COG283" s="445"/>
      <c r="COH283" s="414"/>
      <c r="COK283" s="445"/>
      <c r="COL283" s="414"/>
      <c r="COO283" s="445"/>
      <c r="COP283" s="414"/>
      <c r="COS283" s="445"/>
      <c r="COT283" s="414"/>
      <c r="COW283" s="445"/>
      <c r="COX283" s="414"/>
      <c r="CPA283" s="445"/>
      <c r="CPB283" s="414"/>
      <c r="CPE283" s="445"/>
      <c r="CPF283" s="414"/>
      <c r="CPI283" s="445"/>
      <c r="CPJ283" s="414"/>
      <c r="CPM283" s="445"/>
      <c r="CPN283" s="414"/>
      <c r="CPQ283" s="445"/>
      <c r="CPR283" s="414"/>
      <c r="CPU283" s="445"/>
      <c r="CPV283" s="414"/>
      <c r="CPY283" s="445"/>
      <c r="CPZ283" s="414"/>
      <c r="CQC283" s="445"/>
      <c r="CQD283" s="414"/>
      <c r="CQG283" s="445"/>
      <c r="CQH283" s="414"/>
      <c r="CQK283" s="445"/>
      <c r="CQL283" s="414"/>
      <c r="CQO283" s="445"/>
      <c r="CQP283" s="414"/>
      <c r="CQS283" s="445"/>
      <c r="CQT283" s="414"/>
      <c r="CQW283" s="445"/>
      <c r="CQX283" s="414"/>
      <c r="CRA283" s="445"/>
      <c r="CRB283" s="414"/>
      <c r="CRE283" s="445"/>
      <c r="CRF283" s="414"/>
      <c r="CRI283" s="445"/>
      <c r="CRJ283" s="414"/>
      <c r="CRM283" s="445"/>
      <c r="CRN283" s="414"/>
      <c r="CRQ283" s="445"/>
      <c r="CRR283" s="414"/>
      <c r="CRU283" s="445"/>
      <c r="CRV283" s="414"/>
      <c r="CRY283" s="445"/>
      <c r="CRZ283" s="414"/>
      <c r="CSC283" s="445"/>
      <c r="CSD283" s="414"/>
      <c r="CSG283" s="445"/>
      <c r="CSH283" s="414"/>
      <c r="CSK283" s="445"/>
      <c r="CSL283" s="414"/>
      <c r="CSO283" s="445"/>
      <c r="CSP283" s="414"/>
      <c r="CSS283" s="445"/>
      <c r="CST283" s="414"/>
      <c r="CSW283" s="445"/>
      <c r="CSX283" s="414"/>
      <c r="CTA283" s="445"/>
      <c r="CTB283" s="414"/>
      <c r="CTE283" s="445"/>
      <c r="CTF283" s="414"/>
      <c r="CTI283" s="445"/>
      <c r="CTJ283" s="414"/>
      <c r="CTM283" s="445"/>
      <c r="CTN283" s="414"/>
      <c r="CTQ283" s="445"/>
      <c r="CTR283" s="414"/>
      <c r="CTU283" s="445"/>
      <c r="CTV283" s="414"/>
      <c r="CTY283" s="445"/>
      <c r="CTZ283" s="414"/>
      <c r="CUC283" s="445"/>
      <c r="CUD283" s="414"/>
      <c r="CUG283" s="445"/>
      <c r="CUH283" s="414"/>
      <c r="CUK283" s="445"/>
      <c r="CUL283" s="414"/>
      <c r="CUO283" s="445"/>
      <c r="CUP283" s="414"/>
      <c r="CUS283" s="445"/>
      <c r="CUT283" s="414"/>
      <c r="CUW283" s="445"/>
      <c r="CUX283" s="414"/>
      <c r="CVA283" s="445"/>
      <c r="CVB283" s="414"/>
      <c r="CVE283" s="445"/>
      <c r="CVF283" s="414"/>
      <c r="CVI283" s="445"/>
      <c r="CVJ283" s="414"/>
      <c r="CVM283" s="445"/>
      <c r="CVN283" s="414"/>
      <c r="CVQ283" s="445"/>
      <c r="CVR283" s="414"/>
      <c r="CVU283" s="445"/>
      <c r="CVV283" s="414"/>
      <c r="CVY283" s="445"/>
      <c r="CVZ283" s="414"/>
      <c r="CWC283" s="445"/>
      <c r="CWD283" s="414"/>
      <c r="CWG283" s="445"/>
      <c r="CWH283" s="414"/>
      <c r="CWK283" s="445"/>
      <c r="CWL283" s="414"/>
      <c r="CWO283" s="445"/>
      <c r="CWP283" s="414"/>
      <c r="CWS283" s="445"/>
      <c r="CWT283" s="414"/>
      <c r="CWW283" s="445"/>
      <c r="CWX283" s="414"/>
      <c r="CXA283" s="445"/>
      <c r="CXB283" s="414"/>
      <c r="CXE283" s="445"/>
      <c r="CXF283" s="414"/>
      <c r="CXI283" s="445"/>
      <c r="CXJ283" s="414"/>
      <c r="CXM283" s="445"/>
      <c r="CXN283" s="414"/>
      <c r="CXQ283" s="445"/>
      <c r="CXR283" s="414"/>
      <c r="CXU283" s="445"/>
      <c r="CXV283" s="414"/>
      <c r="CXY283" s="445"/>
      <c r="CXZ283" s="414"/>
      <c r="CYC283" s="445"/>
      <c r="CYD283" s="414"/>
      <c r="CYG283" s="445"/>
      <c r="CYH283" s="414"/>
      <c r="CYK283" s="445"/>
      <c r="CYL283" s="414"/>
      <c r="CYO283" s="445"/>
      <c r="CYP283" s="414"/>
      <c r="CYS283" s="445"/>
      <c r="CYT283" s="414"/>
      <c r="CYW283" s="445"/>
      <c r="CYX283" s="414"/>
      <c r="CZA283" s="445"/>
      <c r="CZB283" s="414"/>
      <c r="CZE283" s="445"/>
      <c r="CZF283" s="414"/>
      <c r="CZI283" s="445"/>
      <c r="CZJ283" s="414"/>
      <c r="CZM283" s="445"/>
      <c r="CZN283" s="414"/>
      <c r="CZQ283" s="445"/>
      <c r="CZR283" s="414"/>
      <c r="CZU283" s="445"/>
      <c r="CZV283" s="414"/>
      <c r="CZY283" s="445"/>
      <c r="CZZ283" s="414"/>
      <c r="DAC283" s="445"/>
      <c r="DAD283" s="414"/>
      <c r="DAG283" s="445"/>
      <c r="DAH283" s="414"/>
      <c r="DAK283" s="445"/>
      <c r="DAL283" s="414"/>
      <c r="DAO283" s="445"/>
      <c r="DAP283" s="414"/>
      <c r="DAS283" s="445"/>
      <c r="DAT283" s="414"/>
      <c r="DAW283" s="445"/>
      <c r="DAX283" s="414"/>
      <c r="DBA283" s="445"/>
      <c r="DBB283" s="414"/>
      <c r="DBE283" s="445"/>
      <c r="DBF283" s="414"/>
      <c r="DBI283" s="445"/>
      <c r="DBJ283" s="414"/>
      <c r="DBM283" s="445"/>
      <c r="DBN283" s="414"/>
      <c r="DBQ283" s="445"/>
      <c r="DBR283" s="414"/>
      <c r="DBU283" s="445"/>
      <c r="DBV283" s="414"/>
      <c r="DBY283" s="445"/>
      <c r="DBZ283" s="414"/>
      <c r="DCC283" s="445"/>
      <c r="DCD283" s="414"/>
      <c r="DCG283" s="445"/>
      <c r="DCH283" s="414"/>
      <c r="DCK283" s="445"/>
      <c r="DCL283" s="414"/>
      <c r="DCO283" s="445"/>
      <c r="DCP283" s="414"/>
      <c r="DCS283" s="445"/>
      <c r="DCT283" s="414"/>
      <c r="DCW283" s="445"/>
      <c r="DCX283" s="414"/>
      <c r="DDA283" s="445"/>
      <c r="DDB283" s="414"/>
      <c r="DDE283" s="445"/>
      <c r="DDF283" s="414"/>
      <c r="DDI283" s="445"/>
      <c r="DDJ283" s="414"/>
      <c r="DDM283" s="445"/>
      <c r="DDN283" s="414"/>
      <c r="DDQ283" s="445"/>
      <c r="DDR283" s="414"/>
      <c r="DDU283" s="445"/>
      <c r="DDV283" s="414"/>
      <c r="DDY283" s="445"/>
      <c r="DDZ283" s="414"/>
      <c r="DEC283" s="445"/>
      <c r="DED283" s="414"/>
      <c r="DEG283" s="445"/>
      <c r="DEH283" s="414"/>
      <c r="DEK283" s="445"/>
      <c r="DEL283" s="414"/>
      <c r="DEO283" s="445"/>
      <c r="DEP283" s="414"/>
      <c r="DES283" s="445"/>
      <c r="DET283" s="414"/>
      <c r="DEW283" s="445"/>
      <c r="DEX283" s="414"/>
      <c r="DFA283" s="445"/>
      <c r="DFB283" s="414"/>
      <c r="DFE283" s="445"/>
      <c r="DFF283" s="414"/>
      <c r="DFI283" s="445"/>
      <c r="DFJ283" s="414"/>
      <c r="DFM283" s="445"/>
      <c r="DFN283" s="414"/>
      <c r="DFQ283" s="445"/>
      <c r="DFR283" s="414"/>
      <c r="DFU283" s="445"/>
      <c r="DFV283" s="414"/>
      <c r="DFY283" s="445"/>
      <c r="DFZ283" s="414"/>
      <c r="DGC283" s="445"/>
      <c r="DGD283" s="414"/>
      <c r="DGG283" s="445"/>
      <c r="DGH283" s="414"/>
      <c r="DGK283" s="445"/>
      <c r="DGL283" s="414"/>
      <c r="DGO283" s="445"/>
      <c r="DGP283" s="414"/>
      <c r="DGS283" s="445"/>
      <c r="DGT283" s="414"/>
      <c r="DGW283" s="445"/>
      <c r="DGX283" s="414"/>
      <c r="DHA283" s="445"/>
      <c r="DHB283" s="414"/>
      <c r="DHE283" s="445"/>
      <c r="DHF283" s="414"/>
      <c r="DHI283" s="445"/>
      <c r="DHJ283" s="414"/>
      <c r="DHM283" s="445"/>
      <c r="DHN283" s="414"/>
      <c r="DHQ283" s="445"/>
      <c r="DHR283" s="414"/>
      <c r="DHU283" s="445"/>
      <c r="DHV283" s="414"/>
      <c r="DHY283" s="445"/>
      <c r="DHZ283" s="414"/>
      <c r="DIC283" s="445"/>
      <c r="DID283" s="414"/>
      <c r="DIG283" s="445"/>
      <c r="DIH283" s="414"/>
      <c r="DIK283" s="445"/>
      <c r="DIL283" s="414"/>
      <c r="DIO283" s="445"/>
      <c r="DIP283" s="414"/>
      <c r="DIS283" s="445"/>
      <c r="DIT283" s="414"/>
      <c r="DIW283" s="445"/>
      <c r="DIX283" s="414"/>
      <c r="DJA283" s="445"/>
      <c r="DJB283" s="414"/>
      <c r="DJE283" s="445"/>
      <c r="DJF283" s="414"/>
      <c r="DJI283" s="445"/>
      <c r="DJJ283" s="414"/>
      <c r="DJM283" s="445"/>
      <c r="DJN283" s="414"/>
      <c r="DJQ283" s="445"/>
      <c r="DJR283" s="414"/>
      <c r="DJU283" s="445"/>
      <c r="DJV283" s="414"/>
      <c r="DJY283" s="445"/>
      <c r="DJZ283" s="414"/>
      <c r="DKC283" s="445"/>
      <c r="DKD283" s="414"/>
      <c r="DKG283" s="445"/>
      <c r="DKH283" s="414"/>
      <c r="DKK283" s="445"/>
      <c r="DKL283" s="414"/>
      <c r="DKO283" s="445"/>
      <c r="DKP283" s="414"/>
      <c r="DKS283" s="445"/>
      <c r="DKT283" s="414"/>
      <c r="DKW283" s="445"/>
      <c r="DKX283" s="414"/>
      <c r="DLA283" s="445"/>
      <c r="DLB283" s="414"/>
      <c r="DLE283" s="445"/>
      <c r="DLF283" s="414"/>
      <c r="DLI283" s="445"/>
      <c r="DLJ283" s="414"/>
      <c r="DLM283" s="445"/>
      <c r="DLN283" s="414"/>
      <c r="DLQ283" s="445"/>
      <c r="DLR283" s="414"/>
      <c r="DLU283" s="445"/>
      <c r="DLV283" s="414"/>
      <c r="DLY283" s="445"/>
      <c r="DLZ283" s="414"/>
      <c r="DMC283" s="445"/>
      <c r="DMD283" s="414"/>
      <c r="DMG283" s="445"/>
      <c r="DMH283" s="414"/>
      <c r="DMK283" s="445"/>
      <c r="DML283" s="414"/>
      <c r="DMO283" s="445"/>
      <c r="DMP283" s="414"/>
      <c r="DMS283" s="445"/>
      <c r="DMT283" s="414"/>
      <c r="DMW283" s="445"/>
      <c r="DMX283" s="414"/>
      <c r="DNA283" s="445"/>
      <c r="DNB283" s="414"/>
      <c r="DNE283" s="445"/>
      <c r="DNF283" s="414"/>
      <c r="DNI283" s="445"/>
      <c r="DNJ283" s="414"/>
      <c r="DNM283" s="445"/>
      <c r="DNN283" s="414"/>
      <c r="DNQ283" s="445"/>
      <c r="DNR283" s="414"/>
      <c r="DNU283" s="445"/>
      <c r="DNV283" s="414"/>
      <c r="DNY283" s="445"/>
      <c r="DNZ283" s="414"/>
      <c r="DOC283" s="445"/>
      <c r="DOD283" s="414"/>
      <c r="DOG283" s="445"/>
      <c r="DOH283" s="414"/>
      <c r="DOK283" s="445"/>
      <c r="DOL283" s="414"/>
      <c r="DOO283" s="445"/>
      <c r="DOP283" s="414"/>
      <c r="DOS283" s="445"/>
      <c r="DOT283" s="414"/>
      <c r="DOW283" s="445"/>
      <c r="DOX283" s="414"/>
      <c r="DPA283" s="445"/>
      <c r="DPB283" s="414"/>
      <c r="DPE283" s="445"/>
      <c r="DPF283" s="414"/>
      <c r="DPI283" s="445"/>
      <c r="DPJ283" s="414"/>
      <c r="DPM283" s="445"/>
      <c r="DPN283" s="414"/>
      <c r="DPQ283" s="445"/>
      <c r="DPR283" s="414"/>
      <c r="DPU283" s="445"/>
      <c r="DPV283" s="414"/>
      <c r="DPY283" s="445"/>
      <c r="DPZ283" s="414"/>
      <c r="DQC283" s="445"/>
      <c r="DQD283" s="414"/>
      <c r="DQG283" s="445"/>
      <c r="DQH283" s="414"/>
      <c r="DQK283" s="445"/>
      <c r="DQL283" s="414"/>
      <c r="DQO283" s="445"/>
      <c r="DQP283" s="414"/>
      <c r="DQS283" s="445"/>
      <c r="DQT283" s="414"/>
      <c r="DQW283" s="445"/>
      <c r="DQX283" s="414"/>
      <c r="DRA283" s="445"/>
      <c r="DRB283" s="414"/>
      <c r="DRE283" s="445"/>
      <c r="DRF283" s="414"/>
      <c r="DRI283" s="445"/>
      <c r="DRJ283" s="414"/>
      <c r="DRM283" s="445"/>
      <c r="DRN283" s="414"/>
      <c r="DRQ283" s="445"/>
      <c r="DRR283" s="414"/>
      <c r="DRU283" s="445"/>
      <c r="DRV283" s="414"/>
      <c r="DRY283" s="445"/>
      <c r="DRZ283" s="414"/>
      <c r="DSC283" s="445"/>
      <c r="DSD283" s="414"/>
      <c r="DSG283" s="445"/>
      <c r="DSH283" s="414"/>
      <c r="DSK283" s="445"/>
      <c r="DSL283" s="414"/>
      <c r="DSO283" s="445"/>
      <c r="DSP283" s="414"/>
      <c r="DSS283" s="445"/>
      <c r="DST283" s="414"/>
      <c r="DSW283" s="445"/>
      <c r="DSX283" s="414"/>
      <c r="DTA283" s="445"/>
      <c r="DTB283" s="414"/>
      <c r="DTE283" s="445"/>
      <c r="DTF283" s="414"/>
      <c r="DTI283" s="445"/>
      <c r="DTJ283" s="414"/>
      <c r="DTM283" s="445"/>
      <c r="DTN283" s="414"/>
      <c r="DTQ283" s="445"/>
      <c r="DTR283" s="414"/>
      <c r="DTU283" s="445"/>
      <c r="DTV283" s="414"/>
      <c r="DTY283" s="445"/>
      <c r="DTZ283" s="414"/>
      <c r="DUC283" s="445"/>
      <c r="DUD283" s="414"/>
      <c r="DUG283" s="445"/>
      <c r="DUH283" s="414"/>
      <c r="DUK283" s="445"/>
      <c r="DUL283" s="414"/>
      <c r="DUO283" s="445"/>
      <c r="DUP283" s="414"/>
      <c r="DUS283" s="445"/>
      <c r="DUT283" s="414"/>
      <c r="DUW283" s="445"/>
      <c r="DUX283" s="414"/>
      <c r="DVA283" s="445"/>
      <c r="DVB283" s="414"/>
      <c r="DVE283" s="445"/>
      <c r="DVF283" s="414"/>
      <c r="DVI283" s="445"/>
      <c r="DVJ283" s="414"/>
      <c r="DVM283" s="445"/>
      <c r="DVN283" s="414"/>
      <c r="DVQ283" s="445"/>
      <c r="DVR283" s="414"/>
      <c r="DVU283" s="445"/>
      <c r="DVV283" s="414"/>
      <c r="DVY283" s="445"/>
      <c r="DVZ283" s="414"/>
      <c r="DWC283" s="445"/>
      <c r="DWD283" s="414"/>
      <c r="DWG283" s="445"/>
      <c r="DWH283" s="414"/>
      <c r="DWK283" s="445"/>
      <c r="DWL283" s="414"/>
      <c r="DWO283" s="445"/>
      <c r="DWP283" s="414"/>
      <c r="DWS283" s="445"/>
      <c r="DWT283" s="414"/>
      <c r="DWW283" s="445"/>
      <c r="DWX283" s="414"/>
      <c r="DXA283" s="445"/>
      <c r="DXB283" s="414"/>
      <c r="DXE283" s="445"/>
      <c r="DXF283" s="414"/>
      <c r="DXI283" s="445"/>
      <c r="DXJ283" s="414"/>
      <c r="DXM283" s="445"/>
      <c r="DXN283" s="414"/>
      <c r="DXQ283" s="445"/>
      <c r="DXR283" s="414"/>
      <c r="DXU283" s="445"/>
      <c r="DXV283" s="414"/>
      <c r="DXY283" s="445"/>
      <c r="DXZ283" s="414"/>
      <c r="DYC283" s="445"/>
      <c r="DYD283" s="414"/>
      <c r="DYG283" s="445"/>
      <c r="DYH283" s="414"/>
      <c r="DYK283" s="445"/>
      <c r="DYL283" s="414"/>
      <c r="DYO283" s="445"/>
      <c r="DYP283" s="414"/>
      <c r="DYS283" s="445"/>
      <c r="DYT283" s="414"/>
      <c r="DYW283" s="445"/>
      <c r="DYX283" s="414"/>
      <c r="DZA283" s="445"/>
      <c r="DZB283" s="414"/>
      <c r="DZE283" s="445"/>
      <c r="DZF283" s="414"/>
      <c r="DZI283" s="445"/>
      <c r="DZJ283" s="414"/>
      <c r="DZM283" s="445"/>
      <c r="DZN283" s="414"/>
      <c r="DZQ283" s="445"/>
      <c r="DZR283" s="414"/>
      <c r="DZU283" s="445"/>
      <c r="DZV283" s="414"/>
      <c r="DZY283" s="445"/>
      <c r="DZZ283" s="414"/>
      <c r="EAC283" s="445"/>
      <c r="EAD283" s="414"/>
      <c r="EAG283" s="445"/>
      <c r="EAH283" s="414"/>
      <c r="EAK283" s="445"/>
      <c r="EAL283" s="414"/>
      <c r="EAO283" s="445"/>
      <c r="EAP283" s="414"/>
      <c r="EAS283" s="445"/>
      <c r="EAT283" s="414"/>
      <c r="EAW283" s="445"/>
      <c r="EAX283" s="414"/>
      <c r="EBA283" s="445"/>
      <c r="EBB283" s="414"/>
      <c r="EBE283" s="445"/>
      <c r="EBF283" s="414"/>
      <c r="EBI283" s="445"/>
      <c r="EBJ283" s="414"/>
      <c r="EBM283" s="445"/>
      <c r="EBN283" s="414"/>
      <c r="EBQ283" s="445"/>
      <c r="EBR283" s="414"/>
      <c r="EBU283" s="445"/>
      <c r="EBV283" s="414"/>
      <c r="EBY283" s="445"/>
      <c r="EBZ283" s="414"/>
      <c r="ECC283" s="445"/>
      <c r="ECD283" s="414"/>
      <c r="ECG283" s="445"/>
      <c r="ECH283" s="414"/>
      <c r="ECK283" s="445"/>
      <c r="ECL283" s="414"/>
      <c r="ECO283" s="445"/>
      <c r="ECP283" s="414"/>
      <c r="ECS283" s="445"/>
      <c r="ECT283" s="414"/>
      <c r="ECW283" s="445"/>
      <c r="ECX283" s="414"/>
      <c r="EDA283" s="445"/>
      <c r="EDB283" s="414"/>
      <c r="EDE283" s="445"/>
      <c r="EDF283" s="414"/>
      <c r="EDI283" s="445"/>
      <c r="EDJ283" s="414"/>
      <c r="EDM283" s="445"/>
      <c r="EDN283" s="414"/>
      <c r="EDQ283" s="445"/>
      <c r="EDR283" s="414"/>
      <c r="EDU283" s="445"/>
      <c r="EDV283" s="414"/>
      <c r="EDY283" s="445"/>
      <c r="EDZ283" s="414"/>
      <c r="EEC283" s="445"/>
      <c r="EED283" s="414"/>
      <c r="EEG283" s="445"/>
      <c r="EEH283" s="414"/>
      <c r="EEK283" s="445"/>
      <c r="EEL283" s="414"/>
      <c r="EEO283" s="445"/>
      <c r="EEP283" s="414"/>
      <c r="EES283" s="445"/>
      <c r="EET283" s="414"/>
      <c r="EEW283" s="445"/>
      <c r="EEX283" s="414"/>
      <c r="EFA283" s="445"/>
      <c r="EFB283" s="414"/>
      <c r="EFE283" s="445"/>
      <c r="EFF283" s="414"/>
      <c r="EFI283" s="445"/>
      <c r="EFJ283" s="414"/>
      <c r="EFM283" s="445"/>
      <c r="EFN283" s="414"/>
      <c r="EFQ283" s="445"/>
      <c r="EFR283" s="414"/>
      <c r="EFU283" s="445"/>
      <c r="EFV283" s="414"/>
      <c r="EFY283" s="445"/>
      <c r="EFZ283" s="414"/>
      <c r="EGC283" s="445"/>
      <c r="EGD283" s="414"/>
      <c r="EGG283" s="445"/>
      <c r="EGH283" s="414"/>
      <c r="EGK283" s="445"/>
      <c r="EGL283" s="414"/>
      <c r="EGO283" s="445"/>
      <c r="EGP283" s="414"/>
      <c r="EGS283" s="445"/>
      <c r="EGT283" s="414"/>
      <c r="EGW283" s="445"/>
      <c r="EGX283" s="414"/>
      <c r="EHA283" s="445"/>
      <c r="EHB283" s="414"/>
      <c r="EHE283" s="445"/>
      <c r="EHF283" s="414"/>
      <c r="EHI283" s="445"/>
      <c r="EHJ283" s="414"/>
      <c r="EHM283" s="445"/>
      <c r="EHN283" s="414"/>
      <c r="EHQ283" s="445"/>
      <c r="EHR283" s="414"/>
      <c r="EHU283" s="445"/>
      <c r="EHV283" s="414"/>
      <c r="EHY283" s="445"/>
      <c r="EHZ283" s="414"/>
      <c r="EIC283" s="445"/>
      <c r="EID283" s="414"/>
      <c r="EIG283" s="445"/>
      <c r="EIH283" s="414"/>
      <c r="EIK283" s="445"/>
      <c r="EIL283" s="414"/>
      <c r="EIO283" s="445"/>
      <c r="EIP283" s="414"/>
      <c r="EIS283" s="445"/>
      <c r="EIT283" s="414"/>
      <c r="EIW283" s="445"/>
      <c r="EIX283" s="414"/>
      <c r="EJA283" s="445"/>
      <c r="EJB283" s="414"/>
      <c r="EJE283" s="445"/>
      <c r="EJF283" s="414"/>
      <c r="EJI283" s="445"/>
      <c r="EJJ283" s="414"/>
      <c r="EJM283" s="445"/>
      <c r="EJN283" s="414"/>
      <c r="EJQ283" s="445"/>
      <c r="EJR283" s="414"/>
      <c r="EJU283" s="445"/>
      <c r="EJV283" s="414"/>
      <c r="EJY283" s="445"/>
      <c r="EJZ283" s="414"/>
      <c r="EKC283" s="445"/>
      <c r="EKD283" s="414"/>
      <c r="EKG283" s="445"/>
      <c r="EKH283" s="414"/>
      <c r="EKK283" s="445"/>
      <c r="EKL283" s="414"/>
      <c r="EKO283" s="445"/>
      <c r="EKP283" s="414"/>
      <c r="EKS283" s="445"/>
      <c r="EKT283" s="414"/>
      <c r="EKW283" s="445"/>
      <c r="EKX283" s="414"/>
      <c r="ELA283" s="445"/>
      <c r="ELB283" s="414"/>
      <c r="ELE283" s="445"/>
      <c r="ELF283" s="414"/>
      <c r="ELI283" s="445"/>
      <c r="ELJ283" s="414"/>
      <c r="ELM283" s="445"/>
      <c r="ELN283" s="414"/>
      <c r="ELQ283" s="445"/>
      <c r="ELR283" s="414"/>
      <c r="ELU283" s="445"/>
      <c r="ELV283" s="414"/>
      <c r="ELY283" s="445"/>
      <c r="ELZ283" s="414"/>
      <c r="EMC283" s="445"/>
      <c r="EMD283" s="414"/>
      <c r="EMG283" s="445"/>
      <c r="EMH283" s="414"/>
      <c r="EMK283" s="445"/>
      <c r="EML283" s="414"/>
      <c r="EMO283" s="445"/>
      <c r="EMP283" s="414"/>
      <c r="EMS283" s="445"/>
      <c r="EMT283" s="414"/>
      <c r="EMW283" s="445"/>
      <c r="EMX283" s="414"/>
      <c r="ENA283" s="445"/>
      <c r="ENB283" s="414"/>
      <c r="ENE283" s="445"/>
      <c r="ENF283" s="414"/>
      <c r="ENI283" s="445"/>
      <c r="ENJ283" s="414"/>
      <c r="ENM283" s="445"/>
      <c r="ENN283" s="414"/>
      <c r="ENQ283" s="445"/>
      <c r="ENR283" s="414"/>
      <c r="ENU283" s="445"/>
      <c r="ENV283" s="414"/>
      <c r="ENY283" s="445"/>
      <c r="ENZ283" s="414"/>
      <c r="EOC283" s="445"/>
      <c r="EOD283" s="414"/>
      <c r="EOG283" s="445"/>
      <c r="EOH283" s="414"/>
      <c r="EOK283" s="445"/>
      <c r="EOL283" s="414"/>
      <c r="EOO283" s="445"/>
      <c r="EOP283" s="414"/>
      <c r="EOS283" s="445"/>
      <c r="EOT283" s="414"/>
      <c r="EOW283" s="445"/>
      <c r="EOX283" s="414"/>
      <c r="EPA283" s="445"/>
      <c r="EPB283" s="414"/>
      <c r="EPE283" s="445"/>
      <c r="EPF283" s="414"/>
      <c r="EPI283" s="445"/>
      <c r="EPJ283" s="414"/>
      <c r="EPM283" s="445"/>
      <c r="EPN283" s="414"/>
      <c r="EPQ283" s="445"/>
      <c r="EPR283" s="414"/>
      <c r="EPU283" s="445"/>
      <c r="EPV283" s="414"/>
      <c r="EPY283" s="445"/>
      <c r="EPZ283" s="414"/>
      <c r="EQC283" s="445"/>
      <c r="EQD283" s="414"/>
      <c r="EQG283" s="445"/>
      <c r="EQH283" s="414"/>
      <c r="EQK283" s="445"/>
      <c r="EQL283" s="414"/>
      <c r="EQO283" s="445"/>
      <c r="EQP283" s="414"/>
      <c r="EQS283" s="445"/>
      <c r="EQT283" s="414"/>
      <c r="EQW283" s="445"/>
      <c r="EQX283" s="414"/>
      <c r="ERA283" s="445"/>
      <c r="ERB283" s="414"/>
      <c r="ERE283" s="445"/>
      <c r="ERF283" s="414"/>
      <c r="ERI283" s="445"/>
      <c r="ERJ283" s="414"/>
      <c r="ERM283" s="445"/>
      <c r="ERN283" s="414"/>
      <c r="ERQ283" s="445"/>
      <c r="ERR283" s="414"/>
      <c r="ERU283" s="445"/>
      <c r="ERV283" s="414"/>
      <c r="ERY283" s="445"/>
      <c r="ERZ283" s="414"/>
      <c r="ESC283" s="445"/>
      <c r="ESD283" s="414"/>
      <c r="ESG283" s="445"/>
      <c r="ESH283" s="414"/>
      <c r="ESK283" s="445"/>
      <c r="ESL283" s="414"/>
      <c r="ESO283" s="445"/>
      <c r="ESP283" s="414"/>
      <c r="ESS283" s="445"/>
      <c r="EST283" s="414"/>
      <c r="ESW283" s="445"/>
      <c r="ESX283" s="414"/>
      <c r="ETA283" s="445"/>
      <c r="ETB283" s="414"/>
      <c r="ETE283" s="445"/>
      <c r="ETF283" s="414"/>
      <c r="ETI283" s="445"/>
      <c r="ETJ283" s="414"/>
      <c r="ETM283" s="445"/>
      <c r="ETN283" s="414"/>
      <c r="ETQ283" s="445"/>
      <c r="ETR283" s="414"/>
      <c r="ETU283" s="445"/>
      <c r="ETV283" s="414"/>
      <c r="ETY283" s="445"/>
      <c r="ETZ283" s="414"/>
      <c r="EUC283" s="445"/>
      <c r="EUD283" s="414"/>
      <c r="EUG283" s="445"/>
      <c r="EUH283" s="414"/>
      <c r="EUK283" s="445"/>
      <c r="EUL283" s="414"/>
      <c r="EUO283" s="445"/>
      <c r="EUP283" s="414"/>
      <c r="EUS283" s="445"/>
      <c r="EUT283" s="414"/>
      <c r="EUW283" s="445"/>
      <c r="EUX283" s="414"/>
      <c r="EVA283" s="445"/>
      <c r="EVB283" s="414"/>
      <c r="EVE283" s="445"/>
      <c r="EVF283" s="414"/>
      <c r="EVI283" s="445"/>
      <c r="EVJ283" s="414"/>
      <c r="EVM283" s="445"/>
      <c r="EVN283" s="414"/>
      <c r="EVQ283" s="445"/>
      <c r="EVR283" s="414"/>
      <c r="EVU283" s="445"/>
      <c r="EVV283" s="414"/>
      <c r="EVY283" s="445"/>
      <c r="EVZ283" s="414"/>
      <c r="EWC283" s="445"/>
      <c r="EWD283" s="414"/>
      <c r="EWG283" s="445"/>
      <c r="EWH283" s="414"/>
      <c r="EWK283" s="445"/>
      <c r="EWL283" s="414"/>
      <c r="EWO283" s="445"/>
      <c r="EWP283" s="414"/>
      <c r="EWS283" s="445"/>
      <c r="EWT283" s="414"/>
      <c r="EWW283" s="445"/>
      <c r="EWX283" s="414"/>
      <c r="EXA283" s="445"/>
      <c r="EXB283" s="414"/>
      <c r="EXE283" s="445"/>
      <c r="EXF283" s="414"/>
      <c r="EXI283" s="445"/>
      <c r="EXJ283" s="414"/>
      <c r="EXM283" s="445"/>
      <c r="EXN283" s="414"/>
      <c r="EXQ283" s="445"/>
      <c r="EXR283" s="414"/>
      <c r="EXU283" s="445"/>
      <c r="EXV283" s="414"/>
      <c r="EXY283" s="445"/>
      <c r="EXZ283" s="414"/>
      <c r="EYC283" s="445"/>
      <c r="EYD283" s="414"/>
      <c r="EYG283" s="445"/>
      <c r="EYH283" s="414"/>
      <c r="EYK283" s="445"/>
      <c r="EYL283" s="414"/>
      <c r="EYO283" s="445"/>
      <c r="EYP283" s="414"/>
      <c r="EYS283" s="445"/>
      <c r="EYT283" s="414"/>
      <c r="EYW283" s="445"/>
      <c r="EYX283" s="414"/>
      <c r="EZA283" s="445"/>
      <c r="EZB283" s="414"/>
      <c r="EZE283" s="445"/>
      <c r="EZF283" s="414"/>
      <c r="EZI283" s="445"/>
      <c r="EZJ283" s="414"/>
      <c r="EZM283" s="445"/>
      <c r="EZN283" s="414"/>
      <c r="EZQ283" s="445"/>
      <c r="EZR283" s="414"/>
      <c r="EZU283" s="445"/>
      <c r="EZV283" s="414"/>
      <c r="EZY283" s="445"/>
      <c r="EZZ283" s="414"/>
      <c r="FAC283" s="445"/>
      <c r="FAD283" s="414"/>
      <c r="FAG283" s="445"/>
      <c r="FAH283" s="414"/>
      <c r="FAK283" s="445"/>
      <c r="FAL283" s="414"/>
      <c r="FAO283" s="445"/>
      <c r="FAP283" s="414"/>
      <c r="FAS283" s="445"/>
      <c r="FAT283" s="414"/>
      <c r="FAW283" s="445"/>
      <c r="FAX283" s="414"/>
      <c r="FBA283" s="445"/>
      <c r="FBB283" s="414"/>
      <c r="FBE283" s="445"/>
      <c r="FBF283" s="414"/>
      <c r="FBI283" s="445"/>
      <c r="FBJ283" s="414"/>
      <c r="FBM283" s="445"/>
      <c r="FBN283" s="414"/>
      <c r="FBQ283" s="445"/>
      <c r="FBR283" s="414"/>
      <c r="FBU283" s="445"/>
      <c r="FBV283" s="414"/>
      <c r="FBY283" s="445"/>
      <c r="FBZ283" s="414"/>
      <c r="FCC283" s="445"/>
      <c r="FCD283" s="414"/>
      <c r="FCG283" s="445"/>
      <c r="FCH283" s="414"/>
      <c r="FCK283" s="445"/>
      <c r="FCL283" s="414"/>
      <c r="FCO283" s="445"/>
      <c r="FCP283" s="414"/>
      <c r="FCS283" s="445"/>
      <c r="FCT283" s="414"/>
      <c r="FCW283" s="445"/>
      <c r="FCX283" s="414"/>
      <c r="FDA283" s="445"/>
      <c r="FDB283" s="414"/>
      <c r="FDE283" s="445"/>
      <c r="FDF283" s="414"/>
      <c r="FDI283" s="445"/>
      <c r="FDJ283" s="414"/>
      <c r="FDM283" s="445"/>
      <c r="FDN283" s="414"/>
      <c r="FDQ283" s="445"/>
      <c r="FDR283" s="414"/>
      <c r="FDU283" s="445"/>
      <c r="FDV283" s="414"/>
      <c r="FDY283" s="445"/>
      <c r="FDZ283" s="414"/>
      <c r="FEC283" s="445"/>
      <c r="FED283" s="414"/>
      <c r="FEG283" s="445"/>
      <c r="FEH283" s="414"/>
      <c r="FEK283" s="445"/>
      <c r="FEL283" s="414"/>
      <c r="FEO283" s="445"/>
      <c r="FEP283" s="414"/>
      <c r="FES283" s="445"/>
      <c r="FET283" s="414"/>
      <c r="FEW283" s="445"/>
      <c r="FEX283" s="414"/>
      <c r="FFA283" s="445"/>
      <c r="FFB283" s="414"/>
      <c r="FFE283" s="445"/>
      <c r="FFF283" s="414"/>
      <c r="FFI283" s="445"/>
      <c r="FFJ283" s="414"/>
      <c r="FFM283" s="445"/>
      <c r="FFN283" s="414"/>
      <c r="FFQ283" s="445"/>
      <c r="FFR283" s="414"/>
      <c r="FFU283" s="445"/>
      <c r="FFV283" s="414"/>
      <c r="FFY283" s="445"/>
      <c r="FFZ283" s="414"/>
      <c r="FGC283" s="445"/>
      <c r="FGD283" s="414"/>
      <c r="FGG283" s="445"/>
      <c r="FGH283" s="414"/>
      <c r="FGK283" s="445"/>
      <c r="FGL283" s="414"/>
      <c r="FGO283" s="445"/>
      <c r="FGP283" s="414"/>
      <c r="FGS283" s="445"/>
      <c r="FGT283" s="414"/>
      <c r="FGW283" s="445"/>
      <c r="FGX283" s="414"/>
      <c r="FHA283" s="445"/>
      <c r="FHB283" s="414"/>
      <c r="FHE283" s="445"/>
      <c r="FHF283" s="414"/>
      <c r="FHI283" s="445"/>
      <c r="FHJ283" s="414"/>
      <c r="FHM283" s="445"/>
      <c r="FHN283" s="414"/>
      <c r="FHQ283" s="445"/>
      <c r="FHR283" s="414"/>
      <c r="FHU283" s="445"/>
      <c r="FHV283" s="414"/>
      <c r="FHY283" s="445"/>
      <c r="FHZ283" s="414"/>
      <c r="FIC283" s="445"/>
      <c r="FID283" s="414"/>
      <c r="FIG283" s="445"/>
      <c r="FIH283" s="414"/>
      <c r="FIK283" s="445"/>
      <c r="FIL283" s="414"/>
      <c r="FIO283" s="445"/>
      <c r="FIP283" s="414"/>
      <c r="FIS283" s="445"/>
      <c r="FIT283" s="414"/>
      <c r="FIW283" s="445"/>
      <c r="FIX283" s="414"/>
      <c r="FJA283" s="445"/>
      <c r="FJB283" s="414"/>
      <c r="FJE283" s="445"/>
      <c r="FJF283" s="414"/>
      <c r="FJI283" s="445"/>
      <c r="FJJ283" s="414"/>
      <c r="FJM283" s="445"/>
      <c r="FJN283" s="414"/>
      <c r="FJQ283" s="445"/>
      <c r="FJR283" s="414"/>
      <c r="FJU283" s="445"/>
      <c r="FJV283" s="414"/>
      <c r="FJY283" s="445"/>
      <c r="FJZ283" s="414"/>
      <c r="FKC283" s="445"/>
      <c r="FKD283" s="414"/>
      <c r="FKG283" s="445"/>
      <c r="FKH283" s="414"/>
      <c r="FKK283" s="445"/>
      <c r="FKL283" s="414"/>
      <c r="FKO283" s="445"/>
      <c r="FKP283" s="414"/>
      <c r="FKS283" s="445"/>
      <c r="FKT283" s="414"/>
      <c r="FKW283" s="445"/>
      <c r="FKX283" s="414"/>
      <c r="FLA283" s="445"/>
      <c r="FLB283" s="414"/>
      <c r="FLE283" s="445"/>
      <c r="FLF283" s="414"/>
      <c r="FLI283" s="445"/>
      <c r="FLJ283" s="414"/>
      <c r="FLM283" s="445"/>
      <c r="FLN283" s="414"/>
      <c r="FLQ283" s="445"/>
      <c r="FLR283" s="414"/>
      <c r="FLU283" s="445"/>
      <c r="FLV283" s="414"/>
      <c r="FLY283" s="445"/>
      <c r="FLZ283" s="414"/>
      <c r="FMC283" s="445"/>
      <c r="FMD283" s="414"/>
      <c r="FMG283" s="445"/>
      <c r="FMH283" s="414"/>
      <c r="FMK283" s="445"/>
      <c r="FML283" s="414"/>
      <c r="FMO283" s="445"/>
      <c r="FMP283" s="414"/>
      <c r="FMS283" s="445"/>
      <c r="FMT283" s="414"/>
      <c r="FMW283" s="445"/>
      <c r="FMX283" s="414"/>
      <c r="FNA283" s="445"/>
      <c r="FNB283" s="414"/>
      <c r="FNE283" s="445"/>
      <c r="FNF283" s="414"/>
      <c r="FNI283" s="445"/>
      <c r="FNJ283" s="414"/>
      <c r="FNM283" s="445"/>
      <c r="FNN283" s="414"/>
      <c r="FNQ283" s="445"/>
      <c r="FNR283" s="414"/>
      <c r="FNU283" s="445"/>
      <c r="FNV283" s="414"/>
      <c r="FNY283" s="445"/>
      <c r="FNZ283" s="414"/>
      <c r="FOC283" s="445"/>
      <c r="FOD283" s="414"/>
      <c r="FOG283" s="445"/>
      <c r="FOH283" s="414"/>
      <c r="FOK283" s="445"/>
      <c r="FOL283" s="414"/>
      <c r="FOO283" s="445"/>
      <c r="FOP283" s="414"/>
      <c r="FOS283" s="445"/>
      <c r="FOT283" s="414"/>
      <c r="FOW283" s="445"/>
      <c r="FOX283" s="414"/>
      <c r="FPA283" s="445"/>
      <c r="FPB283" s="414"/>
      <c r="FPE283" s="445"/>
      <c r="FPF283" s="414"/>
      <c r="FPI283" s="445"/>
      <c r="FPJ283" s="414"/>
      <c r="FPM283" s="445"/>
      <c r="FPN283" s="414"/>
      <c r="FPQ283" s="445"/>
      <c r="FPR283" s="414"/>
      <c r="FPU283" s="445"/>
      <c r="FPV283" s="414"/>
      <c r="FPY283" s="445"/>
      <c r="FPZ283" s="414"/>
      <c r="FQC283" s="445"/>
      <c r="FQD283" s="414"/>
      <c r="FQG283" s="445"/>
      <c r="FQH283" s="414"/>
      <c r="FQK283" s="445"/>
      <c r="FQL283" s="414"/>
      <c r="FQO283" s="445"/>
      <c r="FQP283" s="414"/>
      <c r="FQS283" s="445"/>
      <c r="FQT283" s="414"/>
      <c r="FQW283" s="445"/>
      <c r="FQX283" s="414"/>
      <c r="FRA283" s="445"/>
      <c r="FRB283" s="414"/>
      <c r="FRE283" s="445"/>
      <c r="FRF283" s="414"/>
      <c r="FRI283" s="445"/>
      <c r="FRJ283" s="414"/>
      <c r="FRM283" s="445"/>
      <c r="FRN283" s="414"/>
      <c r="FRQ283" s="445"/>
      <c r="FRR283" s="414"/>
      <c r="FRU283" s="445"/>
      <c r="FRV283" s="414"/>
      <c r="FRY283" s="445"/>
      <c r="FRZ283" s="414"/>
      <c r="FSC283" s="445"/>
      <c r="FSD283" s="414"/>
      <c r="FSG283" s="445"/>
      <c r="FSH283" s="414"/>
      <c r="FSK283" s="445"/>
      <c r="FSL283" s="414"/>
      <c r="FSO283" s="445"/>
      <c r="FSP283" s="414"/>
      <c r="FSS283" s="445"/>
      <c r="FST283" s="414"/>
      <c r="FSW283" s="445"/>
      <c r="FSX283" s="414"/>
      <c r="FTA283" s="445"/>
      <c r="FTB283" s="414"/>
      <c r="FTE283" s="445"/>
      <c r="FTF283" s="414"/>
      <c r="FTI283" s="445"/>
      <c r="FTJ283" s="414"/>
      <c r="FTM283" s="445"/>
      <c r="FTN283" s="414"/>
      <c r="FTQ283" s="445"/>
      <c r="FTR283" s="414"/>
      <c r="FTU283" s="445"/>
      <c r="FTV283" s="414"/>
      <c r="FTY283" s="445"/>
      <c r="FTZ283" s="414"/>
      <c r="FUC283" s="445"/>
      <c r="FUD283" s="414"/>
      <c r="FUG283" s="445"/>
      <c r="FUH283" s="414"/>
      <c r="FUK283" s="445"/>
      <c r="FUL283" s="414"/>
      <c r="FUO283" s="445"/>
      <c r="FUP283" s="414"/>
      <c r="FUS283" s="445"/>
      <c r="FUT283" s="414"/>
      <c r="FUW283" s="445"/>
      <c r="FUX283" s="414"/>
      <c r="FVA283" s="445"/>
      <c r="FVB283" s="414"/>
      <c r="FVE283" s="445"/>
      <c r="FVF283" s="414"/>
      <c r="FVI283" s="445"/>
      <c r="FVJ283" s="414"/>
      <c r="FVM283" s="445"/>
      <c r="FVN283" s="414"/>
      <c r="FVQ283" s="445"/>
      <c r="FVR283" s="414"/>
      <c r="FVU283" s="445"/>
      <c r="FVV283" s="414"/>
      <c r="FVY283" s="445"/>
      <c r="FVZ283" s="414"/>
      <c r="FWC283" s="445"/>
      <c r="FWD283" s="414"/>
      <c r="FWG283" s="445"/>
      <c r="FWH283" s="414"/>
      <c r="FWK283" s="445"/>
      <c r="FWL283" s="414"/>
      <c r="FWO283" s="445"/>
      <c r="FWP283" s="414"/>
      <c r="FWS283" s="445"/>
      <c r="FWT283" s="414"/>
      <c r="FWW283" s="445"/>
      <c r="FWX283" s="414"/>
      <c r="FXA283" s="445"/>
      <c r="FXB283" s="414"/>
      <c r="FXE283" s="445"/>
      <c r="FXF283" s="414"/>
      <c r="FXI283" s="445"/>
      <c r="FXJ283" s="414"/>
      <c r="FXM283" s="445"/>
      <c r="FXN283" s="414"/>
      <c r="FXQ283" s="445"/>
      <c r="FXR283" s="414"/>
      <c r="FXU283" s="445"/>
      <c r="FXV283" s="414"/>
      <c r="FXY283" s="445"/>
      <c r="FXZ283" s="414"/>
      <c r="FYC283" s="445"/>
      <c r="FYD283" s="414"/>
      <c r="FYG283" s="445"/>
      <c r="FYH283" s="414"/>
      <c r="FYK283" s="445"/>
      <c r="FYL283" s="414"/>
      <c r="FYO283" s="445"/>
      <c r="FYP283" s="414"/>
      <c r="FYS283" s="445"/>
      <c r="FYT283" s="414"/>
      <c r="FYW283" s="445"/>
      <c r="FYX283" s="414"/>
      <c r="FZA283" s="445"/>
      <c r="FZB283" s="414"/>
      <c r="FZE283" s="445"/>
      <c r="FZF283" s="414"/>
      <c r="FZI283" s="445"/>
      <c r="FZJ283" s="414"/>
      <c r="FZM283" s="445"/>
      <c r="FZN283" s="414"/>
      <c r="FZQ283" s="445"/>
      <c r="FZR283" s="414"/>
      <c r="FZU283" s="445"/>
      <c r="FZV283" s="414"/>
      <c r="FZY283" s="445"/>
      <c r="FZZ283" s="414"/>
      <c r="GAC283" s="445"/>
      <c r="GAD283" s="414"/>
      <c r="GAG283" s="445"/>
      <c r="GAH283" s="414"/>
      <c r="GAK283" s="445"/>
      <c r="GAL283" s="414"/>
      <c r="GAO283" s="445"/>
      <c r="GAP283" s="414"/>
      <c r="GAS283" s="445"/>
      <c r="GAT283" s="414"/>
      <c r="GAW283" s="445"/>
      <c r="GAX283" s="414"/>
      <c r="GBA283" s="445"/>
      <c r="GBB283" s="414"/>
      <c r="GBE283" s="445"/>
      <c r="GBF283" s="414"/>
      <c r="GBI283" s="445"/>
      <c r="GBJ283" s="414"/>
      <c r="GBM283" s="445"/>
      <c r="GBN283" s="414"/>
      <c r="GBQ283" s="445"/>
      <c r="GBR283" s="414"/>
      <c r="GBU283" s="445"/>
      <c r="GBV283" s="414"/>
      <c r="GBY283" s="445"/>
      <c r="GBZ283" s="414"/>
      <c r="GCC283" s="445"/>
      <c r="GCD283" s="414"/>
      <c r="GCG283" s="445"/>
      <c r="GCH283" s="414"/>
      <c r="GCK283" s="445"/>
      <c r="GCL283" s="414"/>
      <c r="GCO283" s="445"/>
      <c r="GCP283" s="414"/>
      <c r="GCS283" s="445"/>
      <c r="GCT283" s="414"/>
      <c r="GCW283" s="445"/>
      <c r="GCX283" s="414"/>
      <c r="GDA283" s="445"/>
      <c r="GDB283" s="414"/>
      <c r="GDE283" s="445"/>
      <c r="GDF283" s="414"/>
      <c r="GDI283" s="445"/>
      <c r="GDJ283" s="414"/>
      <c r="GDM283" s="445"/>
      <c r="GDN283" s="414"/>
      <c r="GDQ283" s="445"/>
      <c r="GDR283" s="414"/>
      <c r="GDU283" s="445"/>
      <c r="GDV283" s="414"/>
      <c r="GDY283" s="445"/>
      <c r="GDZ283" s="414"/>
      <c r="GEC283" s="445"/>
      <c r="GED283" s="414"/>
      <c r="GEG283" s="445"/>
      <c r="GEH283" s="414"/>
      <c r="GEK283" s="445"/>
      <c r="GEL283" s="414"/>
      <c r="GEO283" s="445"/>
      <c r="GEP283" s="414"/>
      <c r="GES283" s="445"/>
      <c r="GET283" s="414"/>
      <c r="GEW283" s="445"/>
      <c r="GEX283" s="414"/>
      <c r="GFA283" s="445"/>
      <c r="GFB283" s="414"/>
      <c r="GFE283" s="445"/>
      <c r="GFF283" s="414"/>
      <c r="GFI283" s="445"/>
      <c r="GFJ283" s="414"/>
      <c r="GFM283" s="445"/>
      <c r="GFN283" s="414"/>
      <c r="GFQ283" s="445"/>
      <c r="GFR283" s="414"/>
      <c r="GFU283" s="445"/>
      <c r="GFV283" s="414"/>
      <c r="GFY283" s="445"/>
      <c r="GFZ283" s="414"/>
      <c r="GGC283" s="445"/>
      <c r="GGD283" s="414"/>
      <c r="GGG283" s="445"/>
      <c r="GGH283" s="414"/>
      <c r="GGK283" s="445"/>
      <c r="GGL283" s="414"/>
      <c r="GGO283" s="445"/>
      <c r="GGP283" s="414"/>
      <c r="GGS283" s="445"/>
      <c r="GGT283" s="414"/>
      <c r="GGW283" s="445"/>
      <c r="GGX283" s="414"/>
      <c r="GHA283" s="445"/>
      <c r="GHB283" s="414"/>
      <c r="GHE283" s="445"/>
      <c r="GHF283" s="414"/>
      <c r="GHI283" s="445"/>
      <c r="GHJ283" s="414"/>
      <c r="GHM283" s="445"/>
      <c r="GHN283" s="414"/>
      <c r="GHQ283" s="445"/>
      <c r="GHR283" s="414"/>
      <c r="GHU283" s="445"/>
      <c r="GHV283" s="414"/>
      <c r="GHY283" s="445"/>
      <c r="GHZ283" s="414"/>
      <c r="GIC283" s="445"/>
      <c r="GID283" s="414"/>
      <c r="GIG283" s="445"/>
      <c r="GIH283" s="414"/>
      <c r="GIK283" s="445"/>
      <c r="GIL283" s="414"/>
      <c r="GIO283" s="445"/>
      <c r="GIP283" s="414"/>
      <c r="GIS283" s="445"/>
      <c r="GIT283" s="414"/>
      <c r="GIW283" s="445"/>
      <c r="GIX283" s="414"/>
      <c r="GJA283" s="445"/>
      <c r="GJB283" s="414"/>
      <c r="GJE283" s="445"/>
      <c r="GJF283" s="414"/>
      <c r="GJI283" s="445"/>
      <c r="GJJ283" s="414"/>
      <c r="GJM283" s="445"/>
      <c r="GJN283" s="414"/>
      <c r="GJQ283" s="445"/>
      <c r="GJR283" s="414"/>
      <c r="GJU283" s="445"/>
      <c r="GJV283" s="414"/>
      <c r="GJY283" s="445"/>
      <c r="GJZ283" s="414"/>
      <c r="GKC283" s="445"/>
      <c r="GKD283" s="414"/>
      <c r="GKG283" s="445"/>
      <c r="GKH283" s="414"/>
      <c r="GKK283" s="445"/>
      <c r="GKL283" s="414"/>
      <c r="GKO283" s="445"/>
      <c r="GKP283" s="414"/>
      <c r="GKS283" s="445"/>
      <c r="GKT283" s="414"/>
      <c r="GKW283" s="445"/>
      <c r="GKX283" s="414"/>
      <c r="GLA283" s="445"/>
      <c r="GLB283" s="414"/>
      <c r="GLE283" s="445"/>
      <c r="GLF283" s="414"/>
      <c r="GLI283" s="445"/>
      <c r="GLJ283" s="414"/>
      <c r="GLM283" s="445"/>
      <c r="GLN283" s="414"/>
      <c r="GLQ283" s="445"/>
      <c r="GLR283" s="414"/>
      <c r="GLU283" s="445"/>
      <c r="GLV283" s="414"/>
      <c r="GLY283" s="445"/>
      <c r="GLZ283" s="414"/>
      <c r="GMC283" s="445"/>
      <c r="GMD283" s="414"/>
      <c r="GMG283" s="445"/>
      <c r="GMH283" s="414"/>
      <c r="GMK283" s="445"/>
      <c r="GML283" s="414"/>
      <c r="GMO283" s="445"/>
      <c r="GMP283" s="414"/>
      <c r="GMS283" s="445"/>
      <c r="GMT283" s="414"/>
      <c r="GMW283" s="445"/>
      <c r="GMX283" s="414"/>
      <c r="GNA283" s="445"/>
      <c r="GNB283" s="414"/>
      <c r="GNE283" s="445"/>
      <c r="GNF283" s="414"/>
      <c r="GNI283" s="445"/>
      <c r="GNJ283" s="414"/>
      <c r="GNM283" s="445"/>
      <c r="GNN283" s="414"/>
      <c r="GNQ283" s="445"/>
      <c r="GNR283" s="414"/>
      <c r="GNU283" s="445"/>
      <c r="GNV283" s="414"/>
      <c r="GNY283" s="445"/>
      <c r="GNZ283" s="414"/>
      <c r="GOC283" s="445"/>
      <c r="GOD283" s="414"/>
      <c r="GOG283" s="445"/>
      <c r="GOH283" s="414"/>
      <c r="GOK283" s="445"/>
      <c r="GOL283" s="414"/>
      <c r="GOO283" s="445"/>
      <c r="GOP283" s="414"/>
      <c r="GOS283" s="445"/>
      <c r="GOT283" s="414"/>
      <c r="GOW283" s="445"/>
      <c r="GOX283" s="414"/>
      <c r="GPA283" s="445"/>
      <c r="GPB283" s="414"/>
      <c r="GPE283" s="445"/>
      <c r="GPF283" s="414"/>
      <c r="GPI283" s="445"/>
      <c r="GPJ283" s="414"/>
      <c r="GPM283" s="445"/>
      <c r="GPN283" s="414"/>
      <c r="GPQ283" s="445"/>
      <c r="GPR283" s="414"/>
      <c r="GPU283" s="445"/>
      <c r="GPV283" s="414"/>
      <c r="GPY283" s="445"/>
      <c r="GPZ283" s="414"/>
      <c r="GQC283" s="445"/>
      <c r="GQD283" s="414"/>
      <c r="GQG283" s="445"/>
      <c r="GQH283" s="414"/>
      <c r="GQK283" s="445"/>
      <c r="GQL283" s="414"/>
      <c r="GQO283" s="445"/>
      <c r="GQP283" s="414"/>
      <c r="GQS283" s="445"/>
      <c r="GQT283" s="414"/>
      <c r="GQW283" s="445"/>
      <c r="GQX283" s="414"/>
      <c r="GRA283" s="445"/>
      <c r="GRB283" s="414"/>
      <c r="GRE283" s="445"/>
      <c r="GRF283" s="414"/>
      <c r="GRI283" s="445"/>
      <c r="GRJ283" s="414"/>
      <c r="GRM283" s="445"/>
      <c r="GRN283" s="414"/>
      <c r="GRQ283" s="445"/>
      <c r="GRR283" s="414"/>
      <c r="GRU283" s="445"/>
      <c r="GRV283" s="414"/>
      <c r="GRY283" s="445"/>
      <c r="GRZ283" s="414"/>
      <c r="GSC283" s="445"/>
      <c r="GSD283" s="414"/>
      <c r="GSG283" s="445"/>
      <c r="GSH283" s="414"/>
      <c r="GSK283" s="445"/>
      <c r="GSL283" s="414"/>
      <c r="GSO283" s="445"/>
      <c r="GSP283" s="414"/>
      <c r="GSS283" s="445"/>
      <c r="GST283" s="414"/>
      <c r="GSW283" s="445"/>
      <c r="GSX283" s="414"/>
      <c r="GTA283" s="445"/>
      <c r="GTB283" s="414"/>
      <c r="GTE283" s="445"/>
      <c r="GTF283" s="414"/>
      <c r="GTI283" s="445"/>
      <c r="GTJ283" s="414"/>
      <c r="GTM283" s="445"/>
      <c r="GTN283" s="414"/>
      <c r="GTQ283" s="445"/>
      <c r="GTR283" s="414"/>
      <c r="GTU283" s="445"/>
      <c r="GTV283" s="414"/>
      <c r="GTY283" s="445"/>
      <c r="GTZ283" s="414"/>
      <c r="GUC283" s="445"/>
      <c r="GUD283" s="414"/>
      <c r="GUG283" s="445"/>
      <c r="GUH283" s="414"/>
      <c r="GUK283" s="445"/>
      <c r="GUL283" s="414"/>
      <c r="GUO283" s="445"/>
      <c r="GUP283" s="414"/>
      <c r="GUS283" s="445"/>
      <c r="GUT283" s="414"/>
      <c r="GUW283" s="445"/>
      <c r="GUX283" s="414"/>
      <c r="GVA283" s="445"/>
      <c r="GVB283" s="414"/>
      <c r="GVE283" s="445"/>
      <c r="GVF283" s="414"/>
      <c r="GVI283" s="445"/>
      <c r="GVJ283" s="414"/>
      <c r="GVM283" s="445"/>
      <c r="GVN283" s="414"/>
      <c r="GVQ283" s="445"/>
      <c r="GVR283" s="414"/>
      <c r="GVU283" s="445"/>
      <c r="GVV283" s="414"/>
      <c r="GVY283" s="445"/>
      <c r="GVZ283" s="414"/>
      <c r="GWC283" s="445"/>
      <c r="GWD283" s="414"/>
      <c r="GWG283" s="445"/>
      <c r="GWH283" s="414"/>
      <c r="GWK283" s="445"/>
      <c r="GWL283" s="414"/>
      <c r="GWO283" s="445"/>
      <c r="GWP283" s="414"/>
      <c r="GWS283" s="445"/>
      <c r="GWT283" s="414"/>
      <c r="GWW283" s="445"/>
      <c r="GWX283" s="414"/>
      <c r="GXA283" s="445"/>
      <c r="GXB283" s="414"/>
      <c r="GXE283" s="445"/>
      <c r="GXF283" s="414"/>
      <c r="GXI283" s="445"/>
      <c r="GXJ283" s="414"/>
      <c r="GXM283" s="445"/>
      <c r="GXN283" s="414"/>
      <c r="GXQ283" s="445"/>
      <c r="GXR283" s="414"/>
      <c r="GXU283" s="445"/>
      <c r="GXV283" s="414"/>
      <c r="GXY283" s="445"/>
      <c r="GXZ283" s="414"/>
      <c r="GYC283" s="445"/>
      <c r="GYD283" s="414"/>
      <c r="GYG283" s="445"/>
      <c r="GYH283" s="414"/>
      <c r="GYK283" s="445"/>
      <c r="GYL283" s="414"/>
      <c r="GYO283" s="445"/>
      <c r="GYP283" s="414"/>
      <c r="GYS283" s="445"/>
      <c r="GYT283" s="414"/>
      <c r="GYW283" s="445"/>
      <c r="GYX283" s="414"/>
      <c r="GZA283" s="445"/>
      <c r="GZB283" s="414"/>
      <c r="GZE283" s="445"/>
      <c r="GZF283" s="414"/>
      <c r="GZI283" s="445"/>
      <c r="GZJ283" s="414"/>
      <c r="GZM283" s="445"/>
      <c r="GZN283" s="414"/>
      <c r="GZQ283" s="445"/>
      <c r="GZR283" s="414"/>
      <c r="GZU283" s="445"/>
      <c r="GZV283" s="414"/>
      <c r="GZY283" s="445"/>
      <c r="GZZ283" s="414"/>
      <c r="HAC283" s="445"/>
      <c r="HAD283" s="414"/>
      <c r="HAG283" s="445"/>
      <c r="HAH283" s="414"/>
      <c r="HAK283" s="445"/>
      <c r="HAL283" s="414"/>
      <c r="HAO283" s="445"/>
      <c r="HAP283" s="414"/>
      <c r="HAS283" s="445"/>
      <c r="HAT283" s="414"/>
      <c r="HAW283" s="445"/>
      <c r="HAX283" s="414"/>
      <c r="HBA283" s="445"/>
      <c r="HBB283" s="414"/>
      <c r="HBE283" s="445"/>
      <c r="HBF283" s="414"/>
      <c r="HBI283" s="445"/>
      <c r="HBJ283" s="414"/>
      <c r="HBM283" s="445"/>
      <c r="HBN283" s="414"/>
      <c r="HBQ283" s="445"/>
      <c r="HBR283" s="414"/>
      <c r="HBU283" s="445"/>
      <c r="HBV283" s="414"/>
      <c r="HBY283" s="445"/>
      <c r="HBZ283" s="414"/>
      <c r="HCC283" s="445"/>
      <c r="HCD283" s="414"/>
      <c r="HCG283" s="445"/>
      <c r="HCH283" s="414"/>
      <c r="HCK283" s="445"/>
      <c r="HCL283" s="414"/>
      <c r="HCO283" s="445"/>
      <c r="HCP283" s="414"/>
      <c r="HCS283" s="445"/>
      <c r="HCT283" s="414"/>
      <c r="HCW283" s="445"/>
      <c r="HCX283" s="414"/>
      <c r="HDA283" s="445"/>
      <c r="HDB283" s="414"/>
      <c r="HDE283" s="445"/>
      <c r="HDF283" s="414"/>
      <c r="HDI283" s="445"/>
      <c r="HDJ283" s="414"/>
      <c r="HDM283" s="445"/>
      <c r="HDN283" s="414"/>
      <c r="HDQ283" s="445"/>
      <c r="HDR283" s="414"/>
      <c r="HDU283" s="445"/>
      <c r="HDV283" s="414"/>
      <c r="HDY283" s="445"/>
      <c r="HDZ283" s="414"/>
      <c r="HEC283" s="445"/>
      <c r="HED283" s="414"/>
      <c r="HEG283" s="445"/>
      <c r="HEH283" s="414"/>
      <c r="HEK283" s="445"/>
      <c r="HEL283" s="414"/>
      <c r="HEO283" s="445"/>
      <c r="HEP283" s="414"/>
      <c r="HES283" s="445"/>
      <c r="HET283" s="414"/>
      <c r="HEW283" s="445"/>
      <c r="HEX283" s="414"/>
      <c r="HFA283" s="445"/>
      <c r="HFB283" s="414"/>
      <c r="HFE283" s="445"/>
      <c r="HFF283" s="414"/>
      <c r="HFI283" s="445"/>
      <c r="HFJ283" s="414"/>
      <c r="HFM283" s="445"/>
      <c r="HFN283" s="414"/>
      <c r="HFQ283" s="445"/>
      <c r="HFR283" s="414"/>
      <c r="HFU283" s="445"/>
      <c r="HFV283" s="414"/>
      <c r="HFY283" s="445"/>
      <c r="HFZ283" s="414"/>
      <c r="HGC283" s="445"/>
      <c r="HGD283" s="414"/>
      <c r="HGG283" s="445"/>
      <c r="HGH283" s="414"/>
      <c r="HGK283" s="445"/>
      <c r="HGL283" s="414"/>
      <c r="HGO283" s="445"/>
      <c r="HGP283" s="414"/>
      <c r="HGS283" s="445"/>
      <c r="HGT283" s="414"/>
      <c r="HGW283" s="445"/>
      <c r="HGX283" s="414"/>
      <c r="HHA283" s="445"/>
      <c r="HHB283" s="414"/>
      <c r="HHE283" s="445"/>
      <c r="HHF283" s="414"/>
      <c r="HHI283" s="445"/>
      <c r="HHJ283" s="414"/>
      <c r="HHM283" s="445"/>
      <c r="HHN283" s="414"/>
      <c r="HHQ283" s="445"/>
      <c r="HHR283" s="414"/>
      <c r="HHU283" s="445"/>
      <c r="HHV283" s="414"/>
      <c r="HHY283" s="445"/>
      <c r="HHZ283" s="414"/>
      <c r="HIC283" s="445"/>
      <c r="HID283" s="414"/>
      <c r="HIG283" s="445"/>
      <c r="HIH283" s="414"/>
      <c r="HIK283" s="445"/>
      <c r="HIL283" s="414"/>
      <c r="HIO283" s="445"/>
      <c r="HIP283" s="414"/>
      <c r="HIS283" s="445"/>
      <c r="HIT283" s="414"/>
      <c r="HIW283" s="445"/>
      <c r="HIX283" s="414"/>
      <c r="HJA283" s="445"/>
      <c r="HJB283" s="414"/>
      <c r="HJE283" s="445"/>
      <c r="HJF283" s="414"/>
      <c r="HJI283" s="445"/>
      <c r="HJJ283" s="414"/>
      <c r="HJM283" s="445"/>
      <c r="HJN283" s="414"/>
      <c r="HJQ283" s="445"/>
      <c r="HJR283" s="414"/>
      <c r="HJU283" s="445"/>
      <c r="HJV283" s="414"/>
      <c r="HJY283" s="445"/>
      <c r="HJZ283" s="414"/>
      <c r="HKC283" s="445"/>
      <c r="HKD283" s="414"/>
      <c r="HKG283" s="445"/>
      <c r="HKH283" s="414"/>
      <c r="HKK283" s="445"/>
      <c r="HKL283" s="414"/>
      <c r="HKO283" s="445"/>
      <c r="HKP283" s="414"/>
      <c r="HKS283" s="445"/>
      <c r="HKT283" s="414"/>
      <c r="HKW283" s="445"/>
      <c r="HKX283" s="414"/>
      <c r="HLA283" s="445"/>
      <c r="HLB283" s="414"/>
      <c r="HLE283" s="445"/>
      <c r="HLF283" s="414"/>
      <c r="HLI283" s="445"/>
      <c r="HLJ283" s="414"/>
      <c r="HLM283" s="445"/>
      <c r="HLN283" s="414"/>
      <c r="HLQ283" s="445"/>
      <c r="HLR283" s="414"/>
      <c r="HLU283" s="445"/>
      <c r="HLV283" s="414"/>
      <c r="HLY283" s="445"/>
      <c r="HLZ283" s="414"/>
      <c r="HMC283" s="445"/>
      <c r="HMD283" s="414"/>
      <c r="HMG283" s="445"/>
      <c r="HMH283" s="414"/>
      <c r="HMK283" s="445"/>
      <c r="HML283" s="414"/>
      <c r="HMO283" s="445"/>
      <c r="HMP283" s="414"/>
      <c r="HMS283" s="445"/>
      <c r="HMT283" s="414"/>
      <c r="HMW283" s="445"/>
      <c r="HMX283" s="414"/>
      <c r="HNA283" s="445"/>
      <c r="HNB283" s="414"/>
      <c r="HNE283" s="445"/>
      <c r="HNF283" s="414"/>
      <c r="HNI283" s="445"/>
      <c r="HNJ283" s="414"/>
      <c r="HNM283" s="445"/>
      <c r="HNN283" s="414"/>
      <c r="HNQ283" s="445"/>
      <c r="HNR283" s="414"/>
      <c r="HNU283" s="445"/>
      <c r="HNV283" s="414"/>
      <c r="HNY283" s="445"/>
      <c r="HNZ283" s="414"/>
      <c r="HOC283" s="445"/>
      <c r="HOD283" s="414"/>
      <c r="HOG283" s="445"/>
      <c r="HOH283" s="414"/>
      <c r="HOK283" s="445"/>
      <c r="HOL283" s="414"/>
      <c r="HOO283" s="445"/>
      <c r="HOP283" s="414"/>
      <c r="HOS283" s="445"/>
      <c r="HOT283" s="414"/>
      <c r="HOW283" s="445"/>
      <c r="HOX283" s="414"/>
      <c r="HPA283" s="445"/>
      <c r="HPB283" s="414"/>
      <c r="HPE283" s="445"/>
      <c r="HPF283" s="414"/>
      <c r="HPI283" s="445"/>
      <c r="HPJ283" s="414"/>
      <c r="HPM283" s="445"/>
      <c r="HPN283" s="414"/>
      <c r="HPQ283" s="445"/>
      <c r="HPR283" s="414"/>
      <c r="HPU283" s="445"/>
      <c r="HPV283" s="414"/>
      <c r="HPY283" s="445"/>
      <c r="HPZ283" s="414"/>
      <c r="HQC283" s="445"/>
      <c r="HQD283" s="414"/>
      <c r="HQG283" s="445"/>
      <c r="HQH283" s="414"/>
      <c r="HQK283" s="445"/>
      <c r="HQL283" s="414"/>
      <c r="HQO283" s="445"/>
      <c r="HQP283" s="414"/>
      <c r="HQS283" s="445"/>
      <c r="HQT283" s="414"/>
      <c r="HQW283" s="445"/>
      <c r="HQX283" s="414"/>
      <c r="HRA283" s="445"/>
      <c r="HRB283" s="414"/>
      <c r="HRE283" s="445"/>
      <c r="HRF283" s="414"/>
      <c r="HRI283" s="445"/>
      <c r="HRJ283" s="414"/>
      <c r="HRM283" s="445"/>
      <c r="HRN283" s="414"/>
      <c r="HRQ283" s="445"/>
      <c r="HRR283" s="414"/>
      <c r="HRU283" s="445"/>
      <c r="HRV283" s="414"/>
      <c r="HRY283" s="445"/>
      <c r="HRZ283" s="414"/>
      <c r="HSC283" s="445"/>
      <c r="HSD283" s="414"/>
      <c r="HSG283" s="445"/>
      <c r="HSH283" s="414"/>
      <c r="HSK283" s="445"/>
      <c r="HSL283" s="414"/>
      <c r="HSO283" s="445"/>
      <c r="HSP283" s="414"/>
      <c r="HSS283" s="445"/>
      <c r="HST283" s="414"/>
      <c r="HSW283" s="445"/>
      <c r="HSX283" s="414"/>
      <c r="HTA283" s="445"/>
      <c r="HTB283" s="414"/>
      <c r="HTE283" s="445"/>
      <c r="HTF283" s="414"/>
      <c r="HTI283" s="445"/>
      <c r="HTJ283" s="414"/>
      <c r="HTM283" s="445"/>
      <c r="HTN283" s="414"/>
      <c r="HTQ283" s="445"/>
      <c r="HTR283" s="414"/>
      <c r="HTU283" s="445"/>
      <c r="HTV283" s="414"/>
      <c r="HTY283" s="445"/>
      <c r="HTZ283" s="414"/>
      <c r="HUC283" s="445"/>
      <c r="HUD283" s="414"/>
      <c r="HUG283" s="445"/>
      <c r="HUH283" s="414"/>
      <c r="HUK283" s="445"/>
      <c r="HUL283" s="414"/>
      <c r="HUO283" s="445"/>
      <c r="HUP283" s="414"/>
      <c r="HUS283" s="445"/>
      <c r="HUT283" s="414"/>
      <c r="HUW283" s="445"/>
      <c r="HUX283" s="414"/>
      <c r="HVA283" s="445"/>
      <c r="HVB283" s="414"/>
      <c r="HVE283" s="445"/>
      <c r="HVF283" s="414"/>
      <c r="HVI283" s="445"/>
      <c r="HVJ283" s="414"/>
      <c r="HVM283" s="445"/>
      <c r="HVN283" s="414"/>
      <c r="HVQ283" s="445"/>
      <c r="HVR283" s="414"/>
      <c r="HVU283" s="445"/>
      <c r="HVV283" s="414"/>
      <c r="HVY283" s="445"/>
      <c r="HVZ283" s="414"/>
      <c r="HWC283" s="445"/>
      <c r="HWD283" s="414"/>
      <c r="HWG283" s="445"/>
      <c r="HWH283" s="414"/>
      <c r="HWK283" s="445"/>
      <c r="HWL283" s="414"/>
      <c r="HWO283" s="445"/>
      <c r="HWP283" s="414"/>
      <c r="HWS283" s="445"/>
      <c r="HWT283" s="414"/>
      <c r="HWW283" s="445"/>
      <c r="HWX283" s="414"/>
      <c r="HXA283" s="445"/>
      <c r="HXB283" s="414"/>
      <c r="HXE283" s="445"/>
      <c r="HXF283" s="414"/>
      <c r="HXI283" s="445"/>
      <c r="HXJ283" s="414"/>
      <c r="HXM283" s="445"/>
      <c r="HXN283" s="414"/>
      <c r="HXQ283" s="445"/>
      <c r="HXR283" s="414"/>
      <c r="HXU283" s="445"/>
      <c r="HXV283" s="414"/>
      <c r="HXY283" s="445"/>
      <c r="HXZ283" s="414"/>
      <c r="HYC283" s="445"/>
      <c r="HYD283" s="414"/>
      <c r="HYG283" s="445"/>
      <c r="HYH283" s="414"/>
      <c r="HYK283" s="445"/>
      <c r="HYL283" s="414"/>
      <c r="HYO283" s="445"/>
      <c r="HYP283" s="414"/>
      <c r="HYS283" s="445"/>
      <c r="HYT283" s="414"/>
      <c r="HYW283" s="445"/>
      <c r="HYX283" s="414"/>
      <c r="HZA283" s="445"/>
      <c r="HZB283" s="414"/>
      <c r="HZE283" s="445"/>
      <c r="HZF283" s="414"/>
      <c r="HZI283" s="445"/>
      <c r="HZJ283" s="414"/>
      <c r="HZM283" s="445"/>
      <c r="HZN283" s="414"/>
      <c r="HZQ283" s="445"/>
      <c r="HZR283" s="414"/>
      <c r="HZU283" s="445"/>
      <c r="HZV283" s="414"/>
      <c r="HZY283" s="445"/>
      <c r="HZZ283" s="414"/>
      <c r="IAC283" s="445"/>
      <c r="IAD283" s="414"/>
      <c r="IAG283" s="445"/>
      <c r="IAH283" s="414"/>
      <c r="IAK283" s="445"/>
      <c r="IAL283" s="414"/>
      <c r="IAO283" s="445"/>
      <c r="IAP283" s="414"/>
      <c r="IAS283" s="445"/>
      <c r="IAT283" s="414"/>
      <c r="IAW283" s="445"/>
      <c r="IAX283" s="414"/>
      <c r="IBA283" s="445"/>
      <c r="IBB283" s="414"/>
      <c r="IBE283" s="445"/>
      <c r="IBF283" s="414"/>
      <c r="IBI283" s="445"/>
      <c r="IBJ283" s="414"/>
      <c r="IBM283" s="445"/>
      <c r="IBN283" s="414"/>
      <c r="IBQ283" s="445"/>
      <c r="IBR283" s="414"/>
      <c r="IBU283" s="445"/>
      <c r="IBV283" s="414"/>
      <c r="IBY283" s="445"/>
      <c r="IBZ283" s="414"/>
      <c r="ICC283" s="445"/>
      <c r="ICD283" s="414"/>
      <c r="ICG283" s="445"/>
      <c r="ICH283" s="414"/>
      <c r="ICK283" s="445"/>
      <c r="ICL283" s="414"/>
      <c r="ICO283" s="445"/>
      <c r="ICP283" s="414"/>
      <c r="ICS283" s="445"/>
      <c r="ICT283" s="414"/>
      <c r="ICW283" s="445"/>
      <c r="ICX283" s="414"/>
      <c r="IDA283" s="445"/>
      <c r="IDB283" s="414"/>
      <c r="IDE283" s="445"/>
      <c r="IDF283" s="414"/>
      <c r="IDI283" s="445"/>
      <c r="IDJ283" s="414"/>
      <c r="IDM283" s="445"/>
      <c r="IDN283" s="414"/>
      <c r="IDQ283" s="445"/>
      <c r="IDR283" s="414"/>
      <c r="IDU283" s="445"/>
      <c r="IDV283" s="414"/>
      <c r="IDY283" s="445"/>
      <c r="IDZ283" s="414"/>
      <c r="IEC283" s="445"/>
      <c r="IED283" s="414"/>
      <c r="IEG283" s="445"/>
      <c r="IEH283" s="414"/>
      <c r="IEK283" s="445"/>
      <c r="IEL283" s="414"/>
      <c r="IEO283" s="445"/>
      <c r="IEP283" s="414"/>
      <c r="IES283" s="445"/>
      <c r="IET283" s="414"/>
      <c r="IEW283" s="445"/>
      <c r="IEX283" s="414"/>
      <c r="IFA283" s="445"/>
      <c r="IFB283" s="414"/>
      <c r="IFE283" s="445"/>
      <c r="IFF283" s="414"/>
      <c r="IFI283" s="445"/>
      <c r="IFJ283" s="414"/>
      <c r="IFM283" s="445"/>
      <c r="IFN283" s="414"/>
      <c r="IFQ283" s="445"/>
      <c r="IFR283" s="414"/>
      <c r="IFU283" s="445"/>
      <c r="IFV283" s="414"/>
      <c r="IFY283" s="445"/>
      <c r="IFZ283" s="414"/>
      <c r="IGC283" s="445"/>
      <c r="IGD283" s="414"/>
      <c r="IGG283" s="445"/>
      <c r="IGH283" s="414"/>
      <c r="IGK283" s="445"/>
      <c r="IGL283" s="414"/>
      <c r="IGO283" s="445"/>
      <c r="IGP283" s="414"/>
      <c r="IGS283" s="445"/>
      <c r="IGT283" s="414"/>
      <c r="IGW283" s="445"/>
      <c r="IGX283" s="414"/>
      <c r="IHA283" s="445"/>
      <c r="IHB283" s="414"/>
      <c r="IHE283" s="445"/>
      <c r="IHF283" s="414"/>
      <c r="IHI283" s="445"/>
      <c r="IHJ283" s="414"/>
      <c r="IHM283" s="445"/>
      <c r="IHN283" s="414"/>
      <c r="IHQ283" s="445"/>
      <c r="IHR283" s="414"/>
      <c r="IHU283" s="445"/>
      <c r="IHV283" s="414"/>
      <c r="IHY283" s="445"/>
      <c r="IHZ283" s="414"/>
      <c r="IIC283" s="445"/>
      <c r="IID283" s="414"/>
      <c r="IIG283" s="445"/>
      <c r="IIH283" s="414"/>
      <c r="IIK283" s="445"/>
      <c r="IIL283" s="414"/>
      <c r="IIO283" s="445"/>
      <c r="IIP283" s="414"/>
      <c r="IIS283" s="445"/>
      <c r="IIT283" s="414"/>
      <c r="IIW283" s="445"/>
      <c r="IIX283" s="414"/>
      <c r="IJA283" s="445"/>
      <c r="IJB283" s="414"/>
      <c r="IJE283" s="445"/>
      <c r="IJF283" s="414"/>
      <c r="IJI283" s="445"/>
      <c r="IJJ283" s="414"/>
      <c r="IJM283" s="445"/>
      <c r="IJN283" s="414"/>
      <c r="IJQ283" s="445"/>
      <c r="IJR283" s="414"/>
      <c r="IJU283" s="445"/>
      <c r="IJV283" s="414"/>
      <c r="IJY283" s="445"/>
      <c r="IJZ283" s="414"/>
      <c r="IKC283" s="445"/>
      <c r="IKD283" s="414"/>
      <c r="IKG283" s="445"/>
      <c r="IKH283" s="414"/>
      <c r="IKK283" s="445"/>
      <c r="IKL283" s="414"/>
      <c r="IKO283" s="445"/>
      <c r="IKP283" s="414"/>
      <c r="IKS283" s="445"/>
      <c r="IKT283" s="414"/>
      <c r="IKW283" s="445"/>
      <c r="IKX283" s="414"/>
      <c r="ILA283" s="445"/>
      <c r="ILB283" s="414"/>
      <c r="ILE283" s="445"/>
      <c r="ILF283" s="414"/>
      <c r="ILI283" s="445"/>
      <c r="ILJ283" s="414"/>
      <c r="ILM283" s="445"/>
      <c r="ILN283" s="414"/>
      <c r="ILQ283" s="445"/>
      <c r="ILR283" s="414"/>
      <c r="ILU283" s="445"/>
      <c r="ILV283" s="414"/>
      <c r="ILY283" s="445"/>
      <c r="ILZ283" s="414"/>
      <c r="IMC283" s="445"/>
      <c r="IMD283" s="414"/>
      <c r="IMG283" s="445"/>
      <c r="IMH283" s="414"/>
      <c r="IMK283" s="445"/>
      <c r="IML283" s="414"/>
      <c r="IMO283" s="445"/>
      <c r="IMP283" s="414"/>
      <c r="IMS283" s="445"/>
      <c r="IMT283" s="414"/>
      <c r="IMW283" s="445"/>
      <c r="IMX283" s="414"/>
      <c r="INA283" s="445"/>
      <c r="INB283" s="414"/>
      <c r="INE283" s="445"/>
      <c r="INF283" s="414"/>
      <c r="INI283" s="445"/>
      <c r="INJ283" s="414"/>
      <c r="INM283" s="445"/>
      <c r="INN283" s="414"/>
      <c r="INQ283" s="445"/>
      <c r="INR283" s="414"/>
      <c r="INU283" s="445"/>
      <c r="INV283" s="414"/>
      <c r="INY283" s="445"/>
      <c r="INZ283" s="414"/>
      <c r="IOC283" s="445"/>
      <c r="IOD283" s="414"/>
      <c r="IOG283" s="445"/>
      <c r="IOH283" s="414"/>
      <c r="IOK283" s="445"/>
      <c r="IOL283" s="414"/>
      <c r="IOO283" s="445"/>
      <c r="IOP283" s="414"/>
      <c r="IOS283" s="445"/>
      <c r="IOT283" s="414"/>
      <c r="IOW283" s="445"/>
      <c r="IOX283" s="414"/>
      <c r="IPA283" s="445"/>
      <c r="IPB283" s="414"/>
      <c r="IPE283" s="445"/>
      <c r="IPF283" s="414"/>
      <c r="IPI283" s="445"/>
      <c r="IPJ283" s="414"/>
      <c r="IPM283" s="445"/>
      <c r="IPN283" s="414"/>
      <c r="IPQ283" s="445"/>
      <c r="IPR283" s="414"/>
      <c r="IPU283" s="445"/>
      <c r="IPV283" s="414"/>
      <c r="IPY283" s="445"/>
      <c r="IPZ283" s="414"/>
      <c r="IQC283" s="445"/>
      <c r="IQD283" s="414"/>
      <c r="IQG283" s="445"/>
      <c r="IQH283" s="414"/>
      <c r="IQK283" s="445"/>
      <c r="IQL283" s="414"/>
      <c r="IQO283" s="445"/>
      <c r="IQP283" s="414"/>
      <c r="IQS283" s="445"/>
      <c r="IQT283" s="414"/>
      <c r="IQW283" s="445"/>
      <c r="IQX283" s="414"/>
      <c r="IRA283" s="445"/>
      <c r="IRB283" s="414"/>
      <c r="IRE283" s="445"/>
      <c r="IRF283" s="414"/>
      <c r="IRI283" s="445"/>
      <c r="IRJ283" s="414"/>
      <c r="IRM283" s="445"/>
      <c r="IRN283" s="414"/>
      <c r="IRQ283" s="445"/>
      <c r="IRR283" s="414"/>
      <c r="IRU283" s="445"/>
      <c r="IRV283" s="414"/>
      <c r="IRY283" s="445"/>
      <c r="IRZ283" s="414"/>
      <c r="ISC283" s="445"/>
      <c r="ISD283" s="414"/>
      <c r="ISG283" s="445"/>
      <c r="ISH283" s="414"/>
      <c r="ISK283" s="445"/>
      <c r="ISL283" s="414"/>
      <c r="ISO283" s="445"/>
      <c r="ISP283" s="414"/>
      <c r="ISS283" s="445"/>
      <c r="IST283" s="414"/>
      <c r="ISW283" s="445"/>
      <c r="ISX283" s="414"/>
      <c r="ITA283" s="445"/>
      <c r="ITB283" s="414"/>
      <c r="ITE283" s="445"/>
      <c r="ITF283" s="414"/>
      <c r="ITI283" s="445"/>
      <c r="ITJ283" s="414"/>
      <c r="ITM283" s="445"/>
      <c r="ITN283" s="414"/>
      <c r="ITQ283" s="445"/>
      <c r="ITR283" s="414"/>
      <c r="ITU283" s="445"/>
      <c r="ITV283" s="414"/>
      <c r="ITY283" s="445"/>
      <c r="ITZ283" s="414"/>
      <c r="IUC283" s="445"/>
      <c r="IUD283" s="414"/>
      <c r="IUG283" s="445"/>
      <c r="IUH283" s="414"/>
      <c r="IUK283" s="445"/>
      <c r="IUL283" s="414"/>
      <c r="IUO283" s="445"/>
      <c r="IUP283" s="414"/>
      <c r="IUS283" s="445"/>
      <c r="IUT283" s="414"/>
      <c r="IUW283" s="445"/>
      <c r="IUX283" s="414"/>
      <c r="IVA283" s="445"/>
      <c r="IVB283" s="414"/>
      <c r="IVE283" s="445"/>
      <c r="IVF283" s="414"/>
      <c r="IVI283" s="445"/>
      <c r="IVJ283" s="414"/>
      <c r="IVM283" s="445"/>
      <c r="IVN283" s="414"/>
      <c r="IVQ283" s="445"/>
      <c r="IVR283" s="414"/>
      <c r="IVU283" s="445"/>
      <c r="IVV283" s="414"/>
      <c r="IVY283" s="445"/>
      <c r="IVZ283" s="414"/>
      <c r="IWC283" s="445"/>
      <c r="IWD283" s="414"/>
      <c r="IWG283" s="445"/>
      <c r="IWH283" s="414"/>
      <c r="IWK283" s="445"/>
      <c r="IWL283" s="414"/>
      <c r="IWO283" s="445"/>
      <c r="IWP283" s="414"/>
      <c r="IWS283" s="445"/>
      <c r="IWT283" s="414"/>
      <c r="IWW283" s="445"/>
      <c r="IWX283" s="414"/>
      <c r="IXA283" s="445"/>
      <c r="IXB283" s="414"/>
      <c r="IXE283" s="445"/>
      <c r="IXF283" s="414"/>
      <c r="IXI283" s="445"/>
      <c r="IXJ283" s="414"/>
      <c r="IXM283" s="445"/>
      <c r="IXN283" s="414"/>
      <c r="IXQ283" s="445"/>
      <c r="IXR283" s="414"/>
      <c r="IXU283" s="445"/>
      <c r="IXV283" s="414"/>
      <c r="IXY283" s="445"/>
      <c r="IXZ283" s="414"/>
      <c r="IYC283" s="445"/>
      <c r="IYD283" s="414"/>
      <c r="IYG283" s="445"/>
      <c r="IYH283" s="414"/>
      <c r="IYK283" s="445"/>
      <c r="IYL283" s="414"/>
      <c r="IYO283" s="445"/>
      <c r="IYP283" s="414"/>
      <c r="IYS283" s="445"/>
      <c r="IYT283" s="414"/>
      <c r="IYW283" s="445"/>
      <c r="IYX283" s="414"/>
      <c r="IZA283" s="445"/>
      <c r="IZB283" s="414"/>
      <c r="IZE283" s="445"/>
      <c r="IZF283" s="414"/>
      <c r="IZI283" s="445"/>
      <c r="IZJ283" s="414"/>
      <c r="IZM283" s="445"/>
      <c r="IZN283" s="414"/>
      <c r="IZQ283" s="445"/>
      <c r="IZR283" s="414"/>
      <c r="IZU283" s="445"/>
      <c r="IZV283" s="414"/>
      <c r="IZY283" s="445"/>
      <c r="IZZ283" s="414"/>
      <c r="JAC283" s="445"/>
      <c r="JAD283" s="414"/>
      <c r="JAG283" s="445"/>
      <c r="JAH283" s="414"/>
      <c r="JAK283" s="445"/>
      <c r="JAL283" s="414"/>
      <c r="JAO283" s="445"/>
      <c r="JAP283" s="414"/>
      <c r="JAS283" s="445"/>
      <c r="JAT283" s="414"/>
      <c r="JAW283" s="445"/>
      <c r="JAX283" s="414"/>
      <c r="JBA283" s="445"/>
      <c r="JBB283" s="414"/>
      <c r="JBE283" s="445"/>
      <c r="JBF283" s="414"/>
      <c r="JBI283" s="445"/>
      <c r="JBJ283" s="414"/>
      <c r="JBM283" s="445"/>
      <c r="JBN283" s="414"/>
      <c r="JBQ283" s="445"/>
      <c r="JBR283" s="414"/>
      <c r="JBU283" s="445"/>
      <c r="JBV283" s="414"/>
      <c r="JBY283" s="445"/>
      <c r="JBZ283" s="414"/>
      <c r="JCC283" s="445"/>
      <c r="JCD283" s="414"/>
      <c r="JCG283" s="445"/>
      <c r="JCH283" s="414"/>
      <c r="JCK283" s="445"/>
      <c r="JCL283" s="414"/>
      <c r="JCO283" s="445"/>
      <c r="JCP283" s="414"/>
      <c r="JCS283" s="445"/>
      <c r="JCT283" s="414"/>
      <c r="JCW283" s="445"/>
      <c r="JCX283" s="414"/>
      <c r="JDA283" s="445"/>
      <c r="JDB283" s="414"/>
      <c r="JDE283" s="445"/>
      <c r="JDF283" s="414"/>
      <c r="JDI283" s="445"/>
      <c r="JDJ283" s="414"/>
      <c r="JDM283" s="445"/>
      <c r="JDN283" s="414"/>
      <c r="JDQ283" s="445"/>
      <c r="JDR283" s="414"/>
      <c r="JDU283" s="445"/>
      <c r="JDV283" s="414"/>
      <c r="JDY283" s="445"/>
      <c r="JDZ283" s="414"/>
      <c r="JEC283" s="445"/>
      <c r="JED283" s="414"/>
      <c r="JEG283" s="445"/>
      <c r="JEH283" s="414"/>
      <c r="JEK283" s="445"/>
      <c r="JEL283" s="414"/>
      <c r="JEO283" s="445"/>
      <c r="JEP283" s="414"/>
      <c r="JES283" s="445"/>
      <c r="JET283" s="414"/>
      <c r="JEW283" s="445"/>
      <c r="JEX283" s="414"/>
      <c r="JFA283" s="445"/>
      <c r="JFB283" s="414"/>
      <c r="JFE283" s="445"/>
      <c r="JFF283" s="414"/>
      <c r="JFI283" s="445"/>
      <c r="JFJ283" s="414"/>
      <c r="JFM283" s="445"/>
      <c r="JFN283" s="414"/>
      <c r="JFQ283" s="445"/>
      <c r="JFR283" s="414"/>
      <c r="JFU283" s="445"/>
      <c r="JFV283" s="414"/>
      <c r="JFY283" s="445"/>
      <c r="JFZ283" s="414"/>
      <c r="JGC283" s="445"/>
      <c r="JGD283" s="414"/>
      <c r="JGG283" s="445"/>
      <c r="JGH283" s="414"/>
      <c r="JGK283" s="445"/>
      <c r="JGL283" s="414"/>
      <c r="JGO283" s="445"/>
      <c r="JGP283" s="414"/>
      <c r="JGS283" s="445"/>
      <c r="JGT283" s="414"/>
      <c r="JGW283" s="445"/>
      <c r="JGX283" s="414"/>
      <c r="JHA283" s="445"/>
      <c r="JHB283" s="414"/>
      <c r="JHE283" s="445"/>
      <c r="JHF283" s="414"/>
      <c r="JHI283" s="445"/>
      <c r="JHJ283" s="414"/>
      <c r="JHM283" s="445"/>
      <c r="JHN283" s="414"/>
      <c r="JHQ283" s="445"/>
      <c r="JHR283" s="414"/>
      <c r="JHU283" s="445"/>
      <c r="JHV283" s="414"/>
      <c r="JHY283" s="445"/>
      <c r="JHZ283" s="414"/>
      <c r="JIC283" s="445"/>
      <c r="JID283" s="414"/>
      <c r="JIG283" s="445"/>
      <c r="JIH283" s="414"/>
      <c r="JIK283" s="445"/>
      <c r="JIL283" s="414"/>
      <c r="JIO283" s="445"/>
      <c r="JIP283" s="414"/>
      <c r="JIS283" s="445"/>
      <c r="JIT283" s="414"/>
      <c r="JIW283" s="445"/>
      <c r="JIX283" s="414"/>
      <c r="JJA283" s="445"/>
      <c r="JJB283" s="414"/>
      <c r="JJE283" s="445"/>
      <c r="JJF283" s="414"/>
      <c r="JJI283" s="445"/>
      <c r="JJJ283" s="414"/>
      <c r="JJM283" s="445"/>
      <c r="JJN283" s="414"/>
      <c r="JJQ283" s="445"/>
      <c r="JJR283" s="414"/>
      <c r="JJU283" s="445"/>
      <c r="JJV283" s="414"/>
      <c r="JJY283" s="445"/>
      <c r="JJZ283" s="414"/>
      <c r="JKC283" s="445"/>
      <c r="JKD283" s="414"/>
      <c r="JKG283" s="445"/>
      <c r="JKH283" s="414"/>
      <c r="JKK283" s="445"/>
      <c r="JKL283" s="414"/>
      <c r="JKO283" s="445"/>
      <c r="JKP283" s="414"/>
      <c r="JKS283" s="445"/>
      <c r="JKT283" s="414"/>
      <c r="JKW283" s="445"/>
      <c r="JKX283" s="414"/>
      <c r="JLA283" s="445"/>
      <c r="JLB283" s="414"/>
      <c r="JLE283" s="445"/>
      <c r="JLF283" s="414"/>
      <c r="JLI283" s="445"/>
      <c r="JLJ283" s="414"/>
      <c r="JLM283" s="445"/>
      <c r="JLN283" s="414"/>
      <c r="JLQ283" s="445"/>
      <c r="JLR283" s="414"/>
      <c r="JLU283" s="445"/>
      <c r="JLV283" s="414"/>
      <c r="JLY283" s="445"/>
      <c r="JLZ283" s="414"/>
      <c r="JMC283" s="445"/>
      <c r="JMD283" s="414"/>
      <c r="JMG283" s="445"/>
      <c r="JMH283" s="414"/>
      <c r="JMK283" s="445"/>
      <c r="JML283" s="414"/>
      <c r="JMO283" s="445"/>
      <c r="JMP283" s="414"/>
      <c r="JMS283" s="445"/>
      <c r="JMT283" s="414"/>
      <c r="JMW283" s="445"/>
      <c r="JMX283" s="414"/>
      <c r="JNA283" s="445"/>
      <c r="JNB283" s="414"/>
      <c r="JNE283" s="445"/>
      <c r="JNF283" s="414"/>
      <c r="JNI283" s="445"/>
      <c r="JNJ283" s="414"/>
      <c r="JNM283" s="445"/>
      <c r="JNN283" s="414"/>
      <c r="JNQ283" s="445"/>
      <c r="JNR283" s="414"/>
      <c r="JNU283" s="445"/>
      <c r="JNV283" s="414"/>
      <c r="JNY283" s="445"/>
      <c r="JNZ283" s="414"/>
      <c r="JOC283" s="445"/>
      <c r="JOD283" s="414"/>
      <c r="JOG283" s="445"/>
      <c r="JOH283" s="414"/>
      <c r="JOK283" s="445"/>
      <c r="JOL283" s="414"/>
      <c r="JOO283" s="445"/>
      <c r="JOP283" s="414"/>
      <c r="JOS283" s="445"/>
      <c r="JOT283" s="414"/>
      <c r="JOW283" s="445"/>
      <c r="JOX283" s="414"/>
      <c r="JPA283" s="445"/>
      <c r="JPB283" s="414"/>
      <c r="JPE283" s="445"/>
      <c r="JPF283" s="414"/>
      <c r="JPI283" s="445"/>
      <c r="JPJ283" s="414"/>
      <c r="JPM283" s="445"/>
      <c r="JPN283" s="414"/>
      <c r="JPQ283" s="445"/>
      <c r="JPR283" s="414"/>
      <c r="JPU283" s="445"/>
      <c r="JPV283" s="414"/>
      <c r="JPY283" s="445"/>
      <c r="JPZ283" s="414"/>
      <c r="JQC283" s="445"/>
      <c r="JQD283" s="414"/>
      <c r="JQG283" s="445"/>
      <c r="JQH283" s="414"/>
      <c r="JQK283" s="445"/>
      <c r="JQL283" s="414"/>
      <c r="JQO283" s="445"/>
      <c r="JQP283" s="414"/>
      <c r="JQS283" s="445"/>
      <c r="JQT283" s="414"/>
      <c r="JQW283" s="445"/>
      <c r="JQX283" s="414"/>
      <c r="JRA283" s="445"/>
      <c r="JRB283" s="414"/>
      <c r="JRE283" s="445"/>
      <c r="JRF283" s="414"/>
      <c r="JRI283" s="445"/>
      <c r="JRJ283" s="414"/>
      <c r="JRM283" s="445"/>
      <c r="JRN283" s="414"/>
      <c r="JRQ283" s="445"/>
      <c r="JRR283" s="414"/>
      <c r="JRU283" s="445"/>
      <c r="JRV283" s="414"/>
      <c r="JRY283" s="445"/>
      <c r="JRZ283" s="414"/>
      <c r="JSC283" s="445"/>
      <c r="JSD283" s="414"/>
      <c r="JSG283" s="445"/>
      <c r="JSH283" s="414"/>
      <c r="JSK283" s="445"/>
      <c r="JSL283" s="414"/>
      <c r="JSO283" s="445"/>
      <c r="JSP283" s="414"/>
      <c r="JSS283" s="445"/>
      <c r="JST283" s="414"/>
      <c r="JSW283" s="445"/>
      <c r="JSX283" s="414"/>
      <c r="JTA283" s="445"/>
      <c r="JTB283" s="414"/>
      <c r="JTE283" s="445"/>
      <c r="JTF283" s="414"/>
      <c r="JTI283" s="445"/>
      <c r="JTJ283" s="414"/>
      <c r="JTM283" s="445"/>
      <c r="JTN283" s="414"/>
      <c r="JTQ283" s="445"/>
      <c r="JTR283" s="414"/>
      <c r="JTU283" s="445"/>
      <c r="JTV283" s="414"/>
      <c r="JTY283" s="445"/>
      <c r="JTZ283" s="414"/>
      <c r="JUC283" s="445"/>
      <c r="JUD283" s="414"/>
      <c r="JUG283" s="445"/>
      <c r="JUH283" s="414"/>
      <c r="JUK283" s="445"/>
      <c r="JUL283" s="414"/>
      <c r="JUO283" s="445"/>
      <c r="JUP283" s="414"/>
      <c r="JUS283" s="445"/>
      <c r="JUT283" s="414"/>
      <c r="JUW283" s="445"/>
      <c r="JUX283" s="414"/>
      <c r="JVA283" s="445"/>
      <c r="JVB283" s="414"/>
      <c r="JVE283" s="445"/>
      <c r="JVF283" s="414"/>
      <c r="JVI283" s="445"/>
      <c r="JVJ283" s="414"/>
      <c r="JVM283" s="445"/>
      <c r="JVN283" s="414"/>
      <c r="JVQ283" s="445"/>
      <c r="JVR283" s="414"/>
      <c r="JVU283" s="445"/>
      <c r="JVV283" s="414"/>
      <c r="JVY283" s="445"/>
      <c r="JVZ283" s="414"/>
      <c r="JWC283" s="445"/>
      <c r="JWD283" s="414"/>
      <c r="JWG283" s="445"/>
      <c r="JWH283" s="414"/>
      <c r="JWK283" s="445"/>
      <c r="JWL283" s="414"/>
      <c r="JWO283" s="445"/>
      <c r="JWP283" s="414"/>
      <c r="JWS283" s="445"/>
      <c r="JWT283" s="414"/>
      <c r="JWW283" s="445"/>
      <c r="JWX283" s="414"/>
      <c r="JXA283" s="445"/>
      <c r="JXB283" s="414"/>
      <c r="JXE283" s="445"/>
      <c r="JXF283" s="414"/>
      <c r="JXI283" s="445"/>
      <c r="JXJ283" s="414"/>
      <c r="JXM283" s="445"/>
      <c r="JXN283" s="414"/>
      <c r="JXQ283" s="445"/>
      <c r="JXR283" s="414"/>
      <c r="JXU283" s="445"/>
      <c r="JXV283" s="414"/>
      <c r="JXY283" s="445"/>
      <c r="JXZ283" s="414"/>
      <c r="JYC283" s="445"/>
      <c r="JYD283" s="414"/>
      <c r="JYG283" s="445"/>
      <c r="JYH283" s="414"/>
      <c r="JYK283" s="445"/>
      <c r="JYL283" s="414"/>
      <c r="JYO283" s="445"/>
      <c r="JYP283" s="414"/>
      <c r="JYS283" s="445"/>
      <c r="JYT283" s="414"/>
      <c r="JYW283" s="445"/>
      <c r="JYX283" s="414"/>
      <c r="JZA283" s="445"/>
      <c r="JZB283" s="414"/>
      <c r="JZE283" s="445"/>
      <c r="JZF283" s="414"/>
      <c r="JZI283" s="445"/>
      <c r="JZJ283" s="414"/>
      <c r="JZM283" s="445"/>
      <c r="JZN283" s="414"/>
      <c r="JZQ283" s="445"/>
      <c r="JZR283" s="414"/>
      <c r="JZU283" s="445"/>
      <c r="JZV283" s="414"/>
      <c r="JZY283" s="445"/>
      <c r="JZZ283" s="414"/>
      <c r="KAC283" s="445"/>
      <c r="KAD283" s="414"/>
      <c r="KAG283" s="445"/>
      <c r="KAH283" s="414"/>
      <c r="KAK283" s="445"/>
      <c r="KAL283" s="414"/>
      <c r="KAO283" s="445"/>
      <c r="KAP283" s="414"/>
      <c r="KAS283" s="445"/>
      <c r="KAT283" s="414"/>
      <c r="KAW283" s="445"/>
      <c r="KAX283" s="414"/>
      <c r="KBA283" s="445"/>
      <c r="KBB283" s="414"/>
      <c r="KBE283" s="445"/>
      <c r="KBF283" s="414"/>
      <c r="KBI283" s="445"/>
      <c r="KBJ283" s="414"/>
      <c r="KBM283" s="445"/>
      <c r="KBN283" s="414"/>
      <c r="KBQ283" s="445"/>
      <c r="KBR283" s="414"/>
      <c r="KBU283" s="445"/>
      <c r="KBV283" s="414"/>
      <c r="KBY283" s="445"/>
      <c r="KBZ283" s="414"/>
      <c r="KCC283" s="445"/>
      <c r="KCD283" s="414"/>
      <c r="KCG283" s="445"/>
      <c r="KCH283" s="414"/>
      <c r="KCK283" s="445"/>
      <c r="KCL283" s="414"/>
      <c r="KCO283" s="445"/>
      <c r="KCP283" s="414"/>
      <c r="KCS283" s="445"/>
      <c r="KCT283" s="414"/>
      <c r="KCW283" s="445"/>
      <c r="KCX283" s="414"/>
      <c r="KDA283" s="445"/>
      <c r="KDB283" s="414"/>
      <c r="KDE283" s="445"/>
      <c r="KDF283" s="414"/>
      <c r="KDI283" s="445"/>
      <c r="KDJ283" s="414"/>
      <c r="KDM283" s="445"/>
      <c r="KDN283" s="414"/>
      <c r="KDQ283" s="445"/>
      <c r="KDR283" s="414"/>
      <c r="KDU283" s="445"/>
      <c r="KDV283" s="414"/>
      <c r="KDY283" s="445"/>
      <c r="KDZ283" s="414"/>
      <c r="KEC283" s="445"/>
      <c r="KED283" s="414"/>
      <c r="KEG283" s="445"/>
      <c r="KEH283" s="414"/>
      <c r="KEK283" s="445"/>
      <c r="KEL283" s="414"/>
      <c r="KEO283" s="445"/>
      <c r="KEP283" s="414"/>
      <c r="KES283" s="445"/>
      <c r="KET283" s="414"/>
      <c r="KEW283" s="445"/>
      <c r="KEX283" s="414"/>
      <c r="KFA283" s="445"/>
      <c r="KFB283" s="414"/>
      <c r="KFE283" s="445"/>
      <c r="KFF283" s="414"/>
      <c r="KFI283" s="445"/>
      <c r="KFJ283" s="414"/>
      <c r="KFM283" s="445"/>
      <c r="KFN283" s="414"/>
      <c r="KFQ283" s="445"/>
      <c r="KFR283" s="414"/>
      <c r="KFU283" s="445"/>
      <c r="KFV283" s="414"/>
      <c r="KFY283" s="445"/>
      <c r="KFZ283" s="414"/>
      <c r="KGC283" s="445"/>
      <c r="KGD283" s="414"/>
      <c r="KGG283" s="445"/>
      <c r="KGH283" s="414"/>
      <c r="KGK283" s="445"/>
      <c r="KGL283" s="414"/>
      <c r="KGO283" s="445"/>
      <c r="KGP283" s="414"/>
      <c r="KGS283" s="445"/>
      <c r="KGT283" s="414"/>
      <c r="KGW283" s="445"/>
      <c r="KGX283" s="414"/>
      <c r="KHA283" s="445"/>
      <c r="KHB283" s="414"/>
      <c r="KHE283" s="445"/>
      <c r="KHF283" s="414"/>
      <c r="KHI283" s="445"/>
      <c r="KHJ283" s="414"/>
      <c r="KHM283" s="445"/>
      <c r="KHN283" s="414"/>
      <c r="KHQ283" s="445"/>
      <c r="KHR283" s="414"/>
      <c r="KHU283" s="445"/>
      <c r="KHV283" s="414"/>
      <c r="KHY283" s="445"/>
      <c r="KHZ283" s="414"/>
      <c r="KIC283" s="445"/>
      <c r="KID283" s="414"/>
      <c r="KIG283" s="445"/>
      <c r="KIH283" s="414"/>
      <c r="KIK283" s="445"/>
      <c r="KIL283" s="414"/>
      <c r="KIO283" s="445"/>
      <c r="KIP283" s="414"/>
      <c r="KIS283" s="445"/>
      <c r="KIT283" s="414"/>
      <c r="KIW283" s="445"/>
      <c r="KIX283" s="414"/>
      <c r="KJA283" s="445"/>
      <c r="KJB283" s="414"/>
      <c r="KJE283" s="445"/>
      <c r="KJF283" s="414"/>
      <c r="KJI283" s="445"/>
      <c r="KJJ283" s="414"/>
      <c r="KJM283" s="445"/>
      <c r="KJN283" s="414"/>
      <c r="KJQ283" s="445"/>
      <c r="KJR283" s="414"/>
      <c r="KJU283" s="445"/>
      <c r="KJV283" s="414"/>
      <c r="KJY283" s="445"/>
      <c r="KJZ283" s="414"/>
      <c r="KKC283" s="445"/>
      <c r="KKD283" s="414"/>
      <c r="KKG283" s="445"/>
      <c r="KKH283" s="414"/>
      <c r="KKK283" s="445"/>
      <c r="KKL283" s="414"/>
      <c r="KKO283" s="445"/>
      <c r="KKP283" s="414"/>
      <c r="KKS283" s="445"/>
      <c r="KKT283" s="414"/>
      <c r="KKW283" s="445"/>
      <c r="KKX283" s="414"/>
      <c r="KLA283" s="445"/>
      <c r="KLB283" s="414"/>
      <c r="KLE283" s="445"/>
      <c r="KLF283" s="414"/>
      <c r="KLI283" s="445"/>
      <c r="KLJ283" s="414"/>
      <c r="KLM283" s="445"/>
      <c r="KLN283" s="414"/>
      <c r="KLQ283" s="445"/>
      <c r="KLR283" s="414"/>
      <c r="KLU283" s="445"/>
      <c r="KLV283" s="414"/>
      <c r="KLY283" s="445"/>
      <c r="KLZ283" s="414"/>
      <c r="KMC283" s="445"/>
      <c r="KMD283" s="414"/>
      <c r="KMG283" s="445"/>
      <c r="KMH283" s="414"/>
      <c r="KMK283" s="445"/>
      <c r="KML283" s="414"/>
      <c r="KMO283" s="445"/>
      <c r="KMP283" s="414"/>
      <c r="KMS283" s="445"/>
      <c r="KMT283" s="414"/>
      <c r="KMW283" s="445"/>
      <c r="KMX283" s="414"/>
      <c r="KNA283" s="445"/>
      <c r="KNB283" s="414"/>
      <c r="KNE283" s="445"/>
      <c r="KNF283" s="414"/>
      <c r="KNI283" s="445"/>
      <c r="KNJ283" s="414"/>
      <c r="KNM283" s="445"/>
      <c r="KNN283" s="414"/>
      <c r="KNQ283" s="445"/>
      <c r="KNR283" s="414"/>
      <c r="KNU283" s="445"/>
      <c r="KNV283" s="414"/>
      <c r="KNY283" s="445"/>
      <c r="KNZ283" s="414"/>
      <c r="KOC283" s="445"/>
      <c r="KOD283" s="414"/>
      <c r="KOG283" s="445"/>
      <c r="KOH283" s="414"/>
      <c r="KOK283" s="445"/>
      <c r="KOL283" s="414"/>
      <c r="KOO283" s="445"/>
      <c r="KOP283" s="414"/>
      <c r="KOS283" s="445"/>
      <c r="KOT283" s="414"/>
      <c r="KOW283" s="445"/>
      <c r="KOX283" s="414"/>
      <c r="KPA283" s="445"/>
      <c r="KPB283" s="414"/>
      <c r="KPE283" s="445"/>
      <c r="KPF283" s="414"/>
      <c r="KPI283" s="445"/>
      <c r="KPJ283" s="414"/>
      <c r="KPM283" s="445"/>
      <c r="KPN283" s="414"/>
      <c r="KPQ283" s="445"/>
      <c r="KPR283" s="414"/>
      <c r="KPU283" s="445"/>
      <c r="KPV283" s="414"/>
      <c r="KPY283" s="445"/>
      <c r="KPZ283" s="414"/>
      <c r="KQC283" s="445"/>
      <c r="KQD283" s="414"/>
      <c r="KQG283" s="445"/>
      <c r="KQH283" s="414"/>
      <c r="KQK283" s="445"/>
      <c r="KQL283" s="414"/>
      <c r="KQO283" s="445"/>
      <c r="KQP283" s="414"/>
      <c r="KQS283" s="445"/>
      <c r="KQT283" s="414"/>
      <c r="KQW283" s="445"/>
      <c r="KQX283" s="414"/>
      <c r="KRA283" s="445"/>
      <c r="KRB283" s="414"/>
      <c r="KRE283" s="445"/>
      <c r="KRF283" s="414"/>
      <c r="KRI283" s="445"/>
      <c r="KRJ283" s="414"/>
      <c r="KRM283" s="445"/>
      <c r="KRN283" s="414"/>
      <c r="KRQ283" s="445"/>
      <c r="KRR283" s="414"/>
      <c r="KRU283" s="445"/>
      <c r="KRV283" s="414"/>
      <c r="KRY283" s="445"/>
      <c r="KRZ283" s="414"/>
      <c r="KSC283" s="445"/>
      <c r="KSD283" s="414"/>
      <c r="KSG283" s="445"/>
      <c r="KSH283" s="414"/>
      <c r="KSK283" s="445"/>
      <c r="KSL283" s="414"/>
      <c r="KSO283" s="445"/>
      <c r="KSP283" s="414"/>
      <c r="KSS283" s="445"/>
      <c r="KST283" s="414"/>
      <c r="KSW283" s="445"/>
      <c r="KSX283" s="414"/>
      <c r="KTA283" s="445"/>
      <c r="KTB283" s="414"/>
      <c r="KTE283" s="445"/>
      <c r="KTF283" s="414"/>
      <c r="KTI283" s="445"/>
      <c r="KTJ283" s="414"/>
      <c r="KTM283" s="445"/>
      <c r="KTN283" s="414"/>
      <c r="KTQ283" s="445"/>
      <c r="KTR283" s="414"/>
      <c r="KTU283" s="445"/>
      <c r="KTV283" s="414"/>
      <c r="KTY283" s="445"/>
      <c r="KTZ283" s="414"/>
      <c r="KUC283" s="445"/>
      <c r="KUD283" s="414"/>
      <c r="KUG283" s="445"/>
      <c r="KUH283" s="414"/>
      <c r="KUK283" s="445"/>
      <c r="KUL283" s="414"/>
      <c r="KUO283" s="445"/>
      <c r="KUP283" s="414"/>
      <c r="KUS283" s="445"/>
      <c r="KUT283" s="414"/>
      <c r="KUW283" s="445"/>
      <c r="KUX283" s="414"/>
      <c r="KVA283" s="445"/>
      <c r="KVB283" s="414"/>
      <c r="KVE283" s="445"/>
      <c r="KVF283" s="414"/>
      <c r="KVI283" s="445"/>
      <c r="KVJ283" s="414"/>
      <c r="KVM283" s="445"/>
      <c r="KVN283" s="414"/>
      <c r="KVQ283" s="445"/>
      <c r="KVR283" s="414"/>
      <c r="KVU283" s="445"/>
      <c r="KVV283" s="414"/>
      <c r="KVY283" s="445"/>
      <c r="KVZ283" s="414"/>
      <c r="KWC283" s="445"/>
      <c r="KWD283" s="414"/>
      <c r="KWG283" s="445"/>
      <c r="KWH283" s="414"/>
      <c r="KWK283" s="445"/>
      <c r="KWL283" s="414"/>
      <c r="KWO283" s="445"/>
      <c r="KWP283" s="414"/>
      <c r="KWS283" s="445"/>
      <c r="KWT283" s="414"/>
      <c r="KWW283" s="445"/>
      <c r="KWX283" s="414"/>
      <c r="KXA283" s="445"/>
      <c r="KXB283" s="414"/>
      <c r="KXE283" s="445"/>
      <c r="KXF283" s="414"/>
      <c r="KXI283" s="445"/>
      <c r="KXJ283" s="414"/>
      <c r="KXM283" s="445"/>
      <c r="KXN283" s="414"/>
      <c r="KXQ283" s="445"/>
      <c r="KXR283" s="414"/>
      <c r="KXU283" s="445"/>
      <c r="KXV283" s="414"/>
      <c r="KXY283" s="445"/>
      <c r="KXZ283" s="414"/>
      <c r="KYC283" s="445"/>
      <c r="KYD283" s="414"/>
      <c r="KYG283" s="445"/>
      <c r="KYH283" s="414"/>
      <c r="KYK283" s="445"/>
      <c r="KYL283" s="414"/>
      <c r="KYO283" s="445"/>
      <c r="KYP283" s="414"/>
      <c r="KYS283" s="445"/>
      <c r="KYT283" s="414"/>
      <c r="KYW283" s="445"/>
      <c r="KYX283" s="414"/>
      <c r="KZA283" s="445"/>
      <c r="KZB283" s="414"/>
      <c r="KZE283" s="445"/>
      <c r="KZF283" s="414"/>
      <c r="KZI283" s="445"/>
      <c r="KZJ283" s="414"/>
      <c r="KZM283" s="445"/>
      <c r="KZN283" s="414"/>
      <c r="KZQ283" s="445"/>
      <c r="KZR283" s="414"/>
      <c r="KZU283" s="445"/>
      <c r="KZV283" s="414"/>
      <c r="KZY283" s="445"/>
      <c r="KZZ283" s="414"/>
      <c r="LAC283" s="445"/>
      <c r="LAD283" s="414"/>
      <c r="LAG283" s="445"/>
      <c r="LAH283" s="414"/>
      <c r="LAK283" s="445"/>
      <c r="LAL283" s="414"/>
      <c r="LAO283" s="445"/>
      <c r="LAP283" s="414"/>
      <c r="LAS283" s="445"/>
      <c r="LAT283" s="414"/>
      <c r="LAW283" s="445"/>
      <c r="LAX283" s="414"/>
      <c r="LBA283" s="445"/>
      <c r="LBB283" s="414"/>
      <c r="LBE283" s="445"/>
      <c r="LBF283" s="414"/>
      <c r="LBI283" s="445"/>
      <c r="LBJ283" s="414"/>
      <c r="LBM283" s="445"/>
      <c r="LBN283" s="414"/>
      <c r="LBQ283" s="445"/>
      <c r="LBR283" s="414"/>
      <c r="LBU283" s="445"/>
      <c r="LBV283" s="414"/>
      <c r="LBY283" s="445"/>
      <c r="LBZ283" s="414"/>
      <c r="LCC283" s="445"/>
      <c r="LCD283" s="414"/>
      <c r="LCG283" s="445"/>
      <c r="LCH283" s="414"/>
      <c r="LCK283" s="445"/>
      <c r="LCL283" s="414"/>
      <c r="LCO283" s="445"/>
      <c r="LCP283" s="414"/>
      <c r="LCS283" s="445"/>
      <c r="LCT283" s="414"/>
      <c r="LCW283" s="445"/>
      <c r="LCX283" s="414"/>
      <c r="LDA283" s="445"/>
      <c r="LDB283" s="414"/>
      <c r="LDE283" s="445"/>
      <c r="LDF283" s="414"/>
      <c r="LDI283" s="445"/>
      <c r="LDJ283" s="414"/>
      <c r="LDM283" s="445"/>
      <c r="LDN283" s="414"/>
      <c r="LDQ283" s="445"/>
      <c r="LDR283" s="414"/>
      <c r="LDU283" s="445"/>
      <c r="LDV283" s="414"/>
      <c r="LDY283" s="445"/>
      <c r="LDZ283" s="414"/>
      <c r="LEC283" s="445"/>
      <c r="LED283" s="414"/>
      <c r="LEG283" s="445"/>
      <c r="LEH283" s="414"/>
      <c r="LEK283" s="445"/>
      <c r="LEL283" s="414"/>
      <c r="LEO283" s="445"/>
      <c r="LEP283" s="414"/>
      <c r="LES283" s="445"/>
      <c r="LET283" s="414"/>
      <c r="LEW283" s="445"/>
      <c r="LEX283" s="414"/>
      <c r="LFA283" s="445"/>
      <c r="LFB283" s="414"/>
      <c r="LFE283" s="445"/>
      <c r="LFF283" s="414"/>
      <c r="LFI283" s="445"/>
      <c r="LFJ283" s="414"/>
      <c r="LFM283" s="445"/>
      <c r="LFN283" s="414"/>
      <c r="LFQ283" s="445"/>
      <c r="LFR283" s="414"/>
      <c r="LFU283" s="445"/>
      <c r="LFV283" s="414"/>
      <c r="LFY283" s="445"/>
      <c r="LFZ283" s="414"/>
      <c r="LGC283" s="445"/>
      <c r="LGD283" s="414"/>
      <c r="LGG283" s="445"/>
      <c r="LGH283" s="414"/>
      <c r="LGK283" s="445"/>
      <c r="LGL283" s="414"/>
      <c r="LGO283" s="445"/>
      <c r="LGP283" s="414"/>
      <c r="LGS283" s="445"/>
      <c r="LGT283" s="414"/>
      <c r="LGW283" s="445"/>
      <c r="LGX283" s="414"/>
      <c r="LHA283" s="445"/>
      <c r="LHB283" s="414"/>
      <c r="LHE283" s="445"/>
      <c r="LHF283" s="414"/>
      <c r="LHI283" s="445"/>
      <c r="LHJ283" s="414"/>
      <c r="LHM283" s="445"/>
      <c r="LHN283" s="414"/>
      <c r="LHQ283" s="445"/>
      <c r="LHR283" s="414"/>
      <c r="LHU283" s="445"/>
      <c r="LHV283" s="414"/>
      <c r="LHY283" s="445"/>
      <c r="LHZ283" s="414"/>
      <c r="LIC283" s="445"/>
      <c r="LID283" s="414"/>
      <c r="LIG283" s="445"/>
      <c r="LIH283" s="414"/>
      <c r="LIK283" s="445"/>
      <c r="LIL283" s="414"/>
      <c r="LIO283" s="445"/>
      <c r="LIP283" s="414"/>
      <c r="LIS283" s="445"/>
      <c r="LIT283" s="414"/>
      <c r="LIW283" s="445"/>
      <c r="LIX283" s="414"/>
      <c r="LJA283" s="445"/>
      <c r="LJB283" s="414"/>
      <c r="LJE283" s="445"/>
      <c r="LJF283" s="414"/>
      <c r="LJI283" s="445"/>
      <c r="LJJ283" s="414"/>
      <c r="LJM283" s="445"/>
      <c r="LJN283" s="414"/>
      <c r="LJQ283" s="445"/>
      <c r="LJR283" s="414"/>
      <c r="LJU283" s="445"/>
      <c r="LJV283" s="414"/>
      <c r="LJY283" s="445"/>
      <c r="LJZ283" s="414"/>
      <c r="LKC283" s="445"/>
      <c r="LKD283" s="414"/>
      <c r="LKG283" s="445"/>
      <c r="LKH283" s="414"/>
      <c r="LKK283" s="445"/>
      <c r="LKL283" s="414"/>
      <c r="LKO283" s="445"/>
      <c r="LKP283" s="414"/>
      <c r="LKS283" s="445"/>
      <c r="LKT283" s="414"/>
      <c r="LKW283" s="445"/>
      <c r="LKX283" s="414"/>
      <c r="LLA283" s="445"/>
      <c r="LLB283" s="414"/>
      <c r="LLE283" s="445"/>
      <c r="LLF283" s="414"/>
      <c r="LLI283" s="445"/>
      <c r="LLJ283" s="414"/>
      <c r="LLM283" s="445"/>
      <c r="LLN283" s="414"/>
      <c r="LLQ283" s="445"/>
      <c r="LLR283" s="414"/>
      <c r="LLU283" s="445"/>
      <c r="LLV283" s="414"/>
      <c r="LLY283" s="445"/>
      <c r="LLZ283" s="414"/>
      <c r="LMC283" s="445"/>
      <c r="LMD283" s="414"/>
      <c r="LMG283" s="445"/>
      <c r="LMH283" s="414"/>
      <c r="LMK283" s="445"/>
      <c r="LML283" s="414"/>
      <c r="LMO283" s="445"/>
      <c r="LMP283" s="414"/>
      <c r="LMS283" s="445"/>
      <c r="LMT283" s="414"/>
      <c r="LMW283" s="445"/>
      <c r="LMX283" s="414"/>
      <c r="LNA283" s="445"/>
      <c r="LNB283" s="414"/>
      <c r="LNE283" s="445"/>
      <c r="LNF283" s="414"/>
      <c r="LNI283" s="445"/>
      <c r="LNJ283" s="414"/>
      <c r="LNM283" s="445"/>
      <c r="LNN283" s="414"/>
      <c r="LNQ283" s="445"/>
      <c r="LNR283" s="414"/>
      <c r="LNU283" s="445"/>
      <c r="LNV283" s="414"/>
      <c r="LNY283" s="445"/>
      <c r="LNZ283" s="414"/>
      <c r="LOC283" s="445"/>
      <c r="LOD283" s="414"/>
      <c r="LOG283" s="445"/>
      <c r="LOH283" s="414"/>
      <c r="LOK283" s="445"/>
      <c r="LOL283" s="414"/>
      <c r="LOO283" s="445"/>
      <c r="LOP283" s="414"/>
      <c r="LOS283" s="445"/>
      <c r="LOT283" s="414"/>
      <c r="LOW283" s="445"/>
      <c r="LOX283" s="414"/>
      <c r="LPA283" s="445"/>
      <c r="LPB283" s="414"/>
      <c r="LPE283" s="445"/>
      <c r="LPF283" s="414"/>
      <c r="LPI283" s="445"/>
      <c r="LPJ283" s="414"/>
      <c r="LPM283" s="445"/>
      <c r="LPN283" s="414"/>
      <c r="LPQ283" s="445"/>
      <c r="LPR283" s="414"/>
      <c r="LPU283" s="445"/>
      <c r="LPV283" s="414"/>
      <c r="LPY283" s="445"/>
      <c r="LPZ283" s="414"/>
      <c r="LQC283" s="445"/>
      <c r="LQD283" s="414"/>
      <c r="LQG283" s="445"/>
      <c r="LQH283" s="414"/>
      <c r="LQK283" s="445"/>
      <c r="LQL283" s="414"/>
      <c r="LQO283" s="445"/>
      <c r="LQP283" s="414"/>
      <c r="LQS283" s="445"/>
      <c r="LQT283" s="414"/>
      <c r="LQW283" s="445"/>
      <c r="LQX283" s="414"/>
      <c r="LRA283" s="445"/>
      <c r="LRB283" s="414"/>
      <c r="LRE283" s="445"/>
      <c r="LRF283" s="414"/>
      <c r="LRI283" s="445"/>
      <c r="LRJ283" s="414"/>
      <c r="LRM283" s="445"/>
      <c r="LRN283" s="414"/>
      <c r="LRQ283" s="445"/>
      <c r="LRR283" s="414"/>
      <c r="LRU283" s="445"/>
      <c r="LRV283" s="414"/>
      <c r="LRY283" s="445"/>
      <c r="LRZ283" s="414"/>
      <c r="LSC283" s="445"/>
      <c r="LSD283" s="414"/>
      <c r="LSG283" s="445"/>
      <c r="LSH283" s="414"/>
      <c r="LSK283" s="445"/>
      <c r="LSL283" s="414"/>
      <c r="LSO283" s="445"/>
      <c r="LSP283" s="414"/>
      <c r="LSS283" s="445"/>
      <c r="LST283" s="414"/>
      <c r="LSW283" s="445"/>
      <c r="LSX283" s="414"/>
      <c r="LTA283" s="445"/>
      <c r="LTB283" s="414"/>
      <c r="LTE283" s="445"/>
      <c r="LTF283" s="414"/>
      <c r="LTI283" s="445"/>
      <c r="LTJ283" s="414"/>
      <c r="LTM283" s="445"/>
      <c r="LTN283" s="414"/>
      <c r="LTQ283" s="445"/>
      <c r="LTR283" s="414"/>
      <c r="LTU283" s="445"/>
      <c r="LTV283" s="414"/>
      <c r="LTY283" s="445"/>
      <c r="LTZ283" s="414"/>
      <c r="LUC283" s="445"/>
      <c r="LUD283" s="414"/>
      <c r="LUG283" s="445"/>
      <c r="LUH283" s="414"/>
      <c r="LUK283" s="445"/>
      <c r="LUL283" s="414"/>
      <c r="LUO283" s="445"/>
      <c r="LUP283" s="414"/>
      <c r="LUS283" s="445"/>
      <c r="LUT283" s="414"/>
      <c r="LUW283" s="445"/>
      <c r="LUX283" s="414"/>
      <c r="LVA283" s="445"/>
      <c r="LVB283" s="414"/>
      <c r="LVE283" s="445"/>
      <c r="LVF283" s="414"/>
      <c r="LVI283" s="445"/>
      <c r="LVJ283" s="414"/>
      <c r="LVM283" s="445"/>
      <c r="LVN283" s="414"/>
      <c r="LVQ283" s="445"/>
      <c r="LVR283" s="414"/>
      <c r="LVU283" s="445"/>
      <c r="LVV283" s="414"/>
      <c r="LVY283" s="445"/>
      <c r="LVZ283" s="414"/>
      <c r="LWC283" s="445"/>
      <c r="LWD283" s="414"/>
      <c r="LWG283" s="445"/>
      <c r="LWH283" s="414"/>
      <c r="LWK283" s="445"/>
      <c r="LWL283" s="414"/>
      <c r="LWO283" s="445"/>
      <c r="LWP283" s="414"/>
      <c r="LWS283" s="445"/>
      <c r="LWT283" s="414"/>
      <c r="LWW283" s="445"/>
      <c r="LWX283" s="414"/>
      <c r="LXA283" s="445"/>
      <c r="LXB283" s="414"/>
      <c r="LXE283" s="445"/>
      <c r="LXF283" s="414"/>
      <c r="LXI283" s="445"/>
      <c r="LXJ283" s="414"/>
      <c r="LXM283" s="445"/>
      <c r="LXN283" s="414"/>
      <c r="LXQ283" s="445"/>
      <c r="LXR283" s="414"/>
      <c r="LXU283" s="445"/>
      <c r="LXV283" s="414"/>
      <c r="LXY283" s="445"/>
      <c r="LXZ283" s="414"/>
      <c r="LYC283" s="445"/>
      <c r="LYD283" s="414"/>
      <c r="LYG283" s="445"/>
      <c r="LYH283" s="414"/>
      <c r="LYK283" s="445"/>
      <c r="LYL283" s="414"/>
      <c r="LYO283" s="445"/>
      <c r="LYP283" s="414"/>
      <c r="LYS283" s="445"/>
      <c r="LYT283" s="414"/>
      <c r="LYW283" s="445"/>
      <c r="LYX283" s="414"/>
      <c r="LZA283" s="445"/>
      <c r="LZB283" s="414"/>
      <c r="LZE283" s="445"/>
      <c r="LZF283" s="414"/>
      <c r="LZI283" s="445"/>
      <c r="LZJ283" s="414"/>
      <c r="LZM283" s="445"/>
      <c r="LZN283" s="414"/>
      <c r="LZQ283" s="445"/>
      <c r="LZR283" s="414"/>
      <c r="LZU283" s="445"/>
      <c r="LZV283" s="414"/>
      <c r="LZY283" s="445"/>
      <c r="LZZ283" s="414"/>
      <c r="MAC283" s="445"/>
      <c r="MAD283" s="414"/>
      <c r="MAG283" s="445"/>
      <c r="MAH283" s="414"/>
      <c r="MAK283" s="445"/>
      <c r="MAL283" s="414"/>
      <c r="MAO283" s="445"/>
      <c r="MAP283" s="414"/>
      <c r="MAS283" s="445"/>
      <c r="MAT283" s="414"/>
      <c r="MAW283" s="445"/>
      <c r="MAX283" s="414"/>
      <c r="MBA283" s="445"/>
      <c r="MBB283" s="414"/>
      <c r="MBE283" s="445"/>
      <c r="MBF283" s="414"/>
      <c r="MBI283" s="445"/>
      <c r="MBJ283" s="414"/>
      <c r="MBM283" s="445"/>
      <c r="MBN283" s="414"/>
      <c r="MBQ283" s="445"/>
      <c r="MBR283" s="414"/>
      <c r="MBU283" s="445"/>
      <c r="MBV283" s="414"/>
      <c r="MBY283" s="445"/>
      <c r="MBZ283" s="414"/>
      <c r="MCC283" s="445"/>
      <c r="MCD283" s="414"/>
      <c r="MCG283" s="445"/>
      <c r="MCH283" s="414"/>
      <c r="MCK283" s="445"/>
      <c r="MCL283" s="414"/>
      <c r="MCO283" s="445"/>
      <c r="MCP283" s="414"/>
      <c r="MCS283" s="445"/>
      <c r="MCT283" s="414"/>
      <c r="MCW283" s="445"/>
      <c r="MCX283" s="414"/>
      <c r="MDA283" s="445"/>
      <c r="MDB283" s="414"/>
      <c r="MDE283" s="445"/>
      <c r="MDF283" s="414"/>
      <c r="MDI283" s="445"/>
      <c r="MDJ283" s="414"/>
      <c r="MDM283" s="445"/>
      <c r="MDN283" s="414"/>
      <c r="MDQ283" s="445"/>
      <c r="MDR283" s="414"/>
      <c r="MDU283" s="445"/>
      <c r="MDV283" s="414"/>
      <c r="MDY283" s="445"/>
      <c r="MDZ283" s="414"/>
      <c r="MEC283" s="445"/>
      <c r="MED283" s="414"/>
      <c r="MEG283" s="445"/>
      <c r="MEH283" s="414"/>
      <c r="MEK283" s="445"/>
      <c r="MEL283" s="414"/>
      <c r="MEO283" s="445"/>
      <c r="MEP283" s="414"/>
      <c r="MES283" s="445"/>
      <c r="MET283" s="414"/>
      <c r="MEW283" s="445"/>
      <c r="MEX283" s="414"/>
      <c r="MFA283" s="445"/>
      <c r="MFB283" s="414"/>
      <c r="MFE283" s="445"/>
      <c r="MFF283" s="414"/>
      <c r="MFI283" s="445"/>
      <c r="MFJ283" s="414"/>
      <c r="MFM283" s="445"/>
      <c r="MFN283" s="414"/>
      <c r="MFQ283" s="445"/>
      <c r="MFR283" s="414"/>
      <c r="MFU283" s="445"/>
      <c r="MFV283" s="414"/>
      <c r="MFY283" s="445"/>
      <c r="MFZ283" s="414"/>
      <c r="MGC283" s="445"/>
      <c r="MGD283" s="414"/>
      <c r="MGG283" s="445"/>
      <c r="MGH283" s="414"/>
      <c r="MGK283" s="445"/>
      <c r="MGL283" s="414"/>
      <c r="MGO283" s="445"/>
      <c r="MGP283" s="414"/>
      <c r="MGS283" s="445"/>
      <c r="MGT283" s="414"/>
      <c r="MGW283" s="445"/>
      <c r="MGX283" s="414"/>
      <c r="MHA283" s="445"/>
      <c r="MHB283" s="414"/>
      <c r="MHE283" s="445"/>
      <c r="MHF283" s="414"/>
      <c r="MHI283" s="445"/>
      <c r="MHJ283" s="414"/>
      <c r="MHM283" s="445"/>
      <c r="MHN283" s="414"/>
      <c r="MHQ283" s="445"/>
      <c r="MHR283" s="414"/>
      <c r="MHU283" s="445"/>
      <c r="MHV283" s="414"/>
      <c r="MHY283" s="445"/>
      <c r="MHZ283" s="414"/>
      <c r="MIC283" s="445"/>
      <c r="MID283" s="414"/>
      <c r="MIG283" s="445"/>
      <c r="MIH283" s="414"/>
      <c r="MIK283" s="445"/>
      <c r="MIL283" s="414"/>
      <c r="MIO283" s="445"/>
      <c r="MIP283" s="414"/>
      <c r="MIS283" s="445"/>
      <c r="MIT283" s="414"/>
      <c r="MIW283" s="445"/>
      <c r="MIX283" s="414"/>
      <c r="MJA283" s="445"/>
      <c r="MJB283" s="414"/>
      <c r="MJE283" s="445"/>
      <c r="MJF283" s="414"/>
      <c r="MJI283" s="445"/>
      <c r="MJJ283" s="414"/>
      <c r="MJM283" s="445"/>
      <c r="MJN283" s="414"/>
      <c r="MJQ283" s="445"/>
      <c r="MJR283" s="414"/>
      <c r="MJU283" s="445"/>
      <c r="MJV283" s="414"/>
      <c r="MJY283" s="445"/>
      <c r="MJZ283" s="414"/>
      <c r="MKC283" s="445"/>
      <c r="MKD283" s="414"/>
      <c r="MKG283" s="445"/>
      <c r="MKH283" s="414"/>
      <c r="MKK283" s="445"/>
      <c r="MKL283" s="414"/>
      <c r="MKO283" s="445"/>
      <c r="MKP283" s="414"/>
      <c r="MKS283" s="445"/>
      <c r="MKT283" s="414"/>
      <c r="MKW283" s="445"/>
      <c r="MKX283" s="414"/>
      <c r="MLA283" s="445"/>
      <c r="MLB283" s="414"/>
      <c r="MLE283" s="445"/>
      <c r="MLF283" s="414"/>
      <c r="MLI283" s="445"/>
      <c r="MLJ283" s="414"/>
      <c r="MLM283" s="445"/>
      <c r="MLN283" s="414"/>
      <c r="MLQ283" s="445"/>
      <c r="MLR283" s="414"/>
      <c r="MLU283" s="445"/>
      <c r="MLV283" s="414"/>
      <c r="MLY283" s="445"/>
      <c r="MLZ283" s="414"/>
      <c r="MMC283" s="445"/>
      <c r="MMD283" s="414"/>
      <c r="MMG283" s="445"/>
      <c r="MMH283" s="414"/>
      <c r="MMK283" s="445"/>
      <c r="MML283" s="414"/>
      <c r="MMO283" s="445"/>
      <c r="MMP283" s="414"/>
      <c r="MMS283" s="445"/>
      <c r="MMT283" s="414"/>
      <c r="MMW283" s="445"/>
      <c r="MMX283" s="414"/>
      <c r="MNA283" s="445"/>
      <c r="MNB283" s="414"/>
      <c r="MNE283" s="445"/>
      <c r="MNF283" s="414"/>
      <c r="MNI283" s="445"/>
      <c r="MNJ283" s="414"/>
      <c r="MNM283" s="445"/>
      <c r="MNN283" s="414"/>
      <c r="MNQ283" s="445"/>
      <c r="MNR283" s="414"/>
      <c r="MNU283" s="445"/>
      <c r="MNV283" s="414"/>
      <c r="MNY283" s="445"/>
      <c r="MNZ283" s="414"/>
      <c r="MOC283" s="445"/>
      <c r="MOD283" s="414"/>
      <c r="MOG283" s="445"/>
      <c r="MOH283" s="414"/>
      <c r="MOK283" s="445"/>
      <c r="MOL283" s="414"/>
      <c r="MOO283" s="445"/>
      <c r="MOP283" s="414"/>
      <c r="MOS283" s="445"/>
      <c r="MOT283" s="414"/>
      <c r="MOW283" s="445"/>
      <c r="MOX283" s="414"/>
      <c r="MPA283" s="445"/>
      <c r="MPB283" s="414"/>
      <c r="MPE283" s="445"/>
      <c r="MPF283" s="414"/>
      <c r="MPI283" s="445"/>
      <c r="MPJ283" s="414"/>
      <c r="MPM283" s="445"/>
      <c r="MPN283" s="414"/>
      <c r="MPQ283" s="445"/>
      <c r="MPR283" s="414"/>
      <c r="MPU283" s="445"/>
      <c r="MPV283" s="414"/>
      <c r="MPY283" s="445"/>
      <c r="MPZ283" s="414"/>
      <c r="MQC283" s="445"/>
      <c r="MQD283" s="414"/>
      <c r="MQG283" s="445"/>
      <c r="MQH283" s="414"/>
      <c r="MQK283" s="445"/>
      <c r="MQL283" s="414"/>
      <c r="MQO283" s="445"/>
      <c r="MQP283" s="414"/>
      <c r="MQS283" s="445"/>
      <c r="MQT283" s="414"/>
      <c r="MQW283" s="445"/>
      <c r="MQX283" s="414"/>
      <c r="MRA283" s="445"/>
      <c r="MRB283" s="414"/>
      <c r="MRE283" s="445"/>
      <c r="MRF283" s="414"/>
      <c r="MRI283" s="445"/>
      <c r="MRJ283" s="414"/>
      <c r="MRM283" s="445"/>
      <c r="MRN283" s="414"/>
      <c r="MRQ283" s="445"/>
      <c r="MRR283" s="414"/>
      <c r="MRU283" s="445"/>
      <c r="MRV283" s="414"/>
      <c r="MRY283" s="445"/>
      <c r="MRZ283" s="414"/>
      <c r="MSC283" s="445"/>
      <c r="MSD283" s="414"/>
      <c r="MSG283" s="445"/>
      <c r="MSH283" s="414"/>
      <c r="MSK283" s="445"/>
      <c r="MSL283" s="414"/>
      <c r="MSO283" s="445"/>
      <c r="MSP283" s="414"/>
      <c r="MSS283" s="445"/>
      <c r="MST283" s="414"/>
      <c r="MSW283" s="445"/>
      <c r="MSX283" s="414"/>
      <c r="MTA283" s="445"/>
      <c r="MTB283" s="414"/>
      <c r="MTE283" s="445"/>
      <c r="MTF283" s="414"/>
      <c r="MTI283" s="445"/>
      <c r="MTJ283" s="414"/>
      <c r="MTM283" s="445"/>
      <c r="MTN283" s="414"/>
      <c r="MTQ283" s="445"/>
      <c r="MTR283" s="414"/>
      <c r="MTU283" s="445"/>
      <c r="MTV283" s="414"/>
      <c r="MTY283" s="445"/>
      <c r="MTZ283" s="414"/>
      <c r="MUC283" s="445"/>
      <c r="MUD283" s="414"/>
      <c r="MUG283" s="445"/>
      <c r="MUH283" s="414"/>
      <c r="MUK283" s="445"/>
      <c r="MUL283" s="414"/>
      <c r="MUO283" s="445"/>
      <c r="MUP283" s="414"/>
      <c r="MUS283" s="445"/>
      <c r="MUT283" s="414"/>
      <c r="MUW283" s="445"/>
      <c r="MUX283" s="414"/>
      <c r="MVA283" s="445"/>
      <c r="MVB283" s="414"/>
      <c r="MVE283" s="445"/>
      <c r="MVF283" s="414"/>
      <c r="MVI283" s="445"/>
      <c r="MVJ283" s="414"/>
      <c r="MVM283" s="445"/>
      <c r="MVN283" s="414"/>
      <c r="MVQ283" s="445"/>
      <c r="MVR283" s="414"/>
      <c r="MVU283" s="445"/>
      <c r="MVV283" s="414"/>
      <c r="MVY283" s="445"/>
      <c r="MVZ283" s="414"/>
      <c r="MWC283" s="445"/>
      <c r="MWD283" s="414"/>
      <c r="MWG283" s="445"/>
      <c r="MWH283" s="414"/>
      <c r="MWK283" s="445"/>
      <c r="MWL283" s="414"/>
      <c r="MWO283" s="445"/>
      <c r="MWP283" s="414"/>
      <c r="MWS283" s="445"/>
      <c r="MWT283" s="414"/>
      <c r="MWW283" s="445"/>
      <c r="MWX283" s="414"/>
      <c r="MXA283" s="445"/>
      <c r="MXB283" s="414"/>
      <c r="MXE283" s="445"/>
      <c r="MXF283" s="414"/>
      <c r="MXI283" s="445"/>
      <c r="MXJ283" s="414"/>
      <c r="MXM283" s="445"/>
      <c r="MXN283" s="414"/>
      <c r="MXQ283" s="445"/>
      <c r="MXR283" s="414"/>
      <c r="MXU283" s="445"/>
      <c r="MXV283" s="414"/>
      <c r="MXY283" s="445"/>
      <c r="MXZ283" s="414"/>
      <c r="MYC283" s="445"/>
      <c r="MYD283" s="414"/>
      <c r="MYG283" s="445"/>
      <c r="MYH283" s="414"/>
      <c r="MYK283" s="445"/>
      <c r="MYL283" s="414"/>
      <c r="MYO283" s="445"/>
      <c r="MYP283" s="414"/>
      <c r="MYS283" s="445"/>
      <c r="MYT283" s="414"/>
      <c r="MYW283" s="445"/>
      <c r="MYX283" s="414"/>
      <c r="MZA283" s="445"/>
      <c r="MZB283" s="414"/>
      <c r="MZE283" s="445"/>
      <c r="MZF283" s="414"/>
      <c r="MZI283" s="445"/>
      <c r="MZJ283" s="414"/>
      <c r="MZM283" s="445"/>
      <c r="MZN283" s="414"/>
      <c r="MZQ283" s="445"/>
      <c r="MZR283" s="414"/>
      <c r="MZU283" s="445"/>
      <c r="MZV283" s="414"/>
      <c r="MZY283" s="445"/>
      <c r="MZZ283" s="414"/>
      <c r="NAC283" s="445"/>
      <c r="NAD283" s="414"/>
      <c r="NAG283" s="445"/>
      <c r="NAH283" s="414"/>
      <c r="NAK283" s="445"/>
      <c r="NAL283" s="414"/>
      <c r="NAO283" s="445"/>
      <c r="NAP283" s="414"/>
      <c r="NAS283" s="445"/>
      <c r="NAT283" s="414"/>
      <c r="NAW283" s="445"/>
      <c r="NAX283" s="414"/>
      <c r="NBA283" s="445"/>
      <c r="NBB283" s="414"/>
      <c r="NBE283" s="445"/>
      <c r="NBF283" s="414"/>
      <c r="NBI283" s="445"/>
      <c r="NBJ283" s="414"/>
      <c r="NBM283" s="445"/>
      <c r="NBN283" s="414"/>
      <c r="NBQ283" s="445"/>
      <c r="NBR283" s="414"/>
      <c r="NBU283" s="445"/>
      <c r="NBV283" s="414"/>
      <c r="NBY283" s="445"/>
      <c r="NBZ283" s="414"/>
      <c r="NCC283" s="445"/>
      <c r="NCD283" s="414"/>
      <c r="NCG283" s="445"/>
      <c r="NCH283" s="414"/>
      <c r="NCK283" s="445"/>
      <c r="NCL283" s="414"/>
      <c r="NCO283" s="445"/>
      <c r="NCP283" s="414"/>
      <c r="NCS283" s="445"/>
      <c r="NCT283" s="414"/>
      <c r="NCW283" s="445"/>
      <c r="NCX283" s="414"/>
      <c r="NDA283" s="445"/>
      <c r="NDB283" s="414"/>
      <c r="NDE283" s="445"/>
      <c r="NDF283" s="414"/>
      <c r="NDI283" s="445"/>
      <c r="NDJ283" s="414"/>
      <c r="NDM283" s="445"/>
      <c r="NDN283" s="414"/>
      <c r="NDQ283" s="445"/>
      <c r="NDR283" s="414"/>
      <c r="NDU283" s="445"/>
      <c r="NDV283" s="414"/>
      <c r="NDY283" s="445"/>
      <c r="NDZ283" s="414"/>
      <c r="NEC283" s="445"/>
      <c r="NED283" s="414"/>
      <c r="NEG283" s="445"/>
      <c r="NEH283" s="414"/>
      <c r="NEK283" s="445"/>
      <c r="NEL283" s="414"/>
      <c r="NEO283" s="445"/>
      <c r="NEP283" s="414"/>
      <c r="NES283" s="445"/>
      <c r="NET283" s="414"/>
      <c r="NEW283" s="445"/>
      <c r="NEX283" s="414"/>
      <c r="NFA283" s="445"/>
      <c r="NFB283" s="414"/>
      <c r="NFE283" s="445"/>
      <c r="NFF283" s="414"/>
      <c r="NFI283" s="445"/>
      <c r="NFJ283" s="414"/>
      <c r="NFM283" s="445"/>
      <c r="NFN283" s="414"/>
      <c r="NFQ283" s="445"/>
      <c r="NFR283" s="414"/>
      <c r="NFU283" s="445"/>
      <c r="NFV283" s="414"/>
      <c r="NFY283" s="445"/>
      <c r="NFZ283" s="414"/>
      <c r="NGC283" s="445"/>
      <c r="NGD283" s="414"/>
      <c r="NGG283" s="445"/>
      <c r="NGH283" s="414"/>
      <c r="NGK283" s="445"/>
      <c r="NGL283" s="414"/>
      <c r="NGO283" s="445"/>
      <c r="NGP283" s="414"/>
      <c r="NGS283" s="445"/>
      <c r="NGT283" s="414"/>
      <c r="NGW283" s="445"/>
      <c r="NGX283" s="414"/>
      <c r="NHA283" s="445"/>
      <c r="NHB283" s="414"/>
      <c r="NHE283" s="445"/>
      <c r="NHF283" s="414"/>
      <c r="NHI283" s="445"/>
      <c r="NHJ283" s="414"/>
      <c r="NHM283" s="445"/>
      <c r="NHN283" s="414"/>
      <c r="NHQ283" s="445"/>
      <c r="NHR283" s="414"/>
      <c r="NHU283" s="445"/>
      <c r="NHV283" s="414"/>
      <c r="NHY283" s="445"/>
      <c r="NHZ283" s="414"/>
      <c r="NIC283" s="445"/>
      <c r="NID283" s="414"/>
      <c r="NIG283" s="445"/>
      <c r="NIH283" s="414"/>
      <c r="NIK283" s="445"/>
      <c r="NIL283" s="414"/>
      <c r="NIO283" s="445"/>
      <c r="NIP283" s="414"/>
      <c r="NIS283" s="445"/>
      <c r="NIT283" s="414"/>
      <c r="NIW283" s="445"/>
      <c r="NIX283" s="414"/>
      <c r="NJA283" s="445"/>
      <c r="NJB283" s="414"/>
      <c r="NJE283" s="445"/>
      <c r="NJF283" s="414"/>
      <c r="NJI283" s="445"/>
      <c r="NJJ283" s="414"/>
      <c r="NJM283" s="445"/>
      <c r="NJN283" s="414"/>
      <c r="NJQ283" s="445"/>
      <c r="NJR283" s="414"/>
      <c r="NJU283" s="445"/>
      <c r="NJV283" s="414"/>
      <c r="NJY283" s="445"/>
      <c r="NJZ283" s="414"/>
      <c r="NKC283" s="445"/>
      <c r="NKD283" s="414"/>
      <c r="NKG283" s="445"/>
      <c r="NKH283" s="414"/>
      <c r="NKK283" s="445"/>
      <c r="NKL283" s="414"/>
      <c r="NKO283" s="445"/>
      <c r="NKP283" s="414"/>
      <c r="NKS283" s="445"/>
      <c r="NKT283" s="414"/>
      <c r="NKW283" s="445"/>
      <c r="NKX283" s="414"/>
      <c r="NLA283" s="445"/>
      <c r="NLB283" s="414"/>
      <c r="NLE283" s="445"/>
      <c r="NLF283" s="414"/>
      <c r="NLI283" s="445"/>
      <c r="NLJ283" s="414"/>
      <c r="NLM283" s="445"/>
      <c r="NLN283" s="414"/>
      <c r="NLQ283" s="445"/>
      <c r="NLR283" s="414"/>
      <c r="NLU283" s="445"/>
      <c r="NLV283" s="414"/>
      <c r="NLY283" s="445"/>
      <c r="NLZ283" s="414"/>
      <c r="NMC283" s="445"/>
      <c r="NMD283" s="414"/>
      <c r="NMG283" s="445"/>
      <c r="NMH283" s="414"/>
      <c r="NMK283" s="445"/>
      <c r="NML283" s="414"/>
      <c r="NMO283" s="445"/>
      <c r="NMP283" s="414"/>
      <c r="NMS283" s="445"/>
      <c r="NMT283" s="414"/>
      <c r="NMW283" s="445"/>
      <c r="NMX283" s="414"/>
      <c r="NNA283" s="445"/>
      <c r="NNB283" s="414"/>
      <c r="NNE283" s="445"/>
      <c r="NNF283" s="414"/>
      <c r="NNI283" s="445"/>
      <c r="NNJ283" s="414"/>
      <c r="NNM283" s="445"/>
      <c r="NNN283" s="414"/>
      <c r="NNQ283" s="445"/>
      <c r="NNR283" s="414"/>
      <c r="NNU283" s="445"/>
      <c r="NNV283" s="414"/>
      <c r="NNY283" s="445"/>
      <c r="NNZ283" s="414"/>
      <c r="NOC283" s="445"/>
      <c r="NOD283" s="414"/>
      <c r="NOG283" s="445"/>
      <c r="NOH283" s="414"/>
      <c r="NOK283" s="445"/>
      <c r="NOL283" s="414"/>
      <c r="NOO283" s="445"/>
      <c r="NOP283" s="414"/>
      <c r="NOS283" s="445"/>
      <c r="NOT283" s="414"/>
      <c r="NOW283" s="445"/>
      <c r="NOX283" s="414"/>
      <c r="NPA283" s="445"/>
      <c r="NPB283" s="414"/>
      <c r="NPE283" s="445"/>
      <c r="NPF283" s="414"/>
      <c r="NPI283" s="445"/>
      <c r="NPJ283" s="414"/>
      <c r="NPM283" s="445"/>
      <c r="NPN283" s="414"/>
      <c r="NPQ283" s="445"/>
      <c r="NPR283" s="414"/>
      <c r="NPU283" s="445"/>
      <c r="NPV283" s="414"/>
      <c r="NPY283" s="445"/>
      <c r="NPZ283" s="414"/>
      <c r="NQC283" s="445"/>
      <c r="NQD283" s="414"/>
      <c r="NQG283" s="445"/>
      <c r="NQH283" s="414"/>
      <c r="NQK283" s="445"/>
      <c r="NQL283" s="414"/>
      <c r="NQO283" s="445"/>
      <c r="NQP283" s="414"/>
      <c r="NQS283" s="445"/>
      <c r="NQT283" s="414"/>
      <c r="NQW283" s="445"/>
      <c r="NQX283" s="414"/>
      <c r="NRA283" s="445"/>
      <c r="NRB283" s="414"/>
      <c r="NRE283" s="445"/>
      <c r="NRF283" s="414"/>
      <c r="NRI283" s="445"/>
      <c r="NRJ283" s="414"/>
      <c r="NRM283" s="445"/>
      <c r="NRN283" s="414"/>
      <c r="NRQ283" s="445"/>
      <c r="NRR283" s="414"/>
      <c r="NRU283" s="445"/>
      <c r="NRV283" s="414"/>
      <c r="NRY283" s="445"/>
      <c r="NRZ283" s="414"/>
      <c r="NSC283" s="445"/>
      <c r="NSD283" s="414"/>
      <c r="NSG283" s="445"/>
      <c r="NSH283" s="414"/>
      <c r="NSK283" s="445"/>
      <c r="NSL283" s="414"/>
      <c r="NSO283" s="445"/>
      <c r="NSP283" s="414"/>
      <c r="NSS283" s="445"/>
      <c r="NST283" s="414"/>
      <c r="NSW283" s="445"/>
      <c r="NSX283" s="414"/>
      <c r="NTA283" s="445"/>
      <c r="NTB283" s="414"/>
      <c r="NTE283" s="445"/>
      <c r="NTF283" s="414"/>
      <c r="NTI283" s="445"/>
      <c r="NTJ283" s="414"/>
      <c r="NTM283" s="445"/>
      <c r="NTN283" s="414"/>
      <c r="NTQ283" s="445"/>
      <c r="NTR283" s="414"/>
      <c r="NTU283" s="445"/>
      <c r="NTV283" s="414"/>
      <c r="NTY283" s="445"/>
      <c r="NTZ283" s="414"/>
      <c r="NUC283" s="445"/>
      <c r="NUD283" s="414"/>
      <c r="NUG283" s="445"/>
      <c r="NUH283" s="414"/>
      <c r="NUK283" s="445"/>
      <c r="NUL283" s="414"/>
      <c r="NUO283" s="445"/>
      <c r="NUP283" s="414"/>
      <c r="NUS283" s="445"/>
      <c r="NUT283" s="414"/>
      <c r="NUW283" s="445"/>
      <c r="NUX283" s="414"/>
      <c r="NVA283" s="445"/>
      <c r="NVB283" s="414"/>
      <c r="NVE283" s="445"/>
      <c r="NVF283" s="414"/>
      <c r="NVI283" s="445"/>
      <c r="NVJ283" s="414"/>
      <c r="NVM283" s="445"/>
      <c r="NVN283" s="414"/>
      <c r="NVQ283" s="445"/>
      <c r="NVR283" s="414"/>
      <c r="NVU283" s="445"/>
      <c r="NVV283" s="414"/>
      <c r="NVY283" s="445"/>
      <c r="NVZ283" s="414"/>
      <c r="NWC283" s="445"/>
      <c r="NWD283" s="414"/>
      <c r="NWG283" s="445"/>
      <c r="NWH283" s="414"/>
      <c r="NWK283" s="445"/>
      <c r="NWL283" s="414"/>
      <c r="NWO283" s="445"/>
      <c r="NWP283" s="414"/>
      <c r="NWS283" s="445"/>
      <c r="NWT283" s="414"/>
      <c r="NWW283" s="445"/>
      <c r="NWX283" s="414"/>
      <c r="NXA283" s="445"/>
      <c r="NXB283" s="414"/>
      <c r="NXE283" s="445"/>
      <c r="NXF283" s="414"/>
      <c r="NXI283" s="445"/>
      <c r="NXJ283" s="414"/>
      <c r="NXM283" s="445"/>
      <c r="NXN283" s="414"/>
      <c r="NXQ283" s="445"/>
      <c r="NXR283" s="414"/>
      <c r="NXU283" s="445"/>
      <c r="NXV283" s="414"/>
      <c r="NXY283" s="445"/>
      <c r="NXZ283" s="414"/>
      <c r="NYC283" s="445"/>
      <c r="NYD283" s="414"/>
      <c r="NYG283" s="445"/>
      <c r="NYH283" s="414"/>
      <c r="NYK283" s="445"/>
      <c r="NYL283" s="414"/>
      <c r="NYO283" s="445"/>
      <c r="NYP283" s="414"/>
      <c r="NYS283" s="445"/>
      <c r="NYT283" s="414"/>
      <c r="NYW283" s="445"/>
      <c r="NYX283" s="414"/>
      <c r="NZA283" s="445"/>
      <c r="NZB283" s="414"/>
      <c r="NZE283" s="445"/>
      <c r="NZF283" s="414"/>
      <c r="NZI283" s="445"/>
      <c r="NZJ283" s="414"/>
      <c r="NZM283" s="445"/>
      <c r="NZN283" s="414"/>
      <c r="NZQ283" s="445"/>
      <c r="NZR283" s="414"/>
      <c r="NZU283" s="445"/>
      <c r="NZV283" s="414"/>
      <c r="NZY283" s="445"/>
      <c r="NZZ283" s="414"/>
      <c r="OAC283" s="445"/>
      <c r="OAD283" s="414"/>
      <c r="OAG283" s="445"/>
      <c r="OAH283" s="414"/>
      <c r="OAK283" s="445"/>
      <c r="OAL283" s="414"/>
      <c r="OAO283" s="445"/>
      <c r="OAP283" s="414"/>
      <c r="OAS283" s="445"/>
      <c r="OAT283" s="414"/>
      <c r="OAW283" s="445"/>
      <c r="OAX283" s="414"/>
      <c r="OBA283" s="445"/>
      <c r="OBB283" s="414"/>
      <c r="OBE283" s="445"/>
      <c r="OBF283" s="414"/>
      <c r="OBI283" s="445"/>
      <c r="OBJ283" s="414"/>
      <c r="OBM283" s="445"/>
      <c r="OBN283" s="414"/>
      <c r="OBQ283" s="445"/>
      <c r="OBR283" s="414"/>
      <c r="OBU283" s="445"/>
      <c r="OBV283" s="414"/>
      <c r="OBY283" s="445"/>
      <c r="OBZ283" s="414"/>
      <c r="OCC283" s="445"/>
      <c r="OCD283" s="414"/>
      <c r="OCG283" s="445"/>
      <c r="OCH283" s="414"/>
      <c r="OCK283" s="445"/>
      <c r="OCL283" s="414"/>
      <c r="OCO283" s="445"/>
      <c r="OCP283" s="414"/>
      <c r="OCS283" s="445"/>
      <c r="OCT283" s="414"/>
      <c r="OCW283" s="445"/>
      <c r="OCX283" s="414"/>
      <c r="ODA283" s="445"/>
      <c r="ODB283" s="414"/>
      <c r="ODE283" s="445"/>
      <c r="ODF283" s="414"/>
      <c r="ODI283" s="445"/>
      <c r="ODJ283" s="414"/>
      <c r="ODM283" s="445"/>
      <c r="ODN283" s="414"/>
      <c r="ODQ283" s="445"/>
      <c r="ODR283" s="414"/>
      <c r="ODU283" s="445"/>
      <c r="ODV283" s="414"/>
      <c r="ODY283" s="445"/>
      <c r="ODZ283" s="414"/>
      <c r="OEC283" s="445"/>
      <c r="OED283" s="414"/>
      <c r="OEG283" s="445"/>
      <c r="OEH283" s="414"/>
      <c r="OEK283" s="445"/>
      <c r="OEL283" s="414"/>
      <c r="OEO283" s="445"/>
      <c r="OEP283" s="414"/>
      <c r="OES283" s="445"/>
      <c r="OET283" s="414"/>
      <c r="OEW283" s="445"/>
      <c r="OEX283" s="414"/>
      <c r="OFA283" s="445"/>
      <c r="OFB283" s="414"/>
      <c r="OFE283" s="445"/>
      <c r="OFF283" s="414"/>
      <c r="OFI283" s="445"/>
      <c r="OFJ283" s="414"/>
      <c r="OFM283" s="445"/>
      <c r="OFN283" s="414"/>
      <c r="OFQ283" s="445"/>
      <c r="OFR283" s="414"/>
      <c r="OFU283" s="445"/>
      <c r="OFV283" s="414"/>
      <c r="OFY283" s="445"/>
      <c r="OFZ283" s="414"/>
      <c r="OGC283" s="445"/>
      <c r="OGD283" s="414"/>
      <c r="OGG283" s="445"/>
      <c r="OGH283" s="414"/>
      <c r="OGK283" s="445"/>
      <c r="OGL283" s="414"/>
      <c r="OGO283" s="445"/>
      <c r="OGP283" s="414"/>
      <c r="OGS283" s="445"/>
      <c r="OGT283" s="414"/>
      <c r="OGW283" s="445"/>
      <c r="OGX283" s="414"/>
      <c r="OHA283" s="445"/>
      <c r="OHB283" s="414"/>
      <c r="OHE283" s="445"/>
      <c r="OHF283" s="414"/>
      <c r="OHI283" s="445"/>
      <c r="OHJ283" s="414"/>
      <c r="OHM283" s="445"/>
      <c r="OHN283" s="414"/>
      <c r="OHQ283" s="445"/>
      <c r="OHR283" s="414"/>
      <c r="OHU283" s="445"/>
      <c r="OHV283" s="414"/>
      <c r="OHY283" s="445"/>
      <c r="OHZ283" s="414"/>
      <c r="OIC283" s="445"/>
      <c r="OID283" s="414"/>
      <c r="OIG283" s="445"/>
      <c r="OIH283" s="414"/>
      <c r="OIK283" s="445"/>
      <c r="OIL283" s="414"/>
      <c r="OIO283" s="445"/>
      <c r="OIP283" s="414"/>
      <c r="OIS283" s="445"/>
      <c r="OIT283" s="414"/>
      <c r="OIW283" s="445"/>
      <c r="OIX283" s="414"/>
      <c r="OJA283" s="445"/>
      <c r="OJB283" s="414"/>
      <c r="OJE283" s="445"/>
      <c r="OJF283" s="414"/>
      <c r="OJI283" s="445"/>
      <c r="OJJ283" s="414"/>
      <c r="OJM283" s="445"/>
      <c r="OJN283" s="414"/>
      <c r="OJQ283" s="445"/>
      <c r="OJR283" s="414"/>
      <c r="OJU283" s="445"/>
      <c r="OJV283" s="414"/>
      <c r="OJY283" s="445"/>
      <c r="OJZ283" s="414"/>
      <c r="OKC283" s="445"/>
      <c r="OKD283" s="414"/>
      <c r="OKG283" s="445"/>
      <c r="OKH283" s="414"/>
      <c r="OKK283" s="445"/>
      <c r="OKL283" s="414"/>
      <c r="OKO283" s="445"/>
      <c r="OKP283" s="414"/>
      <c r="OKS283" s="445"/>
      <c r="OKT283" s="414"/>
      <c r="OKW283" s="445"/>
      <c r="OKX283" s="414"/>
      <c r="OLA283" s="445"/>
      <c r="OLB283" s="414"/>
      <c r="OLE283" s="445"/>
      <c r="OLF283" s="414"/>
      <c r="OLI283" s="445"/>
      <c r="OLJ283" s="414"/>
      <c r="OLM283" s="445"/>
      <c r="OLN283" s="414"/>
      <c r="OLQ283" s="445"/>
      <c r="OLR283" s="414"/>
      <c r="OLU283" s="445"/>
      <c r="OLV283" s="414"/>
      <c r="OLY283" s="445"/>
      <c r="OLZ283" s="414"/>
      <c r="OMC283" s="445"/>
      <c r="OMD283" s="414"/>
      <c r="OMG283" s="445"/>
      <c r="OMH283" s="414"/>
      <c r="OMK283" s="445"/>
      <c r="OML283" s="414"/>
      <c r="OMO283" s="445"/>
      <c r="OMP283" s="414"/>
      <c r="OMS283" s="445"/>
      <c r="OMT283" s="414"/>
      <c r="OMW283" s="445"/>
      <c r="OMX283" s="414"/>
      <c r="ONA283" s="445"/>
      <c r="ONB283" s="414"/>
      <c r="ONE283" s="445"/>
      <c r="ONF283" s="414"/>
      <c r="ONI283" s="445"/>
      <c r="ONJ283" s="414"/>
      <c r="ONM283" s="445"/>
      <c r="ONN283" s="414"/>
      <c r="ONQ283" s="445"/>
      <c r="ONR283" s="414"/>
      <c r="ONU283" s="445"/>
      <c r="ONV283" s="414"/>
      <c r="ONY283" s="445"/>
      <c r="ONZ283" s="414"/>
      <c r="OOC283" s="445"/>
      <c r="OOD283" s="414"/>
      <c r="OOG283" s="445"/>
      <c r="OOH283" s="414"/>
      <c r="OOK283" s="445"/>
      <c r="OOL283" s="414"/>
      <c r="OOO283" s="445"/>
      <c r="OOP283" s="414"/>
      <c r="OOS283" s="445"/>
      <c r="OOT283" s="414"/>
      <c r="OOW283" s="445"/>
      <c r="OOX283" s="414"/>
      <c r="OPA283" s="445"/>
      <c r="OPB283" s="414"/>
      <c r="OPE283" s="445"/>
      <c r="OPF283" s="414"/>
      <c r="OPI283" s="445"/>
      <c r="OPJ283" s="414"/>
      <c r="OPM283" s="445"/>
      <c r="OPN283" s="414"/>
      <c r="OPQ283" s="445"/>
      <c r="OPR283" s="414"/>
      <c r="OPU283" s="445"/>
      <c r="OPV283" s="414"/>
      <c r="OPY283" s="445"/>
      <c r="OPZ283" s="414"/>
      <c r="OQC283" s="445"/>
      <c r="OQD283" s="414"/>
      <c r="OQG283" s="445"/>
      <c r="OQH283" s="414"/>
      <c r="OQK283" s="445"/>
      <c r="OQL283" s="414"/>
      <c r="OQO283" s="445"/>
      <c r="OQP283" s="414"/>
      <c r="OQS283" s="445"/>
      <c r="OQT283" s="414"/>
      <c r="OQW283" s="445"/>
      <c r="OQX283" s="414"/>
      <c r="ORA283" s="445"/>
      <c r="ORB283" s="414"/>
      <c r="ORE283" s="445"/>
      <c r="ORF283" s="414"/>
      <c r="ORI283" s="445"/>
      <c r="ORJ283" s="414"/>
      <c r="ORM283" s="445"/>
      <c r="ORN283" s="414"/>
      <c r="ORQ283" s="445"/>
      <c r="ORR283" s="414"/>
      <c r="ORU283" s="445"/>
      <c r="ORV283" s="414"/>
      <c r="ORY283" s="445"/>
      <c r="ORZ283" s="414"/>
      <c r="OSC283" s="445"/>
      <c r="OSD283" s="414"/>
      <c r="OSG283" s="445"/>
      <c r="OSH283" s="414"/>
      <c r="OSK283" s="445"/>
      <c r="OSL283" s="414"/>
      <c r="OSO283" s="445"/>
      <c r="OSP283" s="414"/>
      <c r="OSS283" s="445"/>
      <c r="OST283" s="414"/>
      <c r="OSW283" s="445"/>
      <c r="OSX283" s="414"/>
      <c r="OTA283" s="445"/>
      <c r="OTB283" s="414"/>
      <c r="OTE283" s="445"/>
      <c r="OTF283" s="414"/>
      <c r="OTI283" s="445"/>
      <c r="OTJ283" s="414"/>
      <c r="OTM283" s="445"/>
      <c r="OTN283" s="414"/>
      <c r="OTQ283" s="445"/>
      <c r="OTR283" s="414"/>
      <c r="OTU283" s="445"/>
      <c r="OTV283" s="414"/>
      <c r="OTY283" s="445"/>
      <c r="OTZ283" s="414"/>
      <c r="OUC283" s="445"/>
      <c r="OUD283" s="414"/>
      <c r="OUG283" s="445"/>
      <c r="OUH283" s="414"/>
      <c r="OUK283" s="445"/>
      <c r="OUL283" s="414"/>
      <c r="OUO283" s="445"/>
      <c r="OUP283" s="414"/>
      <c r="OUS283" s="445"/>
      <c r="OUT283" s="414"/>
      <c r="OUW283" s="445"/>
      <c r="OUX283" s="414"/>
      <c r="OVA283" s="445"/>
      <c r="OVB283" s="414"/>
      <c r="OVE283" s="445"/>
      <c r="OVF283" s="414"/>
      <c r="OVI283" s="445"/>
      <c r="OVJ283" s="414"/>
      <c r="OVM283" s="445"/>
      <c r="OVN283" s="414"/>
      <c r="OVQ283" s="445"/>
      <c r="OVR283" s="414"/>
      <c r="OVU283" s="445"/>
      <c r="OVV283" s="414"/>
      <c r="OVY283" s="445"/>
      <c r="OVZ283" s="414"/>
      <c r="OWC283" s="445"/>
      <c r="OWD283" s="414"/>
      <c r="OWG283" s="445"/>
      <c r="OWH283" s="414"/>
      <c r="OWK283" s="445"/>
      <c r="OWL283" s="414"/>
      <c r="OWO283" s="445"/>
      <c r="OWP283" s="414"/>
      <c r="OWS283" s="445"/>
      <c r="OWT283" s="414"/>
      <c r="OWW283" s="445"/>
      <c r="OWX283" s="414"/>
      <c r="OXA283" s="445"/>
      <c r="OXB283" s="414"/>
      <c r="OXE283" s="445"/>
      <c r="OXF283" s="414"/>
      <c r="OXI283" s="445"/>
      <c r="OXJ283" s="414"/>
      <c r="OXM283" s="445"/>
      <c r="OXN283" s="414"/>
      <c r="OXQ283" s="445"/>
      <c r="OXR283" s="414"/>
      <c r="OXU283" s="445"/>
      <c r="OXV283" s="414"/>
      <c r="OXY283" s="445"/>
      <c r="OXZ283" s="414"/>
      <c r="OYC283" s="445"/>
      <c r="OYD283" s="414"/>
      <c r="OYG283" s="445"/>
      <c r="OYH283" s="414"/>
      <c r="OYK283" s="445"/>
      <c r="OYL283" s="414"/>
      <c r="OYO283" s="445"/>
      <c r="OYP283" s="414"/>
      <c r="OYS283" s="445"/>
      <c r="OYT283" s="414"/>
      <c r="OYW283" s="445"/>
      <c r="OYX283" s="414"/>
      <c r="OZA283" s="445"/>
      <c r="OZB283" s="414"/>
      <c r="OZE283" s="445"/>
      <c r="OZF283" s="414"/>
      <c r="OZI283" s="445"/>
      <c r="OZJ283" s="414"/>
      <c r="OZM283" s="445"/>
      <c r="OZN283" s="414"/>
      <c r="OZQ283" s="445"/>
      <c r="OZR283" s="414"/>
      <c r="OZU283" s="445"/>
      <c r="OZV283" s="414"/>
      <c r="OZY283" s="445"/>
      <c r="OZZ283" s="414"/>
      <c r="PAC283" s="445"/>
      <c r="PAD283" s="414"/>
      <c r="PAG283" s="445"/>
      <c r="PAH283" s="414"/>
      <c r="PAK283" s="445"/>
      <c r="PAL283" s="414"/>
      <c r="PAO283" s="445"/>
      <c r="PAP283" s="414"/>
      <c r="PAS283" s="445"/>
      <c r="PAT283" s="414"/>
      <c r="PAW283" s="445"/>
      <c r="PAX283" s="414"/>
      <c r="PBA283" s="445"/>
      <c r="PBB283" s="414"/>
      <c r="PBE283" s="445"/>
      <c r="PBF283" s="414"/>
      <c r="PBI283" s="445"/>
      <c r="PBJ283" s="414"/>
      <c r="PBM283" s="445"/>
      <c r="PBN283" s="414"/>
      <c r="PBQ283" s="445"/>
      <c r="PBR283" s="414"/>
      <c r="PBU283" s="445"/>
      <c r="PBV283" s="414"/>
      <c r="PBY283" s="445"/>
      <c r="PBZ283" s="414"/>
      <c r="PCC283" s="445"/>
      <c r="PCD283" s="414"/>
      <c r="PCG283" s="445"/>
      <c r="PCH283" s="414"/>
      <c r="PCK283" s="445"/>
      <c r="PCL283" s="414"/>
      <c r="PCO283" s="445"/>
      <c r="PCP283" s="414"/>
      <c r="PCS283" s="445"/>
      <c r="PCT283" s="414"/>
      <c r="PCW283" s="445"/>
      <c r="PCX283" s="414"/>
      <c r="PDA283" s="445"/>
      <c r="PDB283" s="414"/>
      <c r="PDE283" s="445"/>
      <c r="PDF283" s="414"/>
      <c r="PDI283" s="445"/>
      <c r="PDJ283" s="414"/>
      <c r="PDM283" s="445"/>
      <c r="PDN283" s="414"/>
      <c r="PDQ283" s="445"/>
      <c r="PDR283" s="414"/>
      <c r="PDU283" s="445"/>
      <c r="PDV283" s="414"/>
      <c r="PDY283" s="445"/>
      <c r="PDZ283" s="414"/>
      <c r="PEC283" s="445"/>
      <c r="PED283" s="414"/>
      <c r="PEG283" s="445"/>
      <c r="PEH283" s="414"/>
      <c r="PEK283" s="445"/>
      <c r="PEL283" s="414"/>
      <c r="PEO283" s="445"/>
      <c r="PEP283" s="414"/>
      <c r="PES283" s="445"/>
      <c r="PET283" s="414"/>
      <c r="PEW283" s="445"/>
      <c r="PEX283" s="414"/>
      <c r="PFA283" s="445"/>
      <c r="PFB283" s="414"/>
      <c r="PFE283" s="445"/>
      <c r="PFF283" s="414"/>
      <c r="PFI283" s="445"/>
      <c r="PFJ283" s="414"/>
      <c r="PFM283" s="445"/>
      <c r="PFN283" s="414"/>
      <c r="PFQ283" s="445"/>
      <c r="PFR283" s="414"/>
      <c r="PFU283" s="445"/>
      <c r="PFV283" s="414"/>
      <c r="PFY283" s="445"/>
      <c r="PFZ283" s="414"/>
      <c r="PGC283" s="445"/>
      <c r="PGD283" s="414"/>
      <c r="PGG283" s="445"/>
      <c r="PGH283" s="414"/>
      <c r="PGK283" s="445"/>
      <c r="PGL283" s="414"/>
      <c r="PGO283" s="445"/>
      <c r="PGP283" s="414"/>
      <c r="PGS283" s="445"/>
      <c r="PGT283" s="414"/>
      <c r="PGW283" s="445"/>
      <c r="PGX283" s="414"/>
      <c r="PHA283" s="445"/>
      <c r="PHB283" s="414"/>
      <c r="PHE283" s="445"/>
      <c r="PHF283" s="414"/>
      <c r="PHI283" s="445"/>
      <c r="PHJ283" s="414"/>
      <c r="PHM283" s="445"/>
      <c r="PHN283" s="414"/>
      <c r="PHQ283" s="445"/>
      <c r="PHR283" s="414"/>
      <c r="PHU283" s="445"/>
      <c r="PHV283" s="414"/>
      <c r="PHY283" s="445"/>
      <c r="PHZ283" s="414"/>
      <c r="PIC283" s="445"/>
      <c r="PID283" s="414"/>
      <c r="PIG283" s="445"/>
      <c r="PIH283" s="414"/>
      <c r="PIK283" s="445"/>
      <c r="PIL283" s="414"/>
      <c r="PIO283" s="445"/>
      <c r="PIP283" s="414"/>
      <c r="PIS283" s="445"/>
      <c r="PIT283" s="414"/>
      <c r="PIW283" s="445"/>
      <c r="PIX283" s="414"/>
      <c r="PJA283" s="445"/>
      <c r="PJB283" s="414"/>
      <c r="PJE283" s="445"/>
      <c r="PJF283" s="414"/>
      <c r="PJI283" s="445"/>
      <c r="PJJ283" s="414"/>
      <c r="PJM283" s="445"/>
      <c r="PJN283" s="414"/>
      <c r="PJQ283" s="445"/>
      <c r="PJR283" s="414"/>
      <c r="PJU283" s="445"/>
      <c r="PJV283" s="414"/>
      <c r="PJY283" s="445"/>
      <c r="PJZ283" s="414"/>
      <c r="PKC283" s="445"/>
      <c r="PKD283" s="414"/>
      <c r="PKG283" s="445"/>
      <c r="PKH283" s="414"/>
      <c r="PKK283" s="445"/>
      <c r="PKL283" s="414"/>
      <c r="PKO283" s="445"/>
      <c r="PKP283" s="414"/>
      <c r="PKS283" s="445"/>
      <c r="PKT283" s="414"/>
      <c r="PKW283" s="445"/>
      <c r="PKX283" s="414"/>
      <c r="PLA283" s="445"/>
      <c r="PLB283" s="414"/>
      <c r="PLE283" s="445"/>
      <c r="PLF283" s="414"/>
      <c r="PLI283" s="445"/>
      <c r="PLJ283" s="414"/>
      <c r="PLM283" s="445"/>
      <c r="PLN283" s="414"/>
      <c r="PLQ283" s="445"/>
      <c r="PLR283" s="414"/>
      <c r="PLU283" s="445"/>
      <c r="PLV283" s="414"/>
      <c r="PLY283" s="445"/>
      <c r="PLZ283" s="414"/>
      <c r="PMC283" s="445"/>
      <c r="PMD283" s="414"/>
      <c r="PMG283" s="445"/>
      <c r="PMH283" s="414"/>
      <c r="PMK283" s="445"/>
      <c r="PML283" s="414"/>
      <c r="PMO283" s="445"/>
      <c r="PMP283" s="414"/>
      <c r="PMS283" s="445"/>
      <c r="PMT283" s="414"/>
      <c r="PMW283" s="445"/>
      <c r="PMX283" s="414"/>
      <c r="PNA283" s="445"/>
      <c r="PNB283" s="414"/>
      <c r="PNE283" s="445"/>
      <c r="PNF283" s="414"/>
      <c r="PNI283" s="445"/>
      <c r="PNJ283" s="414"/>
      <c r="PNM283" s="445"/>
      <c r="PNN283" s="414"/>
      <c r="PNQ283" s="445"/>
      <c r="PNR283" s="414"/>
      <c r="PNU283" s="445"/>
      <c r="PNV283" s="414"/>
      <c r="PNY283" s="445"/>
      <c r="PNZ283" s="414"/>
      <c r="POC283" s="445"/>
      <c r="POD283" s="414"/>
      <c r="POG283" s="445"/>
      <c r="POH283" s="414"/>
      <c r="POK283" s="445"/>
      <c r="POL283" s="414"/>
      <c r="POO283" s="445"/>
      <c r="POP283" s="414"/>
      <c r="POS283" s="445"/>
      <c r="POT283" s="414"/>
      <c r="POW283" s="445"/>
      <c r="POX283" s="414"/>
      <c r="PPA283" s="445"/>
      <c r="PPB283" s="414"/>
      <c r="PPE283" s="445"/>
      <c r="PPF283" s="414"/>
      <c r="PPI283" s="445"/>
      <c r="PPJ283" s="414"/>
      <c r="PPM283" s="445"/>
      <c r="PPN283" s="414"/>
      <c r="PPQ283" s="445"/>
      <c r="PPR283" s="414"/>
      <c r="PPU283" s="445"/>
      <c r="PPV283" s="414"/>
      <c r="PPY283" s="445"/>
      <c r="PPZ283" s="414"/>
      <c r="PQC283" s="445"/>
      <c r="PQD283" s="414"/>
      <c r="PQG283" s="445"/>
      <c r="PQH283" s="414"/>
      <c r="PQK283" s="445"/>
      <c r="PQL283" s="414"/>
      <c r="PQO283" s="445"/>
      <c r="PQP283" s="414"/>
      <c r="PQS283" s="445"/>
      <c r="PQT283" s="414"/>
      <c r="PQW283" s="445"/>
      <c r="PQX283" s="414"/>
      <c r="PRA283" s="445"/>
      <c r="PRB283" s="414"/>
      <c r="PRE283" s="445"/>
      <c r="PRF283" s="414"/>
      <c r="PRI283" s="445"/>
      <c r="PRJ283" s="414"/>
      <c r="PRM283" s="445"/>
      <c r="PRN283" s="414"/>
      <c r="PRQ283" s="445"/>
      <c r="PRR283" s="414"/>
      <c r="PRU283" s="445"/>
      <c r="PRV283" s="414"/>
      <c r="PRY283" s="445"/>
      <c r="PRZ283" s="414"/>
      <c r="PSC283" s="445"/>
      <c r="PSD283" s="414"/>
      <c r="PSG283" s="445"/>
      <c r="PSH283" s="414"/>
      <c r="PSK283" s="445"/>
      <c r="PSL283" s="414"/>
      <c r="PSO283" s="445"/>
      <c r="PSP283" s="414"/>
      <c r="PSS283" s="445"/>
      <c r="PST283" s="414"/>
      <c r="PSW283" s="445"/>
      <c r="PSX283" s="414"/>
      <c r="PTA283" s="445"/>
      <c r="PTB283" s="414"/>
      <c r="PTE283" s="445"/>
      <c r="PTF283" s="414"/>
      <c r="PTI283" s="445"/>
      <c r="PTJ283" s="414"/>
      <c r="PTM283" s="445"/>
      <c r="PTN283" s="414"/>
      <c r="PTQ283" s="445"/>
      <c r="PTR283" s="414"/>
      <c r="PTU283" s="445"/>
      <c r="PTV283" s="414"/>
      <c r="PTY283" s="445"/>
      <c r="PTZ283" s="414"/>
      <c r="PUC283" s="445"/>
      <c r="PUD283" s="414"/>
      <c r="PUG283" s="445"/>
      <c r="PUH283" s="414"/>
      <c r="PUK283" s="445"/>
      <c r="PUL283" s="414"/>
      <c r="PUO283" s="445"/>
      <c r="PUP283" s="414"/>
      <c r="PUS283" s="445"/>
      <c r="PUT283" s="414"/>
      <c r="PUW283" s="445"/>
      <c r="PUX283" s="414"/>
      <c r="PVA283" s="445"/>
      <c r="PVB283" s="414"/>
      <c r="PVE283" s="445"/>
      <c r="PVF283" s="414"/>
      <c r="PVI283" s="445"/>
      <c r="PVJ283" s="414"/>
      <c r="PVM283" s="445"/>
      <c r="PVN283" s="414"/>
      <c r="PVQ283" s="445"/>
      <c r="PVR283" s="414"/>
      <c r="PVU283" s="445"/>
      <c r="PVV283" s="414"/>
      <c r="PVY283" s="445"/>
      <c r="PVZ283" s="414"/>
      <c r="PWC283" s="445"/>
      <c r="PWD283" s="414"/>
      <c r="PWG283" s="445"/>
      <c r="PWH283" s="414"/>
      <c r="PWK283" s="445"/>
      <c r="PWL283" s="414"/>
      <c r="PWO283" s="445"/>
      <c r="PWP283" s="414"/>
      <c r="PWS283" s="445"/>
      <c r="PWT283" s="414"/>
      <c r="PWW283" s="445"/>
      <c r="PWX283" s="414"/>
      <c r="PXA283" s="445"/>
      <c r="PXB283" s="414"/>
      <c r="PXE283" s="445"/>
      <c r="PXF283" s="414"/>
      <c r="PXI283" s="445"/>
      <c r="PXJ283" s="414"/>
      <c r="PXM283" s="445"/>
      <c r="PXN283" s="414"/>
      <c r="PXQ283" s="445"/>
      <c r="PXR283" s="414"/>
      <c r="PXU283" s="445"/>
      <c r="PXV283" s="414"/>
      <c r="PXY283" s="445"/>
      <c r="PXZ283" s="414"/>
      <c r="PYC283" s="445"/>
      <c r="PYD283" s="414"/>
      <c r="PYG283" s="445"/>
      <c r="PYH283" s="414"/>
      <c r="PYK283" s="445"/>
      <c r="PYL283" s="414"/>
      <c r="PYO283" s="445"/>
      <c r="PYP283" s="414"/>
      <c r="PYS283" s="445"/>
      <c r="PYT283" s="414"/>
      <c r="PYW283" s="445"/>
      <c r="PYX283" s="414"/>
      <c r="PZA283" s="445"/>
      <c r="PZB283" s="414"/>
      <c r="PZE283" s="445"/>
      <c r="PZF283" s="414"/>
      <c r="PZI283" s="445"/>
      <c r="PZJ283" s="414"/>
      <c r="PZM283" s="445"/>
      <c r="PZN283" s="414"/>
      <c r="PZQ283" s="445"/>
      <c r="PZR283" s="414"/>
      <c r="PZU283" s="445"/>
      <c r="PZV283" s="414"/>
      <c r="PZY283" s="445"/>
      <c r="PZZ283" s="414"/>
      <c r="QAC283" s="445"/>
      <c r="QAD283" s="414"/>
      <c r="QAG283" s="445"/>
      <c r="QAH283" s="414"/>
      <c r="QAK283" s="445"/>
      <c r="QAL283" s="414"/>
      <c r="QAO283" s="445"/>
      <c r="QAP283" s="414"/>
      <c r="QAS283" s="445"/>
      <c r="QAT283" s="414"/>
      <c r="QAW283" s="445"/>
      <c r="QAX283" s="414"/>
      <c r="QBA283" s="445"/>
      <c r="QBB283" s="414"/>
      <c r="QBE283" s="445"/>
      <c r="QBF283" s="414"/>
      <c r="QBI283" s="445"/>
      <c r="QBJ283" s="414"/>
      <c r="QBM283" s="445"/>
      <c r="QBN283" s="414"/>
      <c r="QBQ283" s="445"/>
      <c r="QBR283" s="414"/>
      <c r="QBU283" s="445"/>
      <c r="QBV283" s="414"/>
      <c r="QBY283" s="445"/>
      <c r="QBZ283" s="414"/>
      <c r="QCC283" s="445"/>
      <c r="QCD283" s="414"/>
      <c r="QCG283" s="445"/>
      <c r="QCH283" s="414"/>
      <c r="QCK283" s="445"/>
      <c r="QCL283" s="414"/>
      <c r="QCO283" s="445"/>
      <c r="QCP283" s="414"/>
      <c r="QCS283" s="445"/>
      <c r="QCT283" s="414"/>
      <c r="QCW283" s="445"/>
      <c r="QCX283" s="414"/>
      <c r="QDA283" s="445"/>
      <c r="QDB283" s="414"/>
      <c r="QDE283" s="445"/>
      <c r="QDF283" s="414"/>
      <c r="QDI283" s="445"/>
      <c r="QDJ283" s="414"/>
      <c r="QDM283" s="445"/>
      <c r="QDN283" s="414"/>
      <c r="QDQ283" s="445"/>
      <c r="QDR283" s="414"/>
      <c r="QDU283" s="445"/>
      <c r="QDV283" s="414"/>
      <c r="QDY283" s="445"/>
      <c r="QDZ283" s="414"/>
      <c r="QEC283" s="445"/>
      <c r="QED283" s="414"/>
      <c r="QEG283" s="445"/>
      <c r="QEH283" s="414"/>
      <c r="QEK283" s="445"/>
      <c r="QEL283" s="414"/>
      <c r="QEO283" s="445"/>
      <c r="QEP283" s="414"/>
      <c r="QES283" s="445"/>
      <c r="QET283" s="414"/>
      <c r="QEW283" s="445"/>
      <c r="QEX283" s="414"/>
      <c r="QFA283" s="445"/>
      <c r="QFB283" s="414"/>
      <c r="QFE283" s="445"/>
      <c r="QFF283" s="414"/>
      <c r="QFI283" s="445"/>
      <c r="QFJ283" s="414"/>
      <c r="QFM283" s="445"/>
      <c r="QFN283" s="414"/>
      <c r="QFQ283" s="445"/>
      <c r="QFR283" s="414"/>
      <c r="QFU283" s="445"/>
      <c r="QFV283" s="414"/>
      <c r="QFY283" s="445"/>
      <c r="QFZ283" s="414"/>
      <c r="QGC283" s="445"/>
      <c r="QGD283" s="414"/>
      <c r="QGG283" s="445"/>
      <c r="QGH283" s="414"/>
      <c r="QGK283" s="445"/>
      <c r="QGL283" s="414"/>
      <c r="QGO283" s="445"/>
      <c r="QGP283" s="414"/>
      <c r="QGS283" s="445"/>
      <c r="QGT283" s="414"/>
      <c r="QGW283" s="445"/>
      <c r="QGX283" s="414"/>
      <c r="QHA283" s="445"/>
      <c r="QHB283" s="414"/>
      <c r="QHE283" s="445"/>
      <c r="QHF283" s="414"/>
      <c r="QHI283" s="445"/>
      <c r="QHJ283" s="414"/>
      <c r="QHM283" s="445"/>
      <c r="QHN283" s="414"/>
      <c r="QHQ283" s="445"/>
      <c r="QHR283" s="414"/>
      <c r="QHU283" s="445"/>
      <c r="QHV283" s="414"/>
      <c r="QHY283" s="445"/>
      <c r="QHZ283" s="414"/>
      <c r="QIC283" s="445"/>
      <c r="QID283" s="414"/>
      <c r="QIG283" s="445"/>
      <c r="QIH283" s="414"/>
      <c r="QIK283" s="445"/>
      <c r="QIL283" s="414"/>
      <c r="QIO283" s="445"/>
      <c r="QIP283" s="414"/>
      <c r="QIS283" s="445"/>
      <c r="QIT283" s="414"/>
      <c r="QIW283" s="445"/>
      <c r="QIX283" s="414"/>
      <c r="QJA283" s="445"/>
      <c r="QJB283" s="414"/>
      <c r="QJE283" s="445"/>
      <c r="QJF283" s="414"/>
      <c r="QJI283" s="445"/>
      <c r="QJJ283" s="414"/>
      <c r="QJM283" s="445"/>
      <c r="QJN283" s="414"/>
      <c r="QJQ283" s="445"/>
      <c r="QJR283" s="414"/>
      <c r="QJU283" s="445"/>
      <c r="QJV283" s="414"/>
      <c r="QJY283" s="445"/>
      <c r="QJZ283" s="414"/>
      <c r="QKC283" s="445"/>
      <c r="QKD283" s="414"/>
      <c r="QKG283" s="445"/>
      <c r="QKH283" s="414"/>
      <c r="QKK283" s="445"/>
      <c r="QKL283" s="414"/>
      <c r="QKO283" s="445"/>
      <c r="QKP283" s="414"/>
      <c r="QKS283" s="445"/>
      <c r="QKT283" s="414"/>
      <c r="QKW283" s="445"/>
      <c r="QKX283" s="414"/>
      <c r="QLA283" s="445"/>
      <c r="QLB283" s="414"/>
      <c r="QLE283" s="445"/>
      <c r="QLF283" s="414"/>
      <c r="QLI283" s="445"/>
      <c r="QLJ283" s="414"/>
      <c r="QLM283" s="445"/>
      <c r="QLN283" s="414"/>
      <c r="QLQ283" s="445"/>
      <c r="QLR283" s="414"/>
      <c r="QLU283" s="445"/>
      <c r="QLV283" s="414"/>
      <c r="QLY283" s="445"/>
      <c r="QLZ283" s="414"/>
      <c r="QMC283" s="445"/>
      <c r="QMD283" s="414"/>
      <c r="QMG283" s="445"/>
      <c r="QMH283" s="414"/>
      <c r="QMK283" s="445"/>
      <c r="QML283" s="414"/>
      <c r="QMO283" s="445"/>
      <c r="QMP283" s="414"/>
      <c r="QMS283" s="445"/>
      <c r="QMT283" s="414"/>
      <c r="QMW283" s="445"/>
      <c r="QMX283" s="414"/>
      <c r="QNA283" s="445"/>
      <c r="QNB283" s="414"/>
      <c r="QNE283" s="445"/>
      <c r="QNF283" s="414"/>
      <c r="QNI283" s="445"/>
      <c r="QNJ283" s="414"/>
      <c r="QNM283" s="445"/>
      <c r="QNN283" s="414"/>
      <c r="QNQ283" s="445"/>
      <c r="QNR283" s="414"/>
      <c r="QNU283" s="445"/>
      <c r="QNV283" s="414"/>
      <c r="QNY283" s="445"/>
      <c r="QNZ283" s="414"/>
      <c r="QOC283" s="445"/>
      <c r="QOD283" s="414"/>
      <c r="QOG283" s="445"/>
      <c r="QOH283" s="414"/>
      <c r="QOK283" s="445"/>
      <c r="QOL283" s="414"/>
      <c r="QOO283" s="445"/>
      <c r="QOP283" s="414"/>
      <c r="QOS283" s="445"/>
      <c r="QOT283" s="414"/>
      <c r="QOW283" s="445"/>
      <c r="QOX283" s="414"/>
      <c r="QPA283" s="445"/>
      <c r="QPB283" s="414"/>
      <c r="QPE283" s="445"/>
      <c r="QPF283" s="414"/>
      <c r="QPI283" s="445"/>
      <c r="QPJ283" s="414"/>
      <c r="QPM283" s="445"/>
      <c r="QPN283" s="414"/>
      <c r="QPQ283" s="445"/>
      <c r="QPR283" s="414"/>
      <c r="QPU283" s="445"/>
      <c r="QPV283" s="414"/>
      <c r="QPY283" s="445"/>
      <c r="QPZ283" s="414"/>
      <c r="QQC283" s="445"/>
      <c r="QQD283" s="414"/>
      <c r="QQG283" s="445"/>
      <c r="QQH283" s="414"/>
      <c r="QQK283" s="445"/>
      <c r="QQL283" s="414"/>
      <c r="QQO283" s="445"/>
      <c r="QQP283" s="414"/>
      <c r="QQS283" s="445"/>
      <c r="QQT283" s="414"/>
      <c r="QQW283" s="445"/>
      <c r="QQX283" s="414"/>
      <c r="QRA283" s="445"/>
      <c r="QRB283" s="414"/>
      <c r="QRE283" s="445"/>
      <c r="QRF283" s="414"/>
      <c r="QRI283" s="445"/>
      <c r="QRJ283" s="414"/>
      <c r="QRM283" s="445"/>
      <c r="QRN283" s="414"/>
      <c r="QRQ283" s="445"/>
      <c r="QRR283" s="414"/>
      <c r="QRU283" s="445"/>
      <c r="QRV283" s="414"/>
      <c r="QRY283" s="445"/>
      <c r="QRZ283" s="414"/>
      <c r="QSC283" s="445"/>
      <c r="QSD283" s="414"/>
      <c r="QSG283" s="445"/>
      <c r="QSH283" s="414"/>
      <c r="QSK283" s="445"/>
      <c r="QSL283" s="414"/>
      <c r="QSO283" s="445"/>
      <c r="QSP283" s="414"/>
      <c r="QSS283" s="445"/>
      <c r="QST283" s="414"/>
      <c r="QSW283" s="445"/>
      <c r="QSX283" s="414"/>
      <c r="QTA283" s="445"/>
      <c r="QTB283" s="414"/>
      <c r="QTE283" s="445"/>
      <c r="QTF283" s="414"/>
      <c r="QTI283" s="445"/>
      <c r="QTJ283" s="414"/>
      <c r="QTM283" s="445"/>
      <c r="QTN283" s="414"/>
      <c r="QTQ283" s="445"/>
      <c r="QTR283" s="414"/>
      <c r="QTU283" s="445"/>
      <c r="QTV283" s="414"/>
      <c r="QTY283" s="445"/>
      <c r="QTZ283" s="414"/>
      <c r="QUC283" s="445"/>
      <c r="QUD283" s="414"/>
      <c r="QUG283" s="445"/>
      <c r="QUH283" s="414"/>
      <c r="QUK283" s="445"/>
      <c r="QUL283" s="414"/>
      <c r="QUO283" s="445"/>
      <c r="QUP283" s="414"/>
      <c r="QUS283" s="445"/>
      <c r="QUT283" s="414"/>
      <c r="QUW283" s="445"/>
      <c r="QUX283" s="414"/>
      <c r="QVA283" s="445"/>
      <c r="QVB283" s="414"/>
      <c r="QVE283" s="445"/>
      <c r="QVF283" s="414"/>
      <c r="QVI283" s="445"/>
      <c r="QVJ283" s="414"/>
      <c r="QVM283" s="445"/>
      <c r="QVN283" s="414"/>
      <c r="QVQ283" s="445"/>
      <c r="QVR283" s="414"/>
      <c r="QVU283" s="445"/>
      <c r="QVV283" s="414"/>
      <c r="QVY283" s="445"/>
      <c r="QVZ283" s="414"/>
      <c r="QWC283" s="445"/>
      <c r="QWD283" s="414"/>
      <c r="QWG283" s="445"/>
      <c r="QWH283" s="414"/>
      <c r="QWK283" s="445"/>
      <c r="QWL283" s="414"/>
      <c r="QWO283" s="445"/>
      <c r="QWP283" s="414"/>
      <c r="QWS283" s="445"/>
      <c r="QWT283" s="414"/>
      <c r="QWW283" s="445"/>
      <c r="QWX283" s="414"/>
      <c r="QXA283" s="445"/>
      <c r="QXB283" s="414"/>
      <c r="QXE283" s="445"/>
      <c r="QXF283" s="414"/>
      <c r="QXI283" s="445"/>
      <c r="QXJ283" s="414"/>
      <c r="QXM283" s="445"/>
      <c r="QXN283" s="414"/>
      <c r="QXQ283" s="445"/>
      <c r="QXR283" s="414"/>
      <c r="QXU283" s="445"/>
      <c r="QXV283" s="414"/>
      <c r="QXY283" s="445"/>
      <c r="QXZ283" s="414"/>
      <c r="QYC283" s="445"/>
      <c r="QYD283" s="414"/>
      <c r="QYG283" s="445"/>
      <c r="QYH283" s="414"/>
      <c r="QYK283" s="445"/>
      <c r="QYL283" s="414"/>
      <c r="QYO283" s="445"/>
      <c r="QYP283" s="414"/>
      <c r="QYS283" s="445"/>
      <c r="QYT283" s="414"/>
      <c r="QYW283" s="445"/>
      <c r="QYX283" s="414"/>
      <c r="QZA283" s="445"/>
      <c r="QZB283" s="414"/>
      <c r="QZE283" s="445"/>
      <c r="QZF283" s="414"/>
      <c r="QZI283" s="445"/>
      <c r="QZJ283" s="414"/>
      <c r="QZM283" s="445"/>
      <c r="QZN283" s="414"/>
      <c r="QZQ283" s="445"/>
      <c r="QZR283" s="414"/>
      <c r="QZU283" s="445"/>
      <c r="QZV283" s="414"/>
      <c r="QZY283" s="445"/>
      <c r="QZZ283" s="414"/>
      <c r="RAC283" s="445"/>
      <c r="RAD283" s="414"/>
      <c r="RAG283" s="445"/>
      <c r="RAH283" s="414"/>
      <c r="RAK283" s="445"/>
      <c r="RAL283" s="414"/>
      <c r="RAO283" s="445"/>
      <c r="RAP283" s="414"/>
      <c r="RAS283" s="445"/>
      <c r="RAT283" s="414"/>
      <c r="RAW283" s="445"/>
      <c r="RAX283" s="414"/>
      <c r="RBA283" s="445"/>
      <c r="RBB283" s="414"/>
      <c r="RBE283" s="445"/>
      <c r="RBF283" s="414"/>
      <c r="RBI283" s="445"/>
      <c r="RBJ283" s="414"/>
      <c r="RBM283" s="445"/>
      <c r="RBN283" s="414"/>
      <c r="RBQ283" s="445"/>
      <c r="RBR283" s="414"/>
      <c r="RBU283" s="445"/>
      <c r="RBV283" s="414"/>
      <c r="RBY283" s="445"/>
      <c r="RBZ283" s="414"/>
      <c r="RCC283" s="445"/>
      <c r="RCD283" s="414"/>
      <c r="RCG283" s="445"/>
      <c r="RCH283" s="414"/>
      <c r="RCK283" s="445"/>
      <c r="RCL283" s="414"/>
      <c r="RCO283" s="445"/>
      <c r="RCP283" s="414"/>
      <c r="RCS283" s="445"/>
      <c r="RCT283" s="414"/>
      <c r="RCW283" s="445"/>
      <c r="RCX283" s="414"/>
      <c r="RDA283" s="445"/>
      <c r="RDB283" s="414"/>
      <c r="RDE283" s="445"/>
      <c r="RDF283" s="414"/>
      <c r="RDI283" s="445"/>
      <c r="RDJ283" s="414"/>
      <c r="RDM283" s="445"/>
      <c r="RDN283" s="414"/>
      <c r="RDQ283" s="445"/>
      <c r="RDR283" s="414"/>
      <c r="RDU283" s="445"/>
      <c r="RDV283" s="414"/>
      <c r="RDY283" s="445"/>
      <c r="RDZ283" s="414"/>
      <c r="REC283" s="445"/>
      <c r="RED283" s="414"/>
      <c r="REG283" s="445"/>
      <c r="REH283" s="414"/>
      <c r="REK283" s="445"/>
      <c r="REL283" s="414"/>
      <c r="REO283" s="445"/>
      <c r="REP283" s="414"/>
      <c r="RES283" s="445"/>
      <c r="RET283" s="414"/>
      <c r="REW283" s="445"/>
      <c r="REX283" s="414"/>
      <c r="RFA283" s="445"/>
      <c r="RFB283" s="414"/>
      <c r="RFE283" s="445"/>
      <c r="RFF283" s="414"/>
      <c r="RFI283" s="445"/>
      <c r="RFJ283" s="414"/>
      <c r="RFM283" s="445"/>
      <c r="RFN283" s="414"/>
      <c r="RFQ283" s="445"/>
      <c r="RFR283" s="414"/>
      <c r="RFU283" s="445"/>
      <c r="RFV283" s="414"/>
      <c r="RFY283" s="445"/>
      <c r="RFZ283" s="414"/>
      <c r="RGC283" s="445"/>
      <c r="RGD283" s="414"/>
      <c r="RGG283" s="445"/>
      <c r="RGH283" s="414"/>
      <c r="RGK283" s="445"/>
      <c r="RGL283" s="414"/>
      <c r="RGO283" s="445"/>
      <c r="RGP283" s="414"/>
      <c r="RGS283" s="445"/>
      <c r="RGT283" s="414"/>
      <c r="RGW283" s="445"/>
      <c r="RGX283" s="414"/>
      <c r="RHA283" s="445"/>
      <c r="RHB283" s="414"/>
      <c r="RHE283" s="445"/>
      <c r="RHF283" s="414"/>
      <c r="RHI283" s="445"/>
      <c r="RHJ283" s="414"/>
      <c r="RHM283" s="445"/>
      <c r="RHN283" s="414"/>
      <c r="RHQ283" s="445"/>
      <c r="RHR283" s="414"/>
      <c r="RHU283" s="445"/>
      <c r="RHV283" s="414"/>
      <c r="RHY283" s="445"/>
      <c r="RHZ283" s="414"/>
      <c r="RIC283" s="445"/>
      <c r="RID283" s="414"/>
      <c r="RIG283" s="445"/>
      <c r="RIH283" s="414"/>
      <c r="RIK283" s="445"/>
      <c r="RIL283" s="414"/>
      <c r="RIO283" s="445"/>
      <c r="RIP283" s="414"/>
      <c r="RIS283" s="445"/>
      <c r="RIT283" s="414"/>
      <c r="RIW283" s="445"/>
      <c r="RIX283" s="414"/>
      <c r="RJA283" s="445"/>
      <c r="RJB283" s="414"/>
      <c r="RJE283" s="445"/>
      <c r="RJF283" s="414"/>
      <c r="RJI283" s="445"/>
      <c r="RJJ283" s="414"/>
      <c r="RJM283" s="445"/>
      <c r="RJN283" s="414"/>
      <c r="RJQ283" s="445"/>
      <c r="RJR283" s="414"/>
      <c r="RJU283" s="445"/>
      <c r="RJV283" s="414"/>
      <c r="RJY283" s="445"/>
      <c r="RJZ283" s="414"/>
      <c r="RKC283" s="445"/>
      <c r="RKD283" s="414"/>
      <c r="RKG283" s="445"/>
      <c r="RKH283" s="414"/>
      <c r="RKK283" s="445"/>
      <c r="RKL283" s="414"/>
      <c r="RKO283" s="445"/>
      <c r="RKP283" s="414"/>
      <c r="RKS283" s="445"/>
      <c r="RKT283" s="414"/>
      <c r="RKW283" s="445"/>
      <c r="RKX283" s="414"/>
      <c r="RLA283" s="445"/>
      <c r="RLB283" s="414"/>
      <c r="RLE283" s="445"/>
      <c r="RLF283" s="414"/>
      <c r="RLI283" s="445"/>
      <c r="RLJ283" s="414"/>
      <c r="RLM283" s="445"/>
      <c r="RLN283" s="414"/>
      <c r="RLQ283" s="445"/>
      <c r="RLR283" s="414"/>
      <c r="RLU283" s="445"/>
      <c r="RLV283" s="414"/>
      <c r="RLY283" s="445"/>
      <c r="RLZ283" s="414"/>
      <c r="RMC283" s="445"/>
      <c r="RMD283" s="414"/>
      <c r="RMG283" s="445"/>
      <c r="RMH283" s="414"/>
      <c r="RMK283" s="445"/>
      <c r="RML283" s="414"/>
      <c r="RMO283" s="445"/>
      <c r="RMP283" s="414"/>
      <c r="RMS283" s="445"/>
      <c r="RMT283" s="414"/>
      <c r="RMW283" s="445"/>
      <c r="RMX283" s="414"/>
      <c r="RNA283" s="445"/>
      <c r="RNB283" s="414"/>
      <c r="RNE283" s="445"/>
      <c r="RNF283" s="414"/>
      <c r="RNI283" s="445"/>
      <c r="RNJ283" s="414"/>
      <c r="RNM283" s="445"/>
      <c r="RNN283" s="414"/>
      <c r="RNQ283" s="445"/>
      <c r="RNR283" s="414"/>
      <c r="RNU283" s="445"/>
      <c r="RNV283" s="414"/>
      <c r="RNY283" s="445"/>
      <c r="RNZ283" s="414"/>
      <c r="ROC283" s="445"/>
      <c r="ROD283" s="414"/>
      <c r="ROG283" s="445"/>
      <c r="ROH283" s="414"/>
      <c r="ROK283" s="445"/>
      <c r="ROL283" s="414"/>
      <c r="ROO283" s="445"/>
      <c r="ROP283" s="414"/>
      <c r="ROS283" s="445"/>
      <c r="ROT283" s="414"/>
      <c r="ROW283" s="445"/>
      <c r="ROX283" s="414"/>
      <c r="RPA283" s="445"/>
      <c r="RPB283" s="414"/>
      <c r="RPE283" s="445"/>
      <c r="RPF283" s="414"/>
      <c r="RPI283" s="445"/>
      <c r="RPJ283" s="414"/>
      <c r="RPM283" s="445"/>
      <c r="RPN283" s="414"/>
      <c r="RPQ283" s="445"/>
      <c r="RPR283" s="414"/>
      <c r="RPU283" s="445"/>
      <c r="RPV283" s="414"/>
      <c r="RPY283" s="445"/>
      <c r="RPZ283" s="414"/>
      <c r="RQC283" s="445"/>
      <c r="RQD283" s="414"/>
      <c r="RQG283" s="445"/>
      <c r="RQH283" s="414"/>
      <c r="RQK283" s="445"/>
      <c r="RQL283" s="414"/>
      <c r="RQO283" s="445"/>
      <c r="RQP283" s="414"/>
      <c r="RQS283" s="445"/>
      <c r="RQT283" s="414"/>
      <c r="RQW283" s="445"/>
      <c r="RQX283" s="414"/>
      <c r="RRA283" s="445"/>
      <c r="RRB283" s="414"/>
      <c r="RRE283" s="445"/>
      <c r="RRF283" s="414"/>
      <c r="RRI283" s="445"/>
      <c r="RRJ283" s="414"/>
      <c r="RRM283" s="445"/>
      <c r="RRN283" s="414"/>
      <c r="RRQ283" s="445"/>
      <c r="RRR283" s="414"/>
      <c r="RRU283" s="445"/>
      <c r="RRV283" s="414"/>
      <c r="RRY283" s="445"/>
      <c r="RRZ283" s="414"/>
      <c r="RSC283" s="445"/>
      <c r="RSD283" s="414"/>
      <c r="RSG283" s="445"/>
      <c r="RSH283" s="414"/>
      <c r="RSK283" s="445"/>
      <c r="RSL283" s="414"/>
      <c r="RSO283" s="445"/>
      <c r="RSP283" s="414"/>
      <c r="RSS283" s="445"/>
      <c r="RST283" s="414"/>
      <c r="RSW283" s="445"/>
      <c r="RSX283" s="414"/>
      <c r="RTA283" s="445"/>
      <c r="RTB283" s="414"/>
      <c r="RTE283" s="445"/>
      <c r="RTF283" s="414"/>
      <c r="RTI283" s="445"/>
      <c r="RTJ283" s="414"/>
      <c r="RTM283" s="445"/>
      <c r="RTN283" s="414"/>
      <c r="RTQ283" s="445"/>
      <c r="RTR283" s="414"/>
      <c r="RTU283" s="445"/>
      <c r="RTV283" s="414"/>
      <c r="RTY283" s="445"/>
      <c r="RTZ283" s="414"/>
      <c r="RUC283" s="445"/>
      <c r="RUD283" s="414"/>
      <c r="RUG283" s="445"/>
      <c r="RUH283" s="414"/>
      <c r="RUK283" s="445"/>
      <c r="RUL283" s="414"/>
      <c r="RUO283" s="445"/>
      <c r="RUP283" s="414"/>
      <c r="RUS283" s="445"/>
      <c r="RUT283" s="414"/>
      <c r="RUW283" s="445"/>
      <c r="RUX283" s="414"/>
      <c r="RVA283" s="445"/>
      <c r="RVB283" s="414"/>
      <c r="RVE283" s="445"/>
      <c r="RVF283" s="414"/>
      <c r="RVI283" s="445"/>
      <c r="RVJ283" s="414"/>
      <c r="RVM283" s="445"/>
      <c r="RVN283" s="414"/>
      <c r="RVQ283" s="445"/>
      <c r="RVR283" s="414"/>
      <c r="RVU283" s="445"/>
      <c r="RVV283" s="414"/>
      <c r="RVY283" s="445"/>
      <c r="RVZ283" s="414"/>
      <c r="RWC283" s="445"/>
      <c r="RWD283" s="414"/>
      <c r="RWG283" s="445"/>
      <c r="RWH283" s="414"/>
      <c r="RWK283" s="445"/>
      <c r="RWL283" s="414"/>
      <c r="RWO283" s="445"/>
      <c r="RWP283" s="414"/>
      <c r="RWS283" s="445"/>
      <c r="RWT283" s="414"/>
      <c r="RWW283" s="445"/>
      <c r="RWX283" s="414"/>
      <c r="RXA283" s="445"/>
      <c r="RXB283" s="414"/>
      <c r="RXE283" s="445"/>
      <c r="RXF283" s="414"/>
      <c r="RXI283" s="445"/>
      <c r="RXJ283" s="414"/>
      <c r="RXM283" s="445"/>
      <c r="RXN283" s="414"/>
      <c r="RXQ283" s="445"/>
      <c r="RXR283" s="414"/>
      <c r="RXU283" s="445"/>
      <c r="RXV283" s="414"/>
      <c r="RXY283" s="445"/>
      <c r="RXZ283" s="414"/>
      <c r="RYC283" s="445"/>
      <c r="RYD283" s="414"/>
      <c r="RYG283" s="445"/>
      <c r="RYH283" s="414"/>
      <c r="RYK283" s="445"/>
      <c r="RYL283" s="414"/>
      <c r="RYO283" s="445"/>
      <c r="RYP283" s="414"/>
      <c r="RYS283" s="445"/>
      <c r="RYT283" s="414"/>
      <c r="RYW283" s="445"/>
      <c r="RYX283" s="414"/>
      <c r="RZA283" s="445"/>
      <c r="RZB283" s="414"/>
      <c r="RZE283" s="445"/>
      <c r="RZF283" s="414"/>
      <c r="RZI283" s="445"/>
      <c r="RZJ283" s="414"/>
      <c r="RZM283" s="445"/>
      <c r="RZN283" s="414"/>
      <c r="RZQ283" s="445"/>
      <c r="RZR283" s="414"/>
      <c r="RZU283" s="445"/>
      <c r="RZV283" s="414"/>
      <c r="RZY283" s="445"/>
      <c r="RZZ283" s="414"/>
      <c r="SAC283" s="445"/>
      <c r="SAD283" s="414"/>
      <c r="SAG283" s="445"/>
      <c r="SAH283" s="414"/>
      <c r="SAK283" s="445"/>
      <c r="SAL283" s="414"/>
      <c r="SAO283" s="445"/>
      <c r="SAP283" s="414"/>
      <c r="SAS283" s="445"/>
      <c r="SAT283" s="414"/>
      <c r="SAW283" s="445"/>
      <c r="SAX283" s="414"/>
      <c r="SBA283" s="445"/>
      <c r="SBB283" s="414"/>
      <c r="SBE283" s="445"/>
      <c r="SBF283" s="414"/>
      <c r="SBI283" s="445"/>
      <c r="SBJ283" s="414"/>
      <c r="SBM283" s="445"/>
      <c r="SBN283" s="414"/>
      <c r="SBQ283" s="445"/>
      <c r="SBR283" s="414"/>
      <c r="SBU283" s="445"/>
      <c r="SBV283" s="414"/>
      <c r="SBY283" s="445"/>
      <c r="SBZ283" s="414"/>
      <c r="SCC283" s="445"/>
      <c r="SCD283" s="414"/>
      <c r="SCG283" s="445"/>
      <c r="SCH283" s="414"/>
      <c r="SCK283" s="445"/>
      <c r="SCL283" s="414"/>
      <c r="SCO283" s="445"/>
      <c r="SCP283" s="414"/>
      <c r="SCS283" s="445"/>
      <c r="SCT283" s="414"/>
      <c r="SCW283" s="445"/>
      <c r="SCX283" s="414"/>
      <c r="SDA283" s="445"/>
      <c r="SDB283" s="414"/>
      <c r="SDE283" s="445"/>
      <c r="SDF283" s="414"/>
      <c r="SDI283" s="445"/>
      <c r="SDJ283" s="414"/>
      <c r="SDM283" s="445"/>
      <c r="SDN283" s="414"/>
      <c r="SDQ283" s="445"/>
      <c r="SDR283" s="414"/>
      <c r="SDU283" s="445"/>
      <c r="SDV283" s="414"/>
      <c r="SDY283" s="445"/>
      <c r="SDZ283" s="414"/>
      <c r="SEC283" s="445"/>
      <c r="SED283" s="414"/>
      <c r="SEG283" s="445"/>
      <c r="SEH283" s="414"/>
      <c r="SEK283" s="445"/>
      <c r="SEL283" s="414"/>
      <c r="SEO283" s="445"/>
      <c r="SEP283" s="414"/>
      <c r="SES283" s="445"/>
      <c r="SET283" s="414"/>
      <c r="SEW283" s="445"/>
      <c r="SEX283" s="414"/>
      <c r="SFA283" s="445"/>
      <c r="SFB283" s="414"/>
      <c r="SFE283" s="445"/>
      <c r="SFF283" s="414"/>
      <c r="SFI283" s="445"/>
      <c r="SFJ283" s="414"/>
      <c r="SFM283" s="445"/>
      <c r="SFN283" s="414"/>
      <c r="SFQ283" s="445"/>
      <c r="SFR283" s="414"/>
      <c r="SFU283" s="445"/>
      <c r="SFV283" s="414"/>
      <c r="SFY283" s="445"/>
      <c r="SFZ283" s="414"/>
      <c r="SGC283" s="445"/>
      <c r="SGD283" s="414"/>
      <c r="SGG283" s="445"/>
      <c r="SGH283" s="414"/>
      <c r="SGK283" s="445"/>
      <c r="SGL283" s="414"/>
      <c r="SGO283" s="445"/>
      <c r="SGP283" s="414"/>
      <c r="SGS283" s="445"/>
      <c r="SGT283" s="414"/>
      <c r="SGW283" s="445"/>
      <c r="SGX283" s="414"/>
      <c r="SHA283" s="445"/>
      <c r="SHB283" s="414"/>
      <c r="SHE283" s="445"/>
      <c r="SHF283" s="414"/>
      <c r="SHI283" s="445"/>
      <c r="SHJ283" s="414"/>
      <c r="SHM283" s="445"/>
      <c r="SHN283" s="414"/>
      <c r="SHQ283" s="445"/>
      <c r="SHR283" s="414"/>
      <c r="SHU283" s="445"/>
      <c r="SHV283" s="414"/>
      <c r="SHY283" s="445"/>
      <c r="SHZ283" s="414"/>
      <c r="SIC283" s="445"/>
      <c r="SID283" s="414"/>
      <c r="SIG283" s="445"/>
      <c r="SIH283" s="414"/>
      <c r="SIK283" s="445"/>
      <c r="SIL283" s="414"/>
      <c r="SIO283" s="445"/>
      <c r="SIP283" s="414"/>
      <c r="SIS283" s="445"/>
      <c r="SIT283" s="414"/>
      <c r="SIW283" s="445"/>
      <c r="SIX283" s="414"/>
      <c r="SJA283" s="445"/>
      <c r="SJB283" s="414"/>
      <c r="SJE283" s="445"/>
      <c r="SJF283" s="414"/>
      <c r="SJI283" s="445"/>
      <c r="SJJ283" s="414"/>
      <c r="SJM283" s="445"/>
      <c r="SJN283" s="414"/>
      <c r="SJQ283" s="445"/>
      <c r="SJR283" s="414"/>
      <c r="SJU283" s="445"/>
      <c r="SJV283" s="414"/>
      <c r="SJY283" s="445"/>
      <c r="SJZ283" s="414"/>
      <c r="SKC283" s="445"/>
      <c r="SKD283" s="414"/>
      <c r="SKG283" s="445"/>
      <c r="SKH283" s="414"/>
      <c r="SKK283" s="445"/>
      <c r="SKL283" s="414"/>
      <c r="SKO283" s="445"/>
      <c r="SKP283" s="414"/>
      <c r="SKS283" s="445"/>
      <c r="SKT283" s="414"/>
      <c r="SKW283" s="445"/>
      <c r="SKX283" s="414"/>
      <c r="SLA283" s="445"/>
      <c r="SLB283" s="414"/>
      <c r="SLE283" s="445"/>
      <c r="SLF283" s="414"/>
      <c r="SLI283" s="445"/>
      <c r="SLJ283" s="414"/>
      <c r="SLM283" s="445"/>
      <c r="SLN283" s="414"/>
      <c r="SLQ283" s="445"/>
      <c r="SLR283" s="414"/>
      <c r="SLU283" s="445"/>
      <c r="SLV283" s="414"/>
      <c r="SLY283" s="445"/>
      <c r="SLZ283" s="414"/>
      <c r="SMC283" s="445"/>
      <c r="SMD283" s="414"/>
      <c r="SMG283" s="445"/>
      <c r="SMH283" s="414"/>
      <c r="SMK283" s="445"/>
      <c r="SML283" s="414"/>
      <c r="SMO283" s="445"/>
      <c r="SMP283" s="414"/>
      <c r="SMS283" s="445"/>
      <c r="SMT283" s="414"/>
      <c r="SMW283" s="445"/>
      <c r="SMX283" s="414"/>
      <c r="SNA283" s="445"/>
      <c r="SNB283" s="414"/>
      <c r="SNE283" s="445"/>
      <c r="SNF283" s="414"/>
      <c r="SNI283" s="445"/>
      <c r="SNJ283" s="414"/>
      <c r="SNM283" s="445"/>
      <c r="SNN283" s="414"/>
      <c r="SNQ283" s="445"/>
      <c r="SNR283" s="414"/>
      <c r="SNU283" s="445"/>
      <c r="SNV283" s="414"/>
      <c r="SNY283" s="445"/>
      <c r="SNZ283" s="414"/>
      <c r="SOC283" s="445"/>
      <c r="SOD283" s="414"/>
      <c r="SOG283" s="445"/>
      <c r="SOH283" s="414"/>
      <c r="SOK283" s="445"/>
      <c r="SOL283" s="414"/>
      <c r="SOO283" s="445"/>
      <c r="SOP283" s="414"/>
      <c r="SOS283" s="445"/>
      <c r="SOT283" s="414"/>
      <c r="SOW283" s="445"/>
      <c r="SOX283" s="414"/>
      <c r="SPA283" s="445"/>
      <c r="SPB283" s="414"/>
      <c r="SPE283" s="445"/>
      <c r="SPF283" s="414"/>
      <c r="SPI283" s="445"/>
      <c r="SPJ283" s="414"/>
      <c r="SPM283" s="445"/>
      <c r="SPN283" s="414"/>
      <c r="SPQ283" s="445"/>
      <c r="SPR283" s="414"/>
      <c r="SPU283" s="445"/>
      <c r="SPV283" s="414"/>
      <c r="SPY283" s="445"/>
      <c r="SPZ283" s="414"/>
      <c r="SQC283" s="445"/>
      <c r="SQD283" s="414"/>
      <c r="SQG283" s="445"/>
      <c r="SQH283" s="414"/>
      <c r="SQK283" s="445"/>
      <c r="SQL283" s="414"/>
      <c r="SQO283" s="445"/>
      <c r="SQP283" s="414"/>
      <c r="SQS283" s="445"/>
      <c r="SQT283" s="414"/>
      <c r="SQW283" s="445"/>
      <c r="SQX283" s="414"/>
      <c r="SRA283" s="445"/>
      <c r="SRB283" s="414"/>
      <c r="SRE283" s="445"/>
      <c r="SRF283" s="414"/>
      <c r="SRI283" s="445"/>
      <c r="SRJ283" s="414"/>
      <c r="SRM283" s="445"/>
      <c r="SRN283" s="414"/>
      <c r="SRQ283" s="445"/>
      <c r="SRR283" s="414"/>
      <c r="SRU283" s="445"/>
      <c r="SRV283" s="414"/>
      <c r="SRY283" s="445"/>
      <c r="SRZ283" s="414"/>
      <c r="SSC283" s="445"/>
      <c r="SSD283" s="414"/>
      <c r="SSG283" s="445"/>
      <c r="SSH283" s="414"/>
      <c r="SSK283" s="445"/>
      <c r="SSL283" s="414"/>
      <c r="SSO283" s="445"/>
      <c r="SSP283" s="414"/>
      <c r="SSS283" s="445"/>
      <c r="SST283" s="414"/>
      <c r="SSW283" s="445"/>
      <c r="SSX283" s="414"/>
      <c r="STA283" s="445"/>
      <c r="STB283" s="414"/>
      <c r="STE283" s="445"/>
      <c r="STF283" s="414"/>
      <c r="STI283" s="445"/>
      <c r="STJ283" s="414"/>
      <c r="STM283" s="445"/>
      <c r="STN283" s="414"/>
      <c r="STQ283" s="445"/>
      <c r="STR283" s="414"/>
      <c r="STU283" s="445"/>
      <c r="STV283" s="414"/>
      <c r="STY283" s="445"/>
      <c r="STZ283" s="414"/>
      <c r="SUC283" s="445"/>
      <c r="SUD283" s="414"/>
      <c r="SUG283" s="445"/>
      <c r="SUH283" s="414"/>
      <c r="SUK283" s="445"/>
      <c r="SUL283" s="414"/>
      <c r="SUO283" s="445"/>
      <c r="SUP283" s="414"/>
      <c r="SUS283" s="445"/>
      <c r="SUT283" s="414"/>
      <c r="SUW283" s="445"/>
      <c r="SUX283" s="414"/>
      <c r="SVA283" s="445"/>
      <c r="SVB283" s="414"/>
      <c r="SVE283" s="445"/>
      <c r="SVF283" s="414"/>
      <c r="SVI283" s="445"/>
      <c r="SVJ283" s="414"/>
      <c r="SVM283" s="445"/>
      <c r="SVN283" s="414"/>
      <c r="SVQ283" s="445"/>
      <c r="SVR283" s="414"/>
      <c r="SVU283" s="445"/>
      <c r="SVV283" s="414"/>
      <c r="SVY283" s="445"/>
      <c r="SVZ283" s="414"/>
      <c r="SWC283" s="445"/>
      <c r="SWD283" s="414"/>
      <c r="SWG283" s="445"/>
      <c r="SWH283" s="414"/>
      <c r="SWK283" s="445"/>
      <c r="SWL283" s="414"/>
      <c r="SWO283" s="445"/>
      <c r="SWP283" s="414"/>
      <c r="SWS283" s="445"/>
      <c r="SWT283" s="414"/>
      <c r="SWW283" s="445"/>
      <c r="SWX283" s="414"/>
      <c r="SXA283" s="445"/>
      <c r="SXB283" s="414"/>
      <c r="SXE283" s="445"/>
      <c r="SXF283" s="414"/>
      <c r="SXI283" s="445"/>
      <c r="SXJ283" s="414"/>
      <c r="SXM283" s="445"/>
      <c r="SXN283" s="414"/>
      <c r="SXQ283" s="445"/>
      <c r="SXR283" s="414"/>
      <c r="SXU283" s="445"/>
      <c r="SXV283" s="414"/>
      <c r="SXY283" s="445"/>
      <c r="SXZ283" s="414"/>
      <c r="SYC283" s="445"/>
      <c r="SYD283" s="414"/>
      <c r="SYG283" s="445"/>
      <c r="SYH283" s="414"/>
      <c r="SYK283" s="445"/>
      <c r="SYL283" s="414"/>
      <c r="SYO283" s="445"/>
      <c r="SYP283" s="414"/>
      <c r="SYS283" s="445"/>
      <c r="SYT283" s="414"/>
      <c r="SYW283" s="445"/>
      <c r="SYX283" s="414"/>
      <c r="SZA283" s="445"/>
      <c r="SZB283" s="414"/>
      <c r="SZE283" s="445"/>
      <c r="SZF283" s="414"/>
      <c r="SZI283" s="445"/>
      <c r="SZJ283" s="414"/>
      <c r="SZM283" s="445"/>
      <c r="SZN283" s="414"/>
      <c r="SZQ283" s="445"/>
      <c r="SZR283" s="414"/>
      <c r="SZU283" s="445"/>
      <c r="SZV283" s="414"/>
      <c r="SZY283" s="445"/>
      <c r="SZZ283" s="414"/>
      <c r="TAC283" s="445"/>
      <c r="TAD283" s="414"/>
      <c r="TAG283" s="445"/>
      <c r="TAH283" s="414"/>
      <c r="TAK283" s="445"/>
      <c r="TAL283" s="414"/>
      <c r="TAO283" s="445"/>
      <c r="TAP283" s="414"/>
      <c r="TAS283" s="445"/>
      <c r="TAT283" s="414"/>
      <c r="TAW283" s="445"/>
      <c r="TAX283" s="414"/>
      <c r="TBA283" s="445"/>
      <c r="TBB283" s="414"/>
      <c r="TBE283" s="445"/>
      <c r="TBF283" s="414"/>
      <c r="TBI283" s="445"/>
      <c r="TBJ283" s="414"/>
      <c r="TBM283" s="445"/>
      <c r="TBN283" s="414"/>
      <c r="TBQ283" s="445"/>
      <c r="TBR283" s="414"/>
      <c r="TBU283" s="445"/>
      <c r="TBV283" s="414"/>
      <c r="TBY283" s="445"/>
      <c r="TBZ283" s="414"/>
      <c r="TCC283" s="445"/>
      <c r="TCD283" s="414"/>
      <c r="TCG283" s="445"/>
      <c r="TCH283" s="414"/>
      <c r="TCK283" s="445"/>
      <c r="TCL283" s="414"/>
      <c r="TCO283" s="445"/>
      <c r="TCP283" s="414"/>
      <c r="TCS283" s="445"/>
      <c r="TCT283" s="414"/>
      <c r="TCW283" s="445"/>
      <c r="TCX283" s="414"/>
      <c r="TDA283" s="445"/>
      <c r="TDB283" s="414"/>
      <c r="TDE283" s="445"/>
      <c r="TDF283" s="414"/>
      <c r="TDI283" s="445"/>
      <c r="TDJ283" s="414"/>
      <c r="TDM283" s="445"/>
      <c r="TDN283" s="414"/>
      <c r="TDQ283" s="445"/>
      <c r="TDR283" s="414"/>
      <c r="TDU283" s="445"/>
      <c r="TDV283" s="414"/>
      <c r="TDY283" s="445"/>
      <c r="TDZ283" s="414"/>
      <c r="TEC283" s="445"/>
      <c r="TED283" s="414"/>
      <c r="TEG283" s="445"/>
      <c r="TEH283" s="414"/>
      <c r="TEK283" s="445"/>
      <c r="TEL283" s="414"/>
      <c r="TEO283" s="445"/>
      <c r="TEP283" s="414"/>
      <c r="TES283" s="445"/>
      <c r="TET283" s="414"/>
      <c r="TEW283" s="445"/>
      <c r="TEX283" s="414"/>
      <c r="TFA283" s="445"/>
      <c r="TFB283" s="414"/>
      <c r="TFE283" s="445"/>
      <c r="TFF283" s="414"/>
      <c r="TFI283" s="445"/>
      <c r="TFJ283" s="414"/>
      <c r="TFM283" s="445"/>
      <c r="TFN283" s="414"/>
      <c r="TFQ283" s="445"/>
      <c r="TFR283" s="414"/>
      <c r="TFU283" s="445"/>
      <c r="TFV283" s="414"/>
      <c r="TFY283" s="445"/>
      <c r="TFZ283" s="414"/>
      <c r="TGC283" s="445"/>
      <c r="TGD283" s="414"/>
      <c r="TGG283" s="445"/>
      <c r="TGH283" s="414"/>
      <c r="TGK283" s="445"/>
      <c r="TGL283" s="414"/>
      <c r="TGO283" s="445"/>
      <c r="TGP283" s="414"/>
      <c r="TGS283" s="445"/>
      <c r="TGT283" s="414"/>
      <c r="TGW283" s="445"/>
      <c r="TGX283" s="414"/>
      <c r="THA283" s="445"/>
      <c r="THB283" s="414"/>
      <c r="THE283" s="445"/>
      <c r="THF283" s="414"/>
      <c r="THI283" s="445"/>
      <c r="THJ283" s="414"/>
      <c r="THM283" s="445"/>
      <c r="THN283" s="414"/>
      <c r="THQ283" s="445"/>
      <c r="THR283" s="414"/>
      <c r="THU283" s="445"/>
      <c r="THV283" s="414"/>
      <c r="THY283" s="445"/>
      <c r="THZ283" s="414"/>
      <c r="TIC283" s="445"/>
      <c r="TID283" s="414"/>
      <c r="TIG283" s="445"/>
      <c r="TIH283" s="414"/>
      <c r="TIK283" s="445"/>
      <c r="TIL283" s="414"/>
      <c r="TIO283" s="445"/>
      <c r="TIP283" s="414"/>
      <c r="TIS283" s="445"/>
      <c r="TIT283" s="414"/>
      <c r="TIW283" s="445"/>
      <c r="TIX283" s="414"/>
      <c r="TJA283" s="445"/>
      <c r="TJB283" s="414"/>
      <c r="TJE283" s="445"/>
      <c r="TJF283" s="414"/>
      <c r="TJI283" s="445"/>
      <c r="TJJ283" s="414"/>
      <c r="TJM283" s="445"/>
      <c r="TJN283" s="414"/>
      <c r="TJQ283" s="445"/>
      <c r="TJR283" s="414"/>
      <c r="TJU283" s="445"/>
      <c r="TJV283" s="414"/>
      <c r="TJY283" s="445"/>
      <c r="TJZ283" s="414"/>
      <c r="TKC283" s="445"/>
      <c r="TKD283" s="414"/>
      <c r="TKG283" s="445"/>
      <c r="TKH283" s="414"/>
      <c r="TKK283" s="445"/>
      <c r="TKL283" s="414"/>
      <c r="TKO283" s="445"/>
      <c r="TKP283" s="414"/>
      <c r="TKS283" s="445"/>
      <c r="TKT283" s="414"/>
      <c r="TKW283" s="445"/>
      <c r="TKX283" s="414"/>
      <c r="TLA283" s="445"/>
      <c r="TLB283" s="414"/>
      <c r="TLE283" s="445"/>
      <c r="TLF283" s="414"/>
      <c r="TLI283" s="445"/>
      <c r="TLJ283" s="414"/>
      <c r="TLM283" s="445"/>
      <c r="TLN283" s="414"/>
      <c r="TLQ283" s="445"/>
      <c r="TLR283" s="414"/>
      <c r="TLU283" s="445"/>
      <c r="TLV283" s="414"/>
      <c r="TLY283" s="445"/>
      <c r="TLZ283" s="414"/>
      <c r="TMC283" s="445"/>
      <c r="TMD283" s="414"/>
      <c r="TMG283" s="445"/>
      <c r="TMH283" s="414"/>
      <c r="TMK283" s="445"/>
      <c r="TML283" s="414"/>
      <c r="TMO283" s="445"/>
      <c r="TMP283" s="414"/>
      <c r="TMS283" s="445"/>
      <c r="TMT283" s="414"/>
      <c r="TMW283" s="445"/>
      <c r="TMX283" s="414"/>
      <c r="TNA283" s="445"/>
      <c r="TNB283" s="414"/>
      <c r="TNE283" s="445"/>
      <c r="TNF283" s="414"/>
      <c r="TNI283" s="445"/>
      <c r="TNJ283" s="414"/>
      <c r="TNM283" s="445"/>
      <c r="TNN283" s="414"/>
      <c r="TNQ283" s="445"/>
      <c r="TNR283" s="414"/>
      <c r="TNU283" s="445"/>
      <c r="TNV283" s="414"/>
      <c r="TNY283" s="445"/>
      <c r="TNZ283" s="414"/>
      <c r="TOC283" s="445"/>
      <c r="TOD283" s="414"/>
      <c r="TOG283" s="445"/>
      <c r="TOH283" s="414"/>
      <c r="TOK283" s="445"/>
      <c r="TOL283" s="414"/>
      <c r="TOO283" s="445"/>
      <c r="TOP283" s="414"/>
      <c r="TOS283" s="445"/>
      <c r="TOT283" s="414"/>
      <c r="TOW283" s="445"/>
      <c r="TOX283" s="414"/>
      <c r="TPA283" s="445"/>
      <c r="TPB283" s="414"/>
      <c r="TPE283" s="445"/>
      <c r="TPF283" s="414"/>
      <c r="TPI283" s="445"/>
      <c r="TPJ283" s="414"/>
      <c r="TPM283" s="445"/>
      <c r="TPN283" s="414"/>
      <c r="TPQ283" s="445"/>
      <c r="TPR283" s="414"/>
      <c r="TPU283" s="445"/>
      <c r="TPV283" s="414"/>
      <c r="TPY283" s="445"/>
      <c r="TPZ283" s="414"/>
      <c r="TQC283" s="445"/>
      <c r="TQD283" s="414"/>
      <c r="TQG283" s="445"/>
      <c r="TQH283" s="414"/>
      <c r="TQK283" s="445"/>
      <c r="TQL283" s="414"/>
      <c r="TQO283" s="445"/>
      <c r="TQP283" s="414"/>
      <c r="TQS283" s="445"/>
      <c r="TQT283" s="414"/>
      <c r="TQW283" s="445"/>
      <c r="TQX283" s="414"/>
      <c r="TRA283" s="445"/>
      <c r="TRB283" s="414"/>
      <c r="TRE283" s="445"/>
      <c r="TRF283" s="414"/>
      <c r="TRI283" s="445"/>
      <c r="TRJ283" s="414"/>
      <c r="TRM283" s="445"/>
      <c r="TRN283" s="414"/>
      <c r="TRQ283" s="445"/>
      <c r="TRR283" s="414"/>
      <c r="TRU283" s="445"/>
      <c r="TRV283" s="414"/>
      <c r="TRY283" s="445"/>
      <c r="TRZ283" s="414"/>
      <c r="TSC283" s="445"/>
      <c r="TSD283" s="414"/>
      <c r="TSG283" s="445"/>
      <c r="TSH283" s="414"/>
      <c r="TSK283" s="445"/>
      <c r="TSL283" s="414"/>
      <c r="TSO283" s="445"/>
      <c r="TSP283" s="414"/>
      <c r="TSS283" s="445"/>
      <c r="TST283" s="414"/>
      <c r="TSW283" s="445"/>
      <c r="TSX283" s="414"/>
      <c r="TTA283" s="445"/>
      <c r="TTB283" s="414"/>
      <c r="TTE283" s="445"/>
      <c r="TTF283" s="414"/>
      <c r="TTI283" s="445"/>
      <c r="TTJ283" s="414"/>
      <c r="TTM283" s="445"/>
      <c r="TTN283" s="414"/>
      <c r="TTQ283" s="445"/>
      <c r="TTR283" s="414"/>
      <c r="TTU283" s="445"/>
      <c r="TTV283" s="414"/>
      <c r="TTY283" s="445"/>
      <c r="TTZ283" s="414"/>
      <c r="TUC283" s="445"/>
      <c r="TUD283" s="414"/>
      <c r="TUG283" s="445"/>
      <c r="TUH283" s="414"/>
      <c r="TUK283" s="445"/>
      <c r="TUL283" s="414"/>
      <c r="TUO283" s="445"/>
      <c r="TUP283" s="414"/>
      <c r="TUS283" s="445"/>
      <c r="TUT283" s="414"/>
      <c r="TUW283" s="445"/>
      <c r="TUX283" s="414"/>
      <c r="TVA283" s="445"/>
      <c r="TVB283" s="414"/>
      <c r="TVE283" s="445"/>
      <c r="TVF283" s="414"/>
      <c r="TVI283" s="445"/>
      <c r="TVJ283" s="414"/>
      <c r="TVM283" s="445"/>
      <c r="TVN283" s="414"/>
      <c r="TVQ283" s="445"/>
      <c r="TVR283" s="414"/>
      <c r="TVU283" s="445"/>
      <c r="TVV283" s="414"/>
      <c r="TVY283" s="445"/>
      <c r="TVZ283" s="414"/>
      <c r="TWC283" s="445"/>
      <c r="TWD283" s="414"/>
      <c r="TWG283" s="445"/>
      <c r="TWH283" s="414"/>
      <c r="TWK283" s="445"/>
      <c r="TWL283" s="414"/>
      <c r="TWO283" s="445"/>
      <c r="TWP283" s="414"/>
      <c r="TWS283" s="445"/>
      <c r="TWT283" s="414"/>
      <c r="TWW283" s="445"/>
      <c r="TWX283" s="414"/>
      <c r="TXA283" s="445"/>
      <c r="TXB283" s="414"/>
      <c r="TXE283" s="445"/>
      <c r="TXF283" s="414"/>
      <c r="TXI283" s="445"/>
      <c r="TXJ283" s="414"/>
      <c r="TXM283" s="445"/>
      <c r="TXN283" s="414"/>
      <c r="TXQ283" s="445"/>
      <c r="TXR283" s="414"/>
      <c r="TXU283" s="445"/>
      <c r="TXV283" s="414"/>
      <c r="TXY283" s="445"/>
      <c r="TXZ283" s="414"/>
      <c r="TYC283" s="445"/>
      <c r="TYD283" s="414"/>
      <c r="TYG283" s="445"/>
      <c r="TYH283" s="414"/>
      <c r="TYK283" s="445"/>
      <c r="TYL283" s="414"/>
      <c r="TYO283" s="445"/>
      <c r="TYP283" s="414"/>
      <c r="TYS283" s="445"/>
      <c r="TYT283" s="414"/>
      <c r="TYW283" s="445"/>
      <c r="TYX283" s="414"/>
      <c r="TZA283" s="445"/>
      <c r="TZB283" s="414"/>
      <c r="TZE283" s="445"/>
      <c r="TZF283" s="414"/>
      <c r="TZI283" s="445"/>
      <c r="TZJ283" s="414"/>
      <c r="TZM283" s="445"/>
      <c r="TZN283" s="414"/>
      <c r="TZQ283" s="445"/>
      <c r="TZR283" s="414"/>
      <c r="TZU283" s="445"/>
      <c r="TZV283" s="414"/>
      <c r="TZY283" s="445"/>
      <c r="TZZ283" s="414"/>
      <c r="UAC283" s="445"/>
      <c r="UAD283" s="414"/>
      <c r="UAG283" s="445"/>
      <c r="UAH283" s="414"/>
      <c r="UAK283" s="445"/>
      <c r="UAL283" s="414"/>
      <c r="UAO283" s="445"/>
      <c r="UAP283" s="414"/>
      <c r="UAS283" s="445"/>
      <c r="UAT283" s="414"/>
      <c r="UAW283" s="445"/>
      <c r="UAX283" s="414"/>
      <c r="UBA283" s="445"/>
      <c r="UBB283" s="414"/>
      <c r="UBE283" s="445"/>
      <c r="UBF283" s="414"/>
      <c r="UBI283" s="445"/>
      <c r="UBJ283" s="414"/>
      <c r="UBM283" s="445"/>
      <c r="UBN283" s="414"/>
      <c r="UBQ283" s="445"/>
      <c r="UBR283" s="414"/>
      <c r="UBU283" s="445"/>
      <c r="UBV283" s="414"/>
      <c r="UBY283" s="445"/>
      <c r="UBZ283" s="414"/>
      <c r="UCC283" s="445"/>
      <c r="UCD283" s="414"/>
      <c r="UCG283" s="445"/>
      <c r="UCH283" s="414"/>
      <c r="UCK283" s="445"/>
      <c r="UCL283" s="414"/>
      <c r="UCO283" s="445"/>
      <c r="UCP283" s="414"/>
      <c r="UCS283" s="445"/>
      <c r="UCT283" s="414"/>
      <c r="UCW283" s="445"/>
      <c r="UCX283" s="414"/>
      <c r="UDA283" s="445"/>
      <c r="UDB283" s="414"/>
      <c r="UDE283" s="445"/>
      <c r="UDF283" s="414"/>
      <c r="UDI283" s="445"/>
      <c r="UDJ283" s="414"/>
      <c r="UDM283" s="445"/>
      <c r="UDN283" s="414"/>
      <c r="UDQ283" s="445"/>
      <c r="UDR283" s="414"/>
      <c r="UDU283" s="445"/>
      <c r="UDV283" s="414"/>
      <c r="UDY283" s="445"/>
      <c r="UDZ283" s="414"/>
      <c r="UEC283" s="445"/>
      <c r="UED283" s="414"/>
      <c r="UEG283" s="445"/>
      <c r="UEH283" s="414"/>
      <c r="UEK283" s="445"/>
      <c r="UEL283" s="414"/>
      <c r="UEO283" s="445"/>
      <c r="UEP283" s="414"/>
      <c r="UES283" s="445"/>
      <c r="UET283" s="414"/>
      <c r="UEW283" s="445"/>
      <c r="UEX283" s="414"/>
      <c r="UFA283" s="445"/>
      <c r="UFB283" s="414"/>
      <c r="UFE283" s="445"/>
      <c r="UFF283" s="414"/>
      <c r="UFI283" s="445"/>
      <c r="UFJ283" s="414"/>
      <c r="UFM283" s="445"/>
      <c r="UFN283" s="414"/>
      <c r="UFQ283" s="445"/>
      <c r="UFR283" s="414"/>
      <c r="UFU283" s="445"/>
      <c r="UFV283" s="414"/>
      <c r="UFY283" s="445"/>
      <c r="UFZ283" s="414"/>
      <c r="UGC283" s="445"/>
      <c r="UGD283" s="414"/>
      <c r="UGG283" s="445"/>
      <c r="UGH283" s="414"/>
      <c r="UGK283" s="445"/>
      <c r="UGL283" s="414"/>
      <c r="UGO283" s="445"/>
      <c r="UGP283" s="414"/>
      <c r="UGS283" s="445"/>
      <c r="UGT283" s="414"/>
      <c r="UGW283" s="445"/>
      <c r="UGX283" s="414"/>
      <c r="UHA283" s="445"/>
      <c r="UHB283" s="414"/>
      <c r="UHE283" s="445"/>
      <c r="UHF283" s="414"/>
      <c r="UHI283" s="445"/>
      <c r="UHJ283" s="414"/>
      <c r="UHM283" s="445"/>
      <c r="UHN283" s="414"/>
      <c r="UHQ283" s="445"/>
      <c r="UHR283" s="414"/>
      <c r="UHU283" s="445"/>
      <c r="UHV283" s="414"/>
      <c r="UHY283" s="445"/>
      <c r="UHZ283" s="414"/>
      <c r="UIC283" s="445"/>
      <c r="UID283" s="414"/>
      <c r="UIG283" s="445"/>
      <c r="UIH283" s="414"/>
      <c r="UIK283" s="445"/>
      <c r="UIL283" s="414"/>
      <c r="UIO283" s="445"/>
      <c r="UIP283" s="414"/>
      <c r="UIS283" s="445"/>
      <c r="UIT283" s="414"/>
      <c r="UIW283" s="445"/>
      <c r="UIX283" s="414"/>
      <c r="UJA283" s="445"/>
      <c r="UJB283" s="414"/>
      <c r="UJE283" s="445"/>
      <c r="UJF283" s="414"/>
      <c r="UJI283" s="445"/>
      <c r="UJJ283" s="414"/>
      <c r="UJM283" s="445"/>
      <c r="UJN283" s="414"/>
      <c r="UJQ283" s="445"/>
      <c r="UJR283" s="414"/>
      <c r="UJU283" s="445"/>
      <c r="UJV283" s="414"/>
      <c r="UJY283" s="445"/>
      <c r="UJZ283" s="414"/>
      <c r="UKC283" s="445"/>
      <c r="UKD283" s="414"/>
      <c r="UKG283" s="445"/>
      <c r="UKH283" s="414"/>
      <c r="UKK283" s="445"/>
      <c r="UKL283" s="414"/>
      <c r="UKO283" s="445"/>
      <c r="UKP283" s="414"/>
      <c r="UKS283" s="445"/>
      <c r="UKT283" s="414"/>
      <c r="UKW283" s="445"/>
      <c r="UKX283" s="414"/>
      <c r="ULA283" s="445"/>
      <c r="ULB283" s="414"/>
      <c r="ULE283" s="445"/>
      <c r="ULF283" s="414"/>
      <c r="ULI283" s="445"/>
      <c r="ULJ283" s="414"/>
      <c r="ULM283" s="445"/>
      <c r="ULN283" s="414"/>
      <c r="ULQ283" s="445"/>
      <c r="ULR283" s="414"/>
      <c r="ULU283" s="445"/>
      <c r="ULV283" s="414"/>
      <c r="ULY283" s="445"/>
      <c r="ULZ283" s="414"/>
      <c r="UMC283" s="445"/>
      <c r="UMD283" s="414"/>
      <c r="UMG283" s="445"/>
      <c r="UMH283" s="414"/>
      <c r="UMK283" s="445"/>
      <c r="UML283" s="414"/>
      <c r="UMO283" s="445"/>
      <c r="UMP283" s="414"/>
      <c r="UMS283" s="445"/>
      <c r="UMT283" s="414"/>
      <c r="UMW283" s="445"/>
      <c r="UMX283" s="414"/>
      <c r="UNA283" s="445"/>
      <c r="UNB283" s="414"/>
      <c r="UNE283" s="445"/>
      <c r="UNF283" s="414"/>
      <c r="UNI283" s="445"/>
      <c r="UNJ283" s="414"/>
      <c r="UNM283" s="445"/>
      <c r="UNN283" s="414"/>
      <c r="UNQ283" s="445"/>
      <c r="UNR283" s="414"/>
      <c r="UNU283" s="445"/>
      <c r="UNV283" s="414"/>
      <c r="UNY283" s="445"/>
      <c r="UNZ283" s="414"/>
      <c r="UOC283" s="445"/>
      <c r="UOD283" s="414"/>
      <c r="UOG283" s="445"/>
      <c r="UOH283" s="414"/>
      <c r="UOK283" s="445"/>
      <c r="UOL283" s="414"/>
      <c r="UOO283" s="445"/>
      <c r="UOP283" s="414"/>
      <c r="UOS283" s="445"/>
      <c r="UOT283" s="414"/>
      <c r="UOW283" s="445"/>
      <c r="UOX283" s="414"/>
      <c r="UPA283" s="445"/>
      <c r="UPB283" s="414"/>
      <c r="UPE283" s="445"/>
      <c r="UPF283" s="414"/>
      <c r="UPI283" s="445"/>
      <c r="UPJ283" s="414"/>
      <c r="UPM283" s="445"/>
      <c r="UPN283" s="414"/>
      <c r="UPQ283" s="445"/>
      <c r="UPR283" s="414"/>
      <c r="UPU283" s="445"/>
      <c r="UPV283" s="414"/>
      <c r="UPY283" s="445"/>
      <c r="UPZ283" s="414"/>
      <c r="UQC283" s="445"/>
      <c r="UQD283" s="414"/>
      <c r="UQG283" s="445"/>
      <c r="UQH283" s="414"/>
      <c r="UQK283" s="445"/>
      <c r="UQL283" s="414"/>
      <c r="UQO283" s="445"/>
      <c r="UQP283" s="414"/>
      <c r="UQS283" s="445"/>
      <c r="UQT283" s="414"/>
      <c r="UQW283" s="445"/>
      <c r="UQX283" s="414"/>
      <c r="URA283" s="445"/>
      <c r="URB283" s="414"/>
      <c r="URE283" s="445"/>
      <c r="URF283" s="414"/>
      <c r="URI283" s="445"/>
      <c r="URJ283" s="414"/>
      <c r="URM283" s="445"/>
      <c r="URN283" s="414"/>
      <c r="URQ283" s="445"/>
      <c r="URR283" s="414"/>
      <c r="URU283" s="445"/>
      <c r="URV283" s="414"/>
      <c r="URY283" s="445"/>
      <c r="URZ283" s="414"/>
      <c r="USC283" s="445"/>
      <c r="USD283" s="414"/>
      <c r="USG283" s="445"/>
      <c r="USH283" s="414"/>
      <c r="USK283" s="445"/>
      <c r="USL283" s="414"/>
      <c r="USO283" s="445"/>
      <c r="USP283" s="414"/>
      <c r="USS283" s="445"/>
      <c r="UST283" s="414"/>
      <c r="USW283" s="445"/>
      <c r="USX283" s="414"/>
      <c r="UTA283" s="445"/>
      <c r="UTB283" s="414"/>
      <c r="UTE283" s="445"/>
      <c r="UTF283" s="414"/>
      <c r="UTI283" s="445"/>
      <c r="UTJ283" s="414"/>
      <c r="UTM283" s="445"/>
      <c r="UTN283" s="414"/>
      <c r="UTQ283" s="445"/>
      <c r="UTR283" s="414"/>
      <c r="UTU283" s="445"/>
      <c r="UTV283" s="414"/>
      <c r="UTY283" s="445"/>
      <c r="UTZ283" s="414"/>
      <c r="UUC283" s="445"/>
      <c r="UUD283" s="414"/>
      <c r="UUG283" s="445"/>
      <c r="UUH283" s="414"/>
      <c r="UUK283" s="445"/>
      <c r="UUL283" s="414"/>
      <c r="UUO283" s="445"/>
      <c r="UUP283" s="414"/>
      <c r="UUS283" s="445"/>
      <c r="UUT283" s="414"/>
      <c r="UUW283" s="445"/>
      <c r="UUX283" s="414"/>
      <c r="UVA283" s="445"/>
      <c r="UVB283" s="414"/>
      <c r="UVE283" s="445"/>
      <c r="UVF283" s="414"/>
      <c r="UVI283" s="445"/>
      <c r="UVJ283" s="414"/>
      <c r="UVM283" s="445"/>
      <c r="UVN283" s="414"/>
      <c r="UVQ283" s="445"/>
      <c r="UVR283" s="414"/>
      <c r="UVU283" s="445"/>
      <c r="UVV283" s="414"/>
      <c r="UVY283" s="445"/>
      <c r="UVZ283" s="414"/>
      <c r="UWC283" s="445"/>
      <c r="UWD283" s="414"/>
      <c r="UWG283" s="445"/>
      <c r="UWH283" s="414"/>
      <c r="UWK283" s="445"/>
      <c r="UWL283" s="414"/>
      <c r="UWO283" s="445"/>
      <c r="UWP283" s="414"/>
      <c r="UWS283" s="445"/>
      <c r="UWT283" s="414"/>
      <c r="UWW283" s="445"/>
      <c r="UWX283" s="414"/>
      <c r="UXA283" s="445"/>
      <c r="UXB283" s="414"/>
      <c r="UXE283" s="445"/>
      <c r="UXF283" s="414"/>
      <c r="UXI283" s="445"/>
      <c r="UXJ283" s="414"/>
      <c r="UXM283" s="445"/>
      <c r="UXN283" s="414"/>
      <c r="UXQ283" s="445"/>
      <c r="UXR283" s="414"/>
      <c r="UXU283" s="445"/>
      <c r="UXV283" s="414"/>
      <c r="UXY283" s="445"/>
      <c r="UXZ283" s="414"/>
      <c r="UYC283" s="445"/>
      <c r="UYD283" s="414"/>
      <c r="UYG283" s="445"/>
      <c r="UYH283" s="414"/>
      <c r="UYK283" s="445"/>
      <c r="UYL283" s="414"/>
      <c r="UYO283" s="445"/>
      <c r="UYP283" s="414"/>
      <c r="UYS283" s="445"/>
      <c r="UYT283" s="414"/>
      <c r="UYW283" s="445"/>
      <c r="UYX283" s="414"/>
      <c r="UZA283" s="445"/>
      <c r="UZB283" s="414"/>
      <c r="UZE283" s="445"/>
      <c r="UZF283" s="414"/>
      <c r="UZI283" s="445"/>
      <c r="UZJ283" s="414"/>
      <c r="UZM283" s="445"/>
      <c r="UZN283" s="414"/>
      <c r="UZQ283" s="445"/>
      <c r="UZR283" s="414"/>
      <c r="UZU283" s="445"/>
      <c r="UZV283" s="414"/>
      <c r="UZY283" s="445"/>
      <c r="UZZ283" s="414"/>
      <c r="VAC283" s="445"/>
      <c r="VAD283" s="414"/>
      <c r="VAG283" s="445"/>
      <c r="VAH283" s="414"/>
      <c r="VAK283" s="445"/>
      <c r="VAL283" s="414"/>
      <c r="VAO283" s="445"/>
      <c r="VAP283" s="414"/>
      <c r="VAS283" s="445"/>
      <c r="VAT283" s="414"/>
      <c r="VAW283" s="445"/>
      <c r="VAX283" s="414"/>
      <c r="VBA283" s="445"/>
      <c r="VBB283" s="414"/>
      <c r="VBE283" s="445"/>
      <c r="VBF283" s="414"/>
      <c r="VBI283" s="445"/>
      <c r="VBJ283" s="414"/>
      <c r="VBM283" s="445"/>
      <c r="VBN283" s="414"/>
      <c r="VBQ283" s="445"/>
      <c r="VBR283" s="414"/>
      <c r="VBU283" s="445"/>
      <c r="VBV283" s="414"/>
      <c r="VBY283" s="445"/>
      <c r="VBZ283" s="414"/>
      <c r="VCC283" s="445"/>
      <c r="VCD283" s="414"/>
      <c r="VCG283" s="445"/>
      <c r="VCH283" s="414"/>
      <c r="VCK283" s="445"/>
      <c r="VCL283" s="414"/>
      <c r="VCO283" s="445"/>
      <c r="VCP283" s="414"/>
      <c r="VCS283" s="445"/>
      <c r="VCT283" s="414"/>
      <c r="VCW283" s="445"/>
      <c r="VCX283" s="414"/>
      <c r="VDA283" s="445"/>
      <c r="VDB283" s="414"/>
      <c r="VDE283" s="445"/>
      <c r="VDF283" s="414"/>
      <c r="VDI283" s="445"/>
      <c r="VDJ283" s="414"/>
      <c r="VDM283" s="445"/>
      <c r="VDN283" s="414"/>
      <c r="VDQ283" s="445"/>
      <c r="VDR283" s="414"/>
      <c r="VDU283" s="445"/>
      <c r="VDV283" s="414"/>
      <c r="VDY283" s="445"/>
      <c r="VDZ283" s="414"/>
      <c r="VEC283" s="445"/>
      <c r="VED283" s="414"/>
      <c r="VEG283" s="445"/>
      <c r="VEH283" s="414"/>
      <c r="VEK283" s="445"/>
      <c r="VEL283" s="414"/>
      <c r="VEO283" s="445"/>
      <c r="VEP283" s="414"/>
      <c r="VES283" s="445"/>
      <c r="VET283" s="414"/>
      <c r="VEW283" s="445"/>
      <c r="VEX283" s="414"/>
      <c r="VFA283" s="445"/>
      <c r="VFB283" s="414"/>
      <c r="VFE283" s="445"/>
      <c r="VFF283" s="414"/>
      <c r="VFI283" s="445"/>
      <c r="VFJ283" s="414"/>
      <c r="VFM283" s="445"/>
      <c r="VFN283" s="414"/>
      <c r="VFQ283" s="445"/>
      <c r="VFR283" s="414"/>
      <c r="VFU283" s="445"/>
      <c r="VFV283" s="414"/>
      <c r="VFY283" s="445"/>
      <c r="VFZ283" s="414"/>
      <c r="VGC283" s="445"/>
      <c r="VGD283" s="414"/>
      <c r="VGG283" s="445"/>
      <c r="VGH283" s="414"/>
      <c r="VGK283" s="445"/>
      <c r="VGL283" s="414"/>
      <c r="VGO283" s="445"/>
      <c r="VGP283" s="414"/>
      <c r="VGS283" s="445"/>
      <c r="VGT283" s="414"/>
      <c r="VGW283" s="445"/>
      <c r="VGX283" s="414"/>
      <c r="VHA283" s="445"/>
      <c r="VHB283" s="414"/>
      <c r="VHE283" s="445"/>
      <c r="VHF283" s="414"/>
      <c r="VHI283" s="445"/>
      <c r="VHJ283" s="414"/>
      <c r="VHM283" s="445"/>
      <c r="VHN283" s="414"/>
      <c r="VHQ283" s="445"/>
      <c r="VHR283" s="414"/>
      <c r="VHU283" s="445"/>
      <c r="VHV283" s="414"/>
      <c r="VHY283" s="445"/>
      <c r="VHZ283" s="414"/>
      <c r="VIC283" s="445"/>
      <c r="VID283" s="414"/>
      <c r="VIG283" s="445"/>
      <c r="VIH283" s="414"/>
      <c r="VIK283" s="445"/>
      <c r="VIL283" s="414"/>
      <c r="VIO283" s="445"/>
      <c r="VIP283" s="414"/>
      <c r="VIS283" s="445"/>
      <c r="VIT283" s="414"/>
      <c r="VIW283" s="445"/>
      <c r="VIX283" s="414"/>
      <c r="VJA283" s="445"/>
      <c r="VJB283" s="414"/>
      <c r="VJE283" s="445"/>
      <c r="VJF283" s="414"/>
      <c r="VJI283" s="445"/>
      <c r="VJJ283" s="414"/>
      <c r="VJM283" s="445"/>
      <c r="VJN283" s="414"/>
      <c r="VJQ283" s="445"/>
      <c r="VJR283" s="414"/>
      <c r="VJU283" s="445"/>
      <c r="VJV283" s="414"/>
      <c r="VJY283" s="445"/>
      <c r="VJZ283" s="414"/>
      <c r="VKC283" s="445"/>
      <c r="VKD283" s="414"/>
      <c r="VKG283" s="445"/>
      <c r="VKH283" s="414"/>
      <c r="VKK283" s="445"/>
      <c r="VKL283" s="414"/>
      <c r="VKO283" s="445"/>
      <c r="VKP283" s="414"/>
      <c r="VKS283" s="445"/>
      <c r="VKT283" s="414"/>
      <c r="VKW283" s="445"/>
      <c r="VKX283" s="414"/>
      <c r="VLA283" s="445"/>
      <c r="VLB283" s="414"/>
      <c r="VLE283" s="445"/>
      <c r="VLF283" s="414"/>
      <c r="VLI283" s="445"/>
      <c r="VLJ283" s="414"/>
      <c r="VLM283" s="445"/>
      <c r="VLN283" s="414"/>
      <c r="VLQ283" s="445"/>
      <c r="VLR283" s="414"/>
      <c r="VLU283" s="445"/>
      <c r="VLV283" s="414"/>
      <c r="VLY283" s="445"/>
      <c r="VLZ283" s="414"/>
      <c r="VMC283" s="445"/>
      <c r="VMD283" s="414"/>
      <c r="VMG283" s="445"/>
      <c r="VMH283" s="414"/>
      <c r="VMK283" s="445"/>
      <c r="VML283" s="414"/>
      <c r="VMO283" s="445"/>
      <c r="VMP283" s="414"/>
      <c r="VMS283" s="445"/>
      <c r="VMT283" s="414"/>
      <c r="VMW283" s="445"/>
      <c r="VMX283" s="414"/>
      <c r="VNA283" s="445"/>
      <c r="VNB283" s="414"/>
      <c r="VNE283" s="445"/>
      <c r="VNF283" s="414"/>
      <c r="VNI283" s="445"/>
      <c r="VNJ283" s="414"/>
      <c r="VNM283" s="445"/>
      <c r="VNN283" s="414"/>
      <c r="VNQ283" s="445"/>
      <c r="VNR283" s="414"/>
      <c r="VNU283" s="445"/>
      <c r="VNV283" s="414"/>
      <c r="VNY283" s="445"/>
      <c r="VNZ283" s="414"/>
      <c r="VOC283" s="445"/>
      <c r="VOD283" s="414"/>
      <c r="VOG283" s="445"/>
      <c r="VOH283" s="414"/>
      <c r="VOK283" s="445"/>
      <c r="VOL283" s="414"/>
      <c r="VOO283" s="445"/>
      <c r="VOP283" s="414"/>
      <c r="VOS283" s="445"/>
      <c r="VOT283" s="414"/>
      <c r="VOW283" s="445"/>
      <c r="VOX283" s="414"/>
      <c r="VPA283" s="445"/>
      <c r="VPB283" s="414"/>
      <c r="VPE283" s="445"/>
      <c r="VPF283" s="414"/>
      <c r="VPI283" s="445"/>
      <c r="VPJ283" s="414"/>
      <c r="VPM283" s="445"/>
      <c r="VPN283" s="414"/>
      <c r="VPQ283" s="445"/>
      <c r="VPR283" s="414"/>
      <c r="VPU283" s="445"/>
      <c r="VPV283" s="414"/>
      <c r="VPY283" s="445"/>
      <c r="VPZ283" s="414"/>
      <c r="VQC283" s="445"/>
      <c r="VQD283" s="414"/>
      <c r="VQG283" s="445"/>
      <c r="VQH283" s="414"/>
      <c r="VQK283" s="445"/>
      <c r="VQL283" s="414"/>
      <c r="VQO283" s="445"/>
      <c r="VQP283" s="414"/>
      <c r="VQS283" s="445"/>
      <c r="VQT283" s="414"/>
      <c r="VQW283" s="445"/>
      <c r="VQX283" s="414"/>
      <c r="VRA283" s="445"/>
      <c r="VRB283" s="414"/>
      <c r="VRE283" s="445"/>
      <c r="VRF283" s="414"/>
      <c r="VRI283" s="445"/>
      <c r="VRJ283" s="414"/>
      <c r="VRM283" s="445"/>
      <c r="VRN283" s="414"/>
      <c r="VRQ283" s="445"/>
      <c r="VRR283" s="414"/>
      <c r="VRU283" s="445"/>
      <c r="VRV283" s="414"/>
      <c r="VRY283" s="445"/>
      <c r="VRZ283" s="414"/>
      <c r="VSC283" s="445"/>
      <c r="VSD283" s="414"/>
      <c r="VSG283" s="445"/>
      <c r="VSH283" s="414"/>
      <c r="VSK283" s="445"/>
      <c r="VSL283" s="414"/>
      <c r="VSO283" s="445"/>
      <c r="VSP283" s="414"/>
      <c r="VSS283" s="445"/>
      <c r="VST283" s="414"/>
      <c r="VSW283" s="445"/>
      <c r="VSX283" s="414"/>
      <c r="VTA283" s="445"/>
      <c r="VTB283" s="414"/>
      <c r="VTE283" s="445"/>
      <c r="VTF283" s="414"/>
      <c r="VTI283" s="445"/>
      <c r="VTJ283" s="414"/>
      <c r="VTM283" s="445"/>
      <c r="VTN283" s="414"/>
      <c r="VTQ283" s="445"/>
      <c r="VTR283" s="414"/>
      <c r="VTU283" s="445"/>
      <c r="VTV283" s="414"/>
      <c r="VTY283" s="445"/>
      <c r="VTZ283" s="414"/>
      <c r="VUC283" s="445"/>
      <c r="VUD283" s="414"/>
      <c r="VUG283" s="445"/>
      <c r="VUH283" s="414"/>
      <c r="VUK283" s="445"/>
      <c r="VUL283" s="414"/>
      <c r="VUO283" s="445"/>
      <c r="VUP283" s="414"/>
      <c r="VUS283" s="445"/>
      <c r="VUT283" s="414"/>
      <c r="VUW283" s="445"/>
      <c r="VUX283" s="414"/>
      <c r="VVA283" s="445"/>
      <c r="VVB283" s="414"/>
      <c r="VVE283" s="445"/>
      <c r="VVF283" s="414"/>
      <c r="VVI283" s="445"/>
      <c r="VVJ283" s="414"/>
      <c r="VVM283" s="445"/>
      <c r="VVN283" s="414"/>
      <c r="VVQ283" s="445"/>
      <c r="VVR283" s="414"/>
      <c r="VVU283" s="445"/>
      <c r="VVV283" s="414"/>
      <c r="VVY283" s="445"/>
      <c r="VVZ283" s="414"/>
      <c r="VWC283" s="445"/>
      <c r="VWD283" s="414"/>
      <c r="VWG283" s="445"/>
      <c r="VWH283" s="414"/>
      <c r="VWK283" s="445"/>
      <c r="VWL283" s="414"/>
      <c r="VWO283" s="445"/>
      <c r="VWP283" s="414"/>
      <c r="VWS283" s="445"/>
      <c r="VWT283" s="414"/>
      <c r="VWW283" s="445"/>
      <c r="VWX283" s="414"/>
      <c r="VXA283" s="445"/>
      <c r="VXB283" s="414"/>
      <c r="VXE283" s="445"/>
      <c r="VXF283" s="414"/>
      <c r="VXI283" s="445"/>
      <c r="VXJ283" s="414"/>
      <c r="VXM283" s="445"/>
      <c r="VXN283" s="414"/>
      <c r="VXQ283" s="445"/>
      <c r="VXR283" s="414"/>
      <c r="VXU283" s="445"/>
      <c r="VXV283" s="414"/>
      <c r="VXY283" s="445"/>
      <c r="VXZ283" s="414"/>
      <c r="VYC283" s="445"/>
      <c r="VYD283" s="414"/>
      <c r="VYG283" s="445"/>
      <c r="VYH283" s="414"/>
      <c r="VYK283" s="445"/>
      <c r="VYL283" s="414"/>
      <c r="VYO283" s="445"/>
      <c r="VYP283" s="414"/>
      <c r="VYS283" s="445"/>
      <c r="VYT283" s="414"/>
      <c r="VYW283" s="445"/>
      <c r="VYX283" s="414"/>
      <c r="VZA283" s="445"/>
      <c r="VZB283" s="414"/>
      <c r="VZE283" s="445"/>
      <c r="VZF283" s="414"/>
      <c r="VZI283" s="445"/>
      <c r="VZJ283" s="414"/>
      <c r="VZM283" s="445"/>
      <c r="VZN283" s="414"/>
      <c r="VZQ283" s="445"/>
      <c r="VZR283" s="414"/>
      <c r="VZU283" s="445"/>
      <c r="VZV283" s="414"/>
      <c r="VZY283" s="445"/>
      <c r="VZZ283" s="414"/>
      <c r="WAC283" s="445"/>
      <c r="WAD283" s="414"/>
      <c r="WAG283" s="445"/>
      <c r="WAH283" s="414"/>
      <c r="WAK283" s="445"/>
      <c r="WAL283" s="414"/>
      <c r="WAO283" s="445"/>
      <c r="WAP283" s="414"/>
      <c r="WAS283" s="445"/>
      <c r="WAT283" s="414"/>
      <c r="WAW283" s="445"/>
      <c r="WAX283" s="414"/>
      <c r="WBA283" s="445"/>
      <c r="WBB283" s="414"/>
      <c r="WBE283" s="445"/>
      <c r="WBF283" s="414"/>
      <c r="WBI283" s="445"/>
      <c r="WBJ283" s="414"/>
      <c r="WBM283" s="445"/>
      <c r="WBN283" s="414"/>
      <c r="WBQ283" s="445"/>
      <c r="WBR283" s="414"/>
      <c r="WBU283" s="445"/>
      <c r="WBV283" s="414"/>
      <c r="WBY283" s="445"/>
      <c r="WBZ283" s="414"/>
      <c r="WCC283" s="445"/>
      <c r="WCD283" s="414"/>
      <c r="WCG283" s="445"/>
      <c r="WCH283" s="414"/>
      <c r="WCK283" s="445"/>
      <c r="WCL283" s="414"/>
      <c r="WCO283" s="445"/>
      <c r="WCP283" s="414"/>
      <c r="WCS283" s="445"/>
      <c r="WCT283" s="414"/>
      <c r="WCW283" s="445"/>
      <c r="WCX283" s="414"/>
      <c r="WDA283" s="445"/>
      <c r="WDB283" s="414"/>
      <c r="WDE283" s="445"/>
      <c r="WDF283" s="414"/>
      <c r="WDI283" s="445"/>
      <c r="WDJ283" s="414"/>
      <c r="WDM283" s="445"/>
      <c r="WDN283" s="414"/>
      <c r="WDQ283" s="445"/>
      <c r="WDR283" s="414"/>
      <c r="WDU283" s="445"/>
      <c r="WDV283" s="414"/>
      <c r="WDY283" s="445"/>
      <c r="WDZ283" s="414"/>
      <c r="WEC283" s="445"/>
      <c r="WED283" s="414"/>
      <c r="WEG283" s="445"/>
      <c r="WEH283" s="414"/>
      <c r="WEK283" s="445"/>
      <c r="WEL283" s="414"/>
      <c r="WEO283" s="445"/>
      <c r="WEP283" s="414"/>
      <c r="WES283" s="445"/>
      <c r="WET283" s="414"/>
      <c r="WEW283" s="445"/>
      <c r="WEX283" s="414"/>
      <c r="WFA283" s="445"/>
      <c r="WFB283" s="414"/>
      <c r="WFE283" s="445"/>
      <c r="WFF283" s="414"/>
      <c r="WFI283" s="445"/>
      <c r="WFJ283" s="414"/>
      <c r="WFM283" s="445"/>
      <c r="WFN283" s="414"/>
      <c r="WFQ283" s="445"/>
      <c r="WFR283" s="414"/>
      <c r="WFU283" s="445"/>
      <c r="WFV283" s="414"/>
      <c r="WFY283" s="445"/>
      <c r="WFZ283" s="414"/>
      <c r="WGC283" s="445"/>
      <c r="WGD283" s="414"/>
      <c r="WGG283" s="445"/>
      <c r="WGH283" s="414"/>
      <c r="WGK283" s="445"/>
      <c r="WGL283" s="414"/>
      <c r="WGO283" s="445"/>
      <c r="WGP283" s="414"/>
      <c r="WGS283" s="445"/>
      <c r="WGT283" s="414"/>
      <c r="WGW283" s="445"/>
      <c r="WGX283" s="414"/>
      <c r="WHA283" s="445"/>
      <c r="WHB283" s="414"/>
      <c r="WHE283" s="445"/>
      <c r="WHF283" s="414"/>
      <c r="WHI283" s="445"/>
      <c r="WHJ283" s="414"/>
      <c r="WHM283" s="445"/>
      <c r="WHN283" s="414"/>
      <c r="WHQ283" s="445"/>
      <c r="WHR283" s="414"/>
      <c r="WHU283" s="445"/>
      <c r="WHV283" s="414"/>
      <c r="WHY283" s="445"/>
      <c r="WHZ283" s="414"/>
      <c r="WIC283" s="445"/>
      <c r="WID283" s="414"/>
      <c r="WIG283" s="445"/>
      <c r="WIH283" s="414"/>
      <c r="WIK283" s="445"/>
      <c r="WIL283" s="414"/>
      <c r="WIO283" s="445"/>
      <c r="WIP283" s="414"/>
      <c r="WIS283" s="445"/>
      <c r="WIT283" s="414"/>
      <c r="WIW283" s="445"/>
      <c r="WIX283" s="414"/>
      <c r="WJA283" s="445"/>
      <c r="WJB283" s="414"/>
      <c r="WJE283" s="445"/>
      <c r="WJF283" s="414"/>
      <c r="WJI283" s="445"/>
      <c r="WJJ283" s="414"/>
      <c r="WJM283" s="445"/>
      <c r="WJN283" s="414"/>
      <c r="WJQ283" s="445"/>
      <c r="WJR283" s="414"/>
      <c r="WJU283" s="445"/>
      <c r="WJV283" s="414"/>
      <c r="WJY283" s="445"/>
      <c r="WJZ283" s="414"/>
      <c r="WKC283" s="445"/>
      <c r="WKD283" s="414"/>
      <c r="WKG283" s="445"/>
      <c r="WKH283" s="414"/>
      <c r="WKK283" s="445"/>
      <c r="WKL283" s="414"/>
      <c r="WKO283" s="445"/>
      <c r="WKP283" s="414"/>
      <c r="WKS283" s="445"/>
      <c r="WKT283" s="414"/>
      <c r="WKW283" s="445"/>
      <c r="WKX283" s="414"/>
      <c r="WLA283" s="445"/>
      <c r="WLB283" s="414"/>
      <c r="WLE283" s="445"/>
      <c r="WLF283" s="414"/>
      <c r="WLI283" s="445"/>
      <c r="WLJ283" s="414"/>
      <c r="WLM283" s="445"/>
      <c r="WLN283" s="414"/>
      <c r="WLQ283" s="445"/>
      <c r="WLR283" s="414"/>
      <c r="WLU283" s="445"/>
      <c r="WLV283" s="414"/>
      <c r="WLY283" s="445"/>
      <c r="WLZ283" s="414"/>
      <c r="WMC283" s="445"/>
      <c r="WMD283" s="414"/>
      <c r="WMG283" s="445"/>
      <c r="WMH283" s="414"/>
      <c r="WMK283" s="445"/>
      <c r="WML283" s="414"/>
      <c r="WMO283" s="445"/>
      <c r="WMP283" s="414"/>
      <c r="WMS283" s="445"/>
      <c r="WMT283" s="414"/>
      <c r="WMW283" s="445"/>
      <c r="WMX283" s="414"/>
      <c r="WNA283" s="445"/>
      <c r="WNB283" s="414"/>
      <c r="WNE283" s="445"/>
      <c r="WNF283" s="414"/>
      <c r="WNI283" s="445"/>
      <c r="WNJ283" s="414"/>
      <c r="WNM283" s="445"/>
      <c r="WNN283" s="414"/>
      <c r="WNQ283" s="445"/>
      <c r="WNR283" s="414"/>
      <c r="WNU283" s="445"/>
      <c r="WNV283" s="414"/>
      <c r="WNY283" s="445"/>
      <c r="WNZ283" s="414"/>
      <c r="WOC283" s="445"/>
      <c r="WOD283" s="414"/>
      <c r="WOG283" s="445"/>
      <c r="WOH283" s="414"/>
      <c r="WOK283" s="445"/>
      <c r="WOL283" s="414"/>
      <c r="WOO283" s="445"/>
      <c r="WOP283" s="414"/>
      <c r="WOS283" s="445"/>
      <c r="WOT283" s="414"/>
      <c r="WOW283" s="445"/>
      <c r="WOX283" s="414"/>
      <c r="WPA283" s="445"/>
      <c r="WPB283" s="414"/>
      <c r="WPE283" s="445"/>
      <c r="WPF283" s="414"/>
      <c r="WPI283" s="445"/>
      <c r="WPJ283" s="414"/>
      <c r="WPM283" s="445"/>
      <c r="WPN283" s="414"/>
      <c r="WPQ283" s="445"/>
      <c r="WPR283" s="414"/>
      <c r="WPU283" s="445"/>
      <c r="WPV283" s="414"/>
      <c r="WPY283" s="445"/>
      <c r="WPZ283" s="414"/>
      <c r="WQC283" s="445"/>
      <c r="WQD283" s="414"/>
      <c r="WQG283" s="445"/>
      <c r="WQH283" s="414"/>
      <c r="WQK283" s="445"/>
      <c r="WQL283" s="414"/>
      <c r="WQO283" s="445"/>
      <c r="WQP283" s="414"/>
      <c r="WQS283" s="445"/>
      <c r="WQT283" s="414"/>
      <c r="WQW283" s="445"/>
      <c r="WQX283" s="414"/>
      <c r="WRA283" s="445"/>
      <c r="WRB283" s="414"/>
      <c r="WRE283" s="445"/>
      <c r="WRF283" s="414"/>
      <c r="WRI283" s="445"/>
      <c r="WRJ283" s="414"/>
      <c r="WRM283" s="445"/>
      <c r="WRN283" s="414"/>
      <c r="WRQ283" s="445"/>
      <c r="WRR283" s="414"/>
      <c r="WRU283" s="445"/>
      <c r="WRV283" s="414"/>
      <c r="WRY283" s="445"/>
      <c r="WRZ283" s="414"/>
      <c r="WSC283" s="445"/>
      <c r="WSD283" s="414"/>
      <c r="WSG283" s="445"/>
      <c r="WSH283" s="414"/>
      <c r="WSK283" s="445"/>
      <c r="WSL283" s="414"/>
      <c r="WSO283" s="445"/>
      <c r="WSP283" s="414"/>
      <c r="WSS283" s="445"/>
      <c r="WST283" s="414"/>
      <c r="WSW283" s="445"/>
      <c r="WSX283" s="414"/>
      <c r="WTA283" s="445"/>
      <c r="WTB283" s="414"/>
      <c r="WTE283" s="445"/>
      <c r="WTF283" s="414"/>
      <c r="WTI283" s="445"/>
      <c r="WTJ283" s="414"/>
      <c r="WTM283" s="445"/>
      <c r="WTN283" s="414"/>
      <c r="WTQ283" s="445"/>
      <c r="WTR283" s="414"/>
      <c r="WTU283" s="445"/>
      <c r="WTV283" s="414"/>
      <c r="WTY283" s="445"/>
      <c r="WTZ283" s="414"/>
      <c r="WUC283" s="445"/>
      <c r="WUD283" s="414"/>
      <c r="WUG283" s="445"/>
      <c r="WUH283" s="414"/>
      <c r="WUK283" s="445"/>
      <c r="WUL283" s="414"/>
      <c r="WUO283" s="445"/>
      <c r="WUP283" s="414"/>
      <c r="WUS283" s="445"/>
      <c r="WUT283" s="414"/>
      <c r="WUW283" s="445"/>
      <c r="WUX283" s="414"/>
      <c r="WVA283" s="445"/>
      <c r="WVB283" s="414"/>
      <c r="WVE283" s="445"/>
      <c r="WVF283" s="414"/>
      <c r="WVI283" s="445"/>
      <c r="WVJ283" s="414"/>
      <c r="WVM283" s="445"/>
      <c r="WVN283" s="414"/>
      <c r="WVQ283" s="445"/>
      <c r="WVR283" s="414"/>
      <c r="WVU283" s="445"/>
      <c r="WVV283" s="414"/>
      <c r="WVY283" s="445"/>
      <c r="WVZ283" s="414"/>
      <c r="WWC283" s="445"/>
      <c r="WWD283" s="414"/>
      <c r="WWG283" s="445"/>
      <c r="WWH283" s="414"/>
      <c r="WWK283" s="445"/>
      <c r="WWL283" s="414"/>
      <c r="WWO283" s="445"/>
      <c r="WWP283" s="414"/>
      <c r="WWS283" s="445"/>
      <c r="WWT283" s="414"/>
      <c r="WWW283" s="445"/>
      <c r="WWX283" s="414"/>
      <c r="WXA283" s="445"/>
      <c r="WXB283" s="414"/>
      <c r="WXE283" s="445"/>
      <c r="WXF283" s="414"/>
      <c r="WXI283" s="445"/>
      <c r="WXJ283" s="414"/>
      <c r="WXM283" s="445"/>
      <c r="WXN283" s="414"/>
      <c r="WXQ283" s="445"/>
      <c r="WXR283" s="414"/>
      <c r="WXU283" s="445"/>
      <c r="WXV283" s="414"/>
      <c r="WXY283" s="445"/>
      <c r="WXZ283" s="414"/>
      <c r="WYC283" s="445"/>
      <c r="WYD283" s="414"/>
      <c r="WYG283" s="445"/>
      <c r="WYH283" s="414"/>
      <c r="WYK283" s="445"/>
      <c r="WYL283" s="414"/>
      <c r="WYO283" s="445"/>
      <c r="WYP283" s="414"/>
      <c r="WYS283" s="445"/>
      <c r="WYT283" s="414"/>
      <c r="WYW283" s="445"/>
      <c r="WYX283" s="414"/>
      <c r="WZA283" s="445"/>
      <c r="WZB283" s="414"/>
      <c r="WZE283" s="445"/>
      <c r="WZF283" s="414"/>
      <c r="WZI283" s="445"/>
      <c r="WZJ283" s="414"/>
      <c r="WZM283" s="445"/>
      <c r="WZN283" s="414"/>
      <c r="WZQ283" s="445"/>
      <c r="WZR283" s="414"/>
      <c r="WZU283" s="445"/>
      <c r="WZV283" s="414"/>
      <c r="WZY283" s="445"/>
      <c r="WZZ283" s="414"/>
      <c r="XAC283" s="445"/>
      <c r="XAD283" s="414"/>
      <c r="XAG283" s="445"/>
      <c r="XAH283" s="414"/>
      <c r="XAK283" s="445"/>
      <c r="XAL283" s="414"/>
      <c r="XAO283" s="445"/>
      <c r="XAP283" s="414"/>
      <c r="XAS283" s="445"/>
      <c r="XAT283" s="414"/>
      <c r="XAW283" s="445"/>
      <c r="XAX283" s="414"/>
      <c r="XBA283" s="445"/>
      <c r="XBB283" s="414"/>
      <c r="XBE283" s="445"/>
      <c r="XBF283" s="414"/>
      <c r="XBI283" s="445"/>
      <c r="XBJ283" s="414"/>
      <c r="XBM283" s="445"/>
      <c r="XBN283" s="414"/>
      <c r="XBQ283" s="445"/>
      <c r="XBR283" s="414"/>
      <c r="XBU283" s="445"/>
      <c r="XBV283" s="414"/>
      <c r="XBY283" s="445"/>
      <c r="XBZ283" s="414"/>
      <c r="XCC283" s="445"/>
      <c r="XCD283" s="414"/>
      <c r="XCG283" s="445"/>
      <c r="XCH283" s="414"/>
      <c r="XCK283" s="445"/>
      <c r="XCL283" s="414"/>
      <c r="XCO283" s="445"/>
      <c r="XCP283" s="414"/>
      <c r="XCS283" s="445"/>
      <c r="XCT283" s="414"/>
      <c r="XCW283" s="445"/>
      <c r="XCX283" s="414"/>
      <c r="XDA283" s="445"/>
      <c r="XDB283" s="414"/>
      <c r="XDE283" s="445"/>
      <c r="XDF283" s="414"/>
      <c r="XDI283" s="445"/>
      <c r="XDJ283" s="414"/>
      <c r="XDM283" s="445"/>
      <c r="XDN283" s="414"/>
      <c r="XDQ283" s="445"/>
      <c r="XDR283" s="414"/>
      <c r="XDU283" s="445"/>
      <c r="XDV283" s="414"/>
      <c r="XDY283" s="445"/>
      <c r="XDZ283" s="414"/>
      <c r="XEC283" s="445"/>
      <c r="XED283" s="414"/>
      <c r="XEG283" s="445"/>
      <c r="XEH283" s="414"/>
      <c r="XEK283" s="445"/>
      <c r="XEL283" s="414"/>
      <c r="XEO283" s="445"/>
      <c r="XEP283" s="414"/>
      <c r="XES283" s="445"/>
      <c r="XET283" s="414"/>
      <c r="XEW283" s="445"/>
      <c r="XEX283" s="414"/>
      <c r="XFA283" s="445"/>
    </row>
    <row r="284" spans="1:1022 1025:2046 2049:3070 3073:4094 4097:5118 5121:6142 6145:7166 7169:8190 8193:9214 9217:10238 10241:11262 11265:12286 12289:13310 13313:14334 14337:15358 15361:16381">
      <c r="B284" s="443">
        <v>94</v>
      </c>
      <c r="C284" s="447"/>
      <c r="D284" s="447" t="s">
        <v>2135</v>
      </c>
      <c r="E284" s="447" t="s">
        <v>2001</v>
      </c>
      <c r="F284" s="444" t="s">
        <v>133</v>
      </c>
      <c r="G284" s="416"/>
      <c r="H284" s="687"/>
      <c r="I284" s="444"/>
    </row>
    <row r="285" spans="1:1022 1025:2046 2049:3070 3073:4094 4097:5118 5121:6142 6145:7166 7169:8190 8193:9214 9217:10238 10241:11262 11265:12286 12289:13310 13313:14334 14337:15358 15361:16381">
      <c r="B285" s="443">
        <v>95</v>
      </c>
      <c r="C285" s="447"/>
      <c r="D285" s="614" t="s">
        <v>2147</v>
      </c>
      <c r="E285" s="447" t="s">
        <v>2002</v>
      </c>
      <c r="F285" s="444" t="s">
        <v>133</v>
      </c>
      <c r="G285" s="621"/>
      <c r="H285" s="687"/>
      <c r="I285" s="636"/>
    </row>
    <row r="286" spans="1:1022 1025:2046 2049:3070 3073:4094 4097:5118 5121:6142 6145:7166 7169:8190 8193:9214 9217:10238 10241:11262 11265:12286 12289:13310 13313:14334 14337:15358 15361:16381">
      <c r="B286" s="443">
        <v>96</v>
      </c>
      <c r="C286" s="447"/>
      <c r="D286" s="614" t="s">
        <v>2078</v>
      </c>
      <c r="E286" s="447" t="s">
        <v>2003</v>
      </c>
      <c r="F286" s="444" t="s">
        <v>133</v>
      </c>
      <c r="G286" s="621"/>
      <c r="H286" s="687">
        <v>35819</v>
      </c>
      <c r="I286" s="432" t="s">
        <v>2004</v>
      </c>
    </row>
    <row r="287" spans="1:1022 1025:2046 2049:3070 3073:4094 4097:5118 5121:6142 6145:7166 7169:8190 8193:9214 9217:10238 10241:11262 11265:12286 12289:13310 13313:14334 14337:15358 15361:16381">
      <c r="B287" s="443">
        <v>97</v>
      </c>
      <c r="C287" s="447"/>
      <c r="D287" s="614" t="s">
        <v>2079</v>
      </c>
      <c r="E287" s="447" t="s">
        <v>2005</v>
      </c>
      <c r="F287" s="444" t="s">
        <v>133</v>
      </c>
      <c r="G287" s="621"/>
      <c r="H287" s="687">
        <v>33178</v>
      </c>
      <c r="I287" s="626" t="s">
        <v>2006</v>
      </c>
    </row>
    <row r="288" spans="1:1022 1025:2046 2049:3070 3073:4094 4097:5118 5121:6142 6145:7166 7169:8190 8193:9214 9217:10238 10241:11262 11265:12286 12289:13310 13313:14334 14337:15358 15361:16381">
      <c r="B288" s="443">
        <v>98</v>
      </c>
      <c r="C288" s="447"/>
      <c r="D288" s="614" t="s">
        <v>2133</v>
      </c>
      <c r="E288" s="447" t="s">
        <v>2007</v>
      </c>
      <c r="F288" s="444" t="s">
        <v>133</v>
      </c>
      <c r="G288" s="621"/>
      <c r="H288" s="687">
        <v>35574</v>
      </c>
      <c r="I288" s="626" t="s">
        <v>2008</v>
      </c>
    </row>
    <row r="289" spans="2:47">
      <c r="B289" s="443">
        <v>99</v>
      </c>
      <c r="C289" s="447"/>
      <c r="D289" s="614" t="s">
        <v>2070</v>
      </c>
      <c r="E289" s="447" t="s">
        <v>2010</v>
      </c>
      <c r="F289" s="444" t="s">
        <v>133</v>
      </c>
      <c r="G289" s="621"/>
      <c r="H289" s="687">
        <v>35924</v>
      </c>
      <c r="I289" s="626" t="s">
        <v>2011</v>
      </c>
    </row>
    <row r="290" spans="2:47">
      <c r="B290" s="443">
        <v>100</v>
      </c>
      <c r="C290" s="447"/>
      <c r="D290" s="614" t="s">
        <v>2060</v>
      </c>
      <c r="E290" s="447" t="s">
        <v>2014</v>
      </c>
      <c r="F290" s="616" t="s">
        <v>133</v>
      </c>
      <c r="G290" s="620"/>
      <c r="H290" s="687">
        <v>36703</v>
      </c>
      <c r="I290" s="637" t="s">
        <v>2015</v>
      </c>
    </row>
    <row r="291" spans="2:47">
      <c r="B291" s="443">
        <v>101</v>
      </c>
      <c r="C291" s="447"/>
      <c r="D291" s="447" t="s">
        <v>2071</v>
      </c>
      <c r="E291" s="447" t="s">
        <v>2016</v>
      </c>
      <c r="F291" s="616" t="s">
        <v>133</v>
      </c>
      <c r="G291" s="620"/>
      <c r="H291" s="687">
        <v>34914</v>
      </c>
      <c r="I291" s="637" t="s">
        <v>2017</v>
      </c>
    </row>
    <row r="292" spans="2:47">
      <c r="B292" s="443">
        <v>102</v>
      </c>
      <c r="C292" s="447"/>
      <c r="D292" s="614" t="s">
        <v>2137</v>
      </c>
      <c r="E292" s="447" t="s">
        <v>2020</v>
      </c>
      <c r="F292" s="616" t="s">
        <v>133</v>
      </c>
      <c r="G292" s="621"/>
      <c r="H292" s="687"/>
      <c r="I292" s="636"/>
    </row>
    <row r="293" spans="2:47">
      <c r="B293" s="443">
        <v>103</v>
      </c>
      <c r="C293" s="447"/>
      <c r="D293" s="614" t="s">
        <v>2072</v>
      </c>
      <c r="E293" s="447" t="s">
        <v>2021</v>
      </c>
      <c r="F293" s="616" t="s">
        <v>133</v>
      </c>
      <c r="G293" s="621"/>
      <c r="H293" s="687"/>
      <c r="I293" s="636"/>
    </row>
    <row r="294" spans="2:47">
      <c r="B294" s="443">
        <v>104</v>
      </c>
      <c r="C294" s="447"/>
      <c r="D294" s="614" t="s">
        <v>2059</v>
      </c>
      <c r="E294" s="447" t="s">
        <v>2059</v>
      </c>
      <c r="F294" s="616" t="s">
        <v>133</v>
      </c>
      <c r="G294" s="621"/>
      <c r="H294" s="687"/>
      <c r="I294" s="636"/>
      <c r="K294" s="453"/>
      <c r="L294" s="453"/>
      <c r="M294" s="453"/>
      <c r="N294" s="453"/>
      <c r="O294" s="453"/>
      <c r="P294" s="453"/>
      <c r="Q294" s="453"/>
      <c r="R294" s="453"/>
      <c r="S294" s="453"/>
      <c r="T294" s="453"/>
      <c r="U294" s="453"/>
      <c r="V294" s="453"/>
      <c r="W294" s="453"/>
      <c r="X294" s="453"/>
      <c r="Y294" s="453"/>
      <c r="Z294" s="453"/>
      <c r="AA294" s="453"/>
      <c r="AB294" s="453"/>
      <c r="AC294" s="453"/>
      <c r="AD294" s="453"/>
      <c r="AE294" s="453"/>
      <c r="AF294" s="453"/>
      <c r="AG294" s="453"/>
      <c r="AH294" s="453"/>
      <c r="AI294" s="453"/>
      <c r="AJ294" s="453"/>
      <c r="AK294" s="453"/>
      <c r="AL294" s="453"/>
      <c r="AM294" s="453"/>
      <c r="AN294" s="453"/>
      <c r="AO294" s="453"/>
      <c r="AP294" s="453"/>
      <c r="AQ294" s="534"/>
      <c r="AR294" s="453"/>
      <c r="AS294" s="453"/>
      <c r="AT294" s="453"/>
      <c r="AU294" s="453"/>
    </row>
    <row r="295" spans="2:47">
      <c r="B295" s="443">
        <v>105</v>
      </c>
      <c r="C295" s="447"/>
      <c r="D295" s="614" t="s">
        <v>2073</v>
      </c>
      <c r="E295" s="447" t="s">
        <v>2171</v>
      </c>
      <c r="F295" s="616" t="s">
        <v>2172</v>
      </c>
      <c r="G295" s="621"/>
      <c r="H295" s="687"/>
      <c r="I295" s="636"/>
      <c r="K295" s="453"/>
      <c r="L295" s="453"/>
      <c r="M295" s="453"/>
      <c r="N295" s="453"/>
      <c r="O295" s="453"/>
      <c r="P295" s="453"/>
      <c r="Q295" s="453"/>
      <c r="R295" s="453"/>
      <c r="S295" s="453"/>
      <c r="T295" s="453"/>
      <c r="U295" s="453"/>
      <c r="V295" s="453"/>
      <c r="W295" s="453"/>
      <c r="X295" s="453"/>
      <c r="Y295" s="453"/>
      <c r="Z295" s="453"/>
      <c r="AA295" s="453"/>
      <c r="AB295" s="453"/>
      <c r="AC295" s="453"/>
      <c r="AD295" s="453"/>
      <c r="AE295" s="453"/>
      <c r="AF295" s="453"/>
      <c r="AG295" s="453"/>
      <c r="AH295" s="453"/>
      <c r="AI295" s="453"/>
      <c r="AJ295" s="453"/>
      <c r="AK295" s="453"/>
      <c r="AL295" s="453"/>
      <c r="AM295" s="453"/>
      <c r="AN295" s="453"/>
      <c r="AO295" s="453"/>
      <c r="AP295" s="453"/>
      <c r="AQ295" s="534"/>
      <c r="AR295" s="453"/>
      <c r="AS295" s="453"/>
      <c r="AT295" s="453"/>
      <c r="AU295" s="453"/>
    </row>
    <row r="296" spans="2:47">
      <c r="B296" s="443">
        <v>106</v>
      </c>
      <c r="C296" s="447"/>
      <c r="D296" s="614" t="s">
        <v>2074</v>
      </c>
      <c r="E296" s="447" t="s">
        <v>2173</v>
      </c>
      <c r="F296" s="616"/>
      <c r="G296" s="621"/>
      <c r="H296" s="687">
        <v>36964</v>
      </c>
      <c r="I296" s="636"/>
      <c r="K296" s="453"/>
      <c r="L296" s="453"/>
      <c r="M296" s="453"/>
      <c r="N296" s="453"/>
      <c r="O296" s="453"/>
      <c r="P296" s="453"/>
      <c r="Q296" s="453"/>
      <c r="R296" s="453"/>
      <c r="S296" s="453"/>
      <c r="T296" s="453"/>
      <c r="U296" s="453"/>
      <c r="V296" s="453"/>
      <c r="W296" s="453"/>
      <c r="X296" s="453"/>
      <c r="Y296" s="453"/>
      <c r="Z296" s="453"/>
      <c r="AA296" s="453"/>
      <c r="AB296" s="453"/>
      <c r="AC296" s="453"/>
      <c r="AD296" s="453"/>
      <c r="AE296" s="453"/>
      <c r="AF296" s="453"/>
      <c r="AG296" s="453"/>
      <c r="AH296" s="453"/>
      <c r="AI296" s="453"/>
      <c r="AJ296" s="453"/>
      <c r="AK296" s="453"/>
      <c r="AL296" s="453"/>
      <c r="AM296" s="453"/>
      <c r="AN296" s="453"/>
      <c r="AO296" s="453"/>
      <c r="AP296" s="453"/>
      <c r="AQ296" s="534"/>
      <c r="AR296" s="453"/>
      <c r="AS296" s="453"/>
      <c r="AT296" s="453"/>
      <c r="AU296" s="453"/>
    </row>
    <row r="297" spans="2:47">
      <c r="B297" s="443">
        <v>107</v>
      </c>
      <c r="C297" s="447"/>
      <c r="D297" s="614" t="s">
        <v>2095</v>
      </c>
      <c r="E297" s="447" t="s">
        <v>2174</v>
      </c>
      <c r="F297" s="616"/>
      <c r="G297" s="621"/>
      <c r="H297" s="687"/>
      <c r="I297" s="636"/>
      <c r="K297" s="453"/>
      <c r="L297" s="453"/>
      <c r="M297" s="453"/>
      <c r="N297" s="453"/>
      <c r="O297" s="453"/>
      <c r="P297" s="453"/>
      <c r="Q297" s="453"/>
      <c r="R297" s="453"/>
      <c r="S297" s="453"/>
      <c r="T297" s="453"/>
      <c r="U297" s="453"/>
      <c r="V297" s="453"/>
      <c r="W297" s="453"/>
      <c r="X297" s="453"/>
      <c r="Y297" s="453"/>
      <c r="Z297" s="453"/>
      <c r="AA297" s="453"/>
      <c r="AB297" s="453"/>
      <c r="AC297" s="453"/>
      <c r="AD297" s="453"/>
      <c r="AE297" s="453"/>
      <c r="AF297" s="453"/>
      <c r="AG297" s="453"/>
      <c r="AH297" s="453"/>
      <c r="AI297" s="453"/>
      <c r="AJ297" s="453"/>
      <c r="AK297" s="453"/>
      <c r="AL297" s="453"/>
      <c r="AM297" s="453"/>
      <c r="AN297" s="453"/>
      <c r="AO297" s="453"/>
      <c r="AP297" s="453"/>
      <c r="AQ297" s="534"/>
      <c r="AR297" s="453"/>
      <c r="AS297" s="453"/>
      <c r="AT297" s="453"/>
      <c r="AU297" s="453"/>
    </row>
    <row r="298" spans="2:47">
      <c r="B298" s="443">
        <v>108</v>
      </c>
      <c r="C298" s="447"/>
      <c r="D298" s="614" t="s">
        <v>2118</v>
      </c>
      <c r="E298" s="447" t="s">
        <v>2175</v>
      </c>
      <c r="F298" s="616"/>
      <c r="G298" s="621"/>
      <c r="H298" s="687"/>
      <c r="I298" s="636"/>
      <c r="K298" s="453"/>
      <c r="L298" s="453"/>
      <c r="M298" s="453"/>
      <c r="N298" s="453"/>
      <c r="O298" s="453"/>
      <c r="P298" s="453"/>
      <c r="Q298" s="453"/>
      <c r="R298" s="453"/>
      <c r="S298" s="453"/>
      <c r="T298" s="453"/>
      <c r="U298" s="453"/>
      <c r="V298" s="453"/>
      <c r="W298" s="453"/>
      <c r="X298" s="453"/>
      <c r="Y298" s="453"/>
      <c r="Z298" s="453"/>
      <c r="AA298" s="453"/>
      <c r="AB298" s="453"/>
      <c r="AC298" s="453"/>
      <c r="AD298" s="453"/>
      <c r="AE298" s="453"/>
      <c r="AF298" s="453"/>
      <c r="AG298" s="453"/>
      <c r="AH298" s="453"/>
      <c r="AI298" s="453"/>
      <c r="AJ298" s="453"/>
      <c r="AK298" s="453"/>
      <c r="AL298" s="453"/>
      <c r="AM298" s="453"/>
      <c r="AN298" s="453"/>
      <c r="AO298" s="453"/>
      <c r="AP298" s="453"/>
      <c r="AQ298" s="534"/>
      <c r="AR298" s="453"/>
      <c r="AS298" s="453"/>
      <c r="AT298" s="453"/>
      <c r="AU298" s="453"/>
    </row>
    <row r="299" spans="2:47">
      <c r="B299" s="443">
        <v>109</v>
      </c>
      <c r="C299" s="447"/>
      <c r="D299" s="614" t="s">
        <v>2136</v>
      </c>
      <c r="E299" s="447" t="s">
        <v>2186</v>
      </c>
      <c r="F299" s="616"/>
      <c r="G299" s="621"/>
      <c r="H299" s="687"/>
      <c r="I299" s="636"/>
      <c r="K299" s="453"/>
      <c r="L299" s="453"/>
      <c r="M299" s="453"/>
      <c r="N299" s="453"/>
      <c r="O299" s="453"/>
      <c r="P299" s="453"/>
      <c r="Q299" s="453"/>
      <c r="R299" s="453"/>
      <c r="S299" s="453"/>
      <c r="T299" s="453"/>
      <c r="U299" s="453"/>
      <c r="V299" s="453"/>
      <c r="W299" s="453"/>
      <c r="X299" s="453"/>
      <c r="Y299" s="453"/>
      <c r="Z299" s="453"/>
      <c r="AA299" s="453"/>
      <c r="AB299" s="453"/>
      <c r="AC299" s="453"/>
      <c r="AD299" s="453"/>
      <c r="AE299" s="453"/>
      <c r="AF299" s="453"/>
      <c r="AG299" s="453"/>
      <c r="AH299" s="453"/>
      <c r="AI299" s="453"/>
      <c r="AJ299" s="453"/>
      <c r="AK299" s="453"/>
      <c r="AL299" s="453"/>
      <c r="AM299" s="453"/>
      <c r="AN299" s="453"/>
      <c r="AO299" s="453"/>
      <c r="AP299" s="453"/>
      <c r="AQ299" s="534"/>
      <c r="AR299" s="453"/>
      <c r="AS299" s="453"/>
      <c r="AT299" s="453"/>
      <c r="AU299" s="453"/>
    </row>
    <row r="300" spans="2:47">
      <c r="B300" s="443">
        <v>110</v>
      </c>
      <c r="C300" s="447"/>
      <c r="D300" s="614" t="s">
        <v>2195</v>
      </c>
      <c r="E300" s="447" t="s">
        <v>2178</v>
      </c>
      <c r="F300" s="616" t="s">
        <v>133</v>
      </c>
      <c r="G300" s="621"/>
      <c r="H300" s="687">
        <v>34829</v>
      </c>
      <c r="I300" s="626" t="s">
        <v>2179</v>
      </c>
      <c r="K300" s="453"/>
      <c r="L300" s="453"/>
      <c r="M300" s="453"/>
      <c r="N300" s="453"/>
      <c r="O300" s="453"/>
      <c r="P300" s="453"/>
      <c r="Q300" s="453"/>
      <c r="R300" s="453"/>
      <c r="S300" s="453"/>
      <c r="T300" s="453"/>
      <c r="U300" s="453"/>
      <c r="V300" s="453"/>
      <c r="W300" s="453"/>
      <c r="X300" s="453"/>
      <c r="Y300" s="453"/>
      <c r="Z300" s="453"/>
      <c r="AA300" s="453"/>
      <c r="AB300" s="453"/>
      <c r="AC300" s="453"/>
      <c r="AD300" s="453"/>
      <c r="AE300" s="453"/>
      <c r="AF300" s="453"/>
      <c r="AG300" s="453"/>
      <c r="AH300" s="453"/>
      <c r="AI300" s="453"/>
      <c r="AJ300" s="453"/>
      <c r="AK300" s="453"/>
      <c r="AL300" s="453"/>
      <c r="AM300" s="453"/>
      <c r="AN300" s="453"/>
      <c r="AO300" s="453"/>
      <c r="AP300" s="453"/>
      <c r="AQ300" s="534"/>
      <c r="AR300" s="453"/>
      <c r="AS300" s="453"/>
      <c r="AT300" s="453"/>
      <c r="AU300" s="453"/>
    </row>
    <row r="301" spans="2:47">
      <c r="B301" s="443">
        <v>111</v>
      </c>
      <c r="C301" s="447"/>
      <c r="D301" s="614" t="s">
        <v>2188</v>
      </c>
      <c r="E301" s="447" t="s">
        <v>2184</v>
      </c>
      <c r="F301" s="616" t="s">
        <v>133</v>
      </c>
      <c r="G301" s="621"/>
      <c r="H301" s="687">
        <v>33756</v>
      </c>
      <c r="I301" s="626" t="s">
        <v>2185</v>
      </c>
      <c r="K301" s="453"/>
      <c r="L301" s="453"/>
      <c r="M301" s="453"/>
      <c r="N301" s="453"/>
      <c r="O301" s="453"/>
      <c r="P301" s="453"/>
      <c r="Q301" s="453"/>
      <c r="R301" s="453"/>
      <c r="S301" s="453"/>
      <c r="T301" s="453"/>
      <c r="U301" s="453"/>
      <c r="V301" s="453"/>
      <c r="W301" s="453"/>
      <c r="X301" s="453"/>
      <c r="Y301" s="453"/>
      <c r="Z301" s="453"/>
      <c r="AA301" s="453"/>
      <c r="AB301" s="453"/>
      <c r="AC301" s="453"/>
      <c r="AD301" s="453"/>
      <c r="AE301" s="453"/>
      <c r="AF301" s="453"/>
      <c r="AG301" s="453"/>
      <c r="AH301" s="453"/>
      <c r="AI301" s="453"/>
      <c r="AJ301" s="453"/>
      <c r="AK301" s="453"/>
      <c r="AL301" s="453"/>
      <c r="AM301" s="453"/>
      <c r="AN301" s="453"/>
      <c r="AO301" s="453"/>
      <c r="AP301" s="453"/>
      <c r="AQ301" s="534"/>
      <c r="AR301" s="453"/>
      <c r="AS301" s="453"/>
      <c r="AT301" s="453"/>
      <c r="AU301" s="453"/>
    </row>
    <row r="302" spans="2:47">
      <c r="B302" s="443">
        <v>112</v>
      </c>
      <c r="C302" s="447"/>
      <c r="D302" s="614" t="s">
        <v>2210</v>
      </c>
      <c r="E302" s="605" t="s">
        <v>2211</v>
      </c>
      <c r="F302" s="616" t="s">
        <v>133</v>
      </c>
      <c r="G302" s="621"/>
      <c r="H302" s="687">
        <v>35938</v>
      </c>
      <c r="I302" s="626" t="s">
        <v>2212</v>
      </c>
      <c r="K302" s="453"/>
      <c r="L302" s="453"/>
      <c r="M302" s="453"/>
      <c r="N302" s="453"/>
      <c r="O302" s="453"/>
      <c r="P302" s="453"/>
      <c r="Q302" s="453"/>
      <c r="R302" s="453"/>
      <c r="S302" s="453"/>
      <c r="T302" s="453"/>
      <c r="U302" s="453"/>
      <c r="V302" s="453"/>
      <c r="W302" s="453"/>
      <c r="X302" s="453"/>
      <c r="Y302" s="453"/>
      <c r="Z302" s="453"/>
      <c r="AA302" s="453"/>
      <c r="AB302" s="453"/>
      <c r="AC302" s="453"/>
      <c r="AD302" s="453"/>
      <c r="AE302" s="453"/>
      <c r="AF302" s="453"/>
      <c r="AG302" s="453"/>
      <c r="AH302" s="453"/>
      <c r="AI302" s="453"/>
      <c r="AJ302" s="453"/>
      <c r="AK302" s="453"/>
      <c r="AL302" s="453"/>
      <c r="AM302" s="453"/>
      <c r="AN302" s="453"/>
      <c r="AO302" s="453"/>
      <c r="AP302" s="453"/>
      <c r="AQ302" s="534"/>
      <c r="AR302" s="453"/>
      <c r="AS302" s="453"/>
      <c r="AT302" s="453"/>
      <c r="AU302" s="453"/>
    </row>
    <row r="303" spans="2:47">
      <c r="B303" s="443">
        <v>113</v>
      </c>
      <c r="C303" s="447"/>
      <c r="D303" s="614" t="s">
        <v>2205</v>
      </c>
      <c r="E303" s="605" t="s">
        <v>2204</v>
      </c>
      <c r="F303" s="616" t="s">
        <v>133</v>
      </c>
      <c r="G303" s="651" t="s">
        <v>41</v>
      </c>
      <c r="H303" s="687">
        <v>36998</v>
      </c>
      <c r="I303" s="626" t="s">
        <v>2206</v>
      </c>
      <c r="K303" s="453"/>
      <c r="L303" s="453"/>
      <c r="M303" s="453"/>
      <c r="N303" s="453"/>
      <c r="O303" s="453"/>
      <c r="P303" s="453"/>
      <c r="Q303" s="453"/>
      <c r="R303" s="453"/>
      <c r="S303" s="453"/>
      <c r="T303" s="453"/>
      <c r="U303" s="453"/>
      <c r="V303" s="453"/>
      <c r="W303" s="453"/>
      <c r="X303" s="453"/>
      <c r="Y303" s="453"/>
      <c r="Z303" s="453"/>
      <c r="AA303" s="453"/>
      <c r="AB303" s="453"/>
      <c r="AC303" s="453"/>
      <c r="AD303" s="453"/>
      <c r="AE303" s="453"/>
      <c r="AF303" s="453"/>
      <c r="AG303" s="453"/>
      <c r="AH303" s="453"/>
      <c r="AI303" s="453"/>
      <c r="AJ303" s="453"/>
      <c r="AK303" s="453"/>
      <c r="AL303" s="453"/>
      <c r="AM303" s="453"/>
      <c r="AN303" s="453"/>
      <c r="AO303" s="453"/>
      <c r="AP303" s="453"/>
      <c r="AQ303" s="534"/>
      <c r="AR303" s="453"/>
      <c r="AS303" s="453"/>
      <c r="AT303" s="453"/>
      <c r="AU303" s="453"/>
    </row>
    <row r="304" spans="2:47">
      <c r="B304" s="443">
        <v>114</v>
      </c>
      <c r="C304" s="447"/>
      <c r="D304" s="614" t="s">
        <v>2207</v>
      </c>
      <c r="E304" s="605" t="s">
        <v>2208</v>
      </c>
      <c r="F304" s="616" t="s">
        <v>133</v>
      </c>
      <c r="G304" s="651" t="s">
        <v>41</v>
      </c>
      <c r="H304" s="687">
        <v>37055</v>
      </c>
      <c r="I304" s="626" t="s">
        <v>2209</v>
      </c>
      <c r="K304" s="453"/>
      <c r="L304" s="453"/>
      <c r="M304" s="453"/>
      <c r="N304" s="453"/>
      <c r="O304" s="453"/>
      <c r="P304" s="453"/>
      <c r="Q304" s="453"/>
      <c r="R304" s="453"/>
      <c r="S304" s="453"/>
      <c r="T304" s="453"/>
      <c r="U304" s="453"/>
      <c r="V304" s="453"/>
      <c r="W304" s="453"/>
      <c r="X304" s="453"/>
      <c r="Y304" s="453"/>
      <c r="Z304" s="453"/>
      <c r="AA304" s="453"/>
      <c r="AB304" s="453"/>
      <c r="AC304" s="453"/>
      <c r="AD304" s="453"/>
      <c r="AE304" s="453"/>
      <c r="AF304" s="453"/>
      <c r="AG304" s="453"/>
      <c r="AH304" s="453"/>
      <c r="AI304" s="453"/>
      <c r="AJ304" s="453"/>
      <c r="AK304" s="453"/>
      <c r="AL304" s="453"/>
      <c r="AM304" s="453"/>
      <c r="AN304" s="453"/>
      <c r="AO304" s="453"/>
      <c r="AP304" s="453"/>
      <c r="AQ304" s="534"/>
      <c r="AR304" s="453"/>
      <c r="AS304" s="453"/>
      <c r="AT304" s="453"/>
      <c r="AU304" s="453"/>
    </row>
    <row r="305" spans="1:47">
      <c r="B305" s="443">
        <v>115</v>
      </c>
      <c r="C305" s="447"/>
      <c r="D305" s="614" t="s">
        <v>2213</v>
      </c>
      <c r="E305" s="605" t="s">
        <v>2214</v>
      </c>
      <c r="F305" s="616" t="s">
        <v>133</v>
      </c>
      <c r="G305" s="651" t="s">
        <v>41</v>
      </c>
      <c r="H305" s="687">
        <v>37254</v>
      </c>
      <c r="I305" s="626" t="s">
        <v>2215</v>
      </c>
      <c r="K305" s="453"/>
      <c r="L305" s="453"/>
      <c r="M305" s="453"/>
      <c r="N305" s="453"/>
      <c r="O305" s="453"/>
      <c r="P305" s="453"/>
      <c r="Q305" s="453"/>
      <c r="R305" s="453"/>
      <c r="S305" s="453"/>
      <c r="T305" s="453"/>
      <c r="U305" s="453"/>
      <c r="V305" s="453"/>
      <c r="W305" s="453"/>
      <c r="X305" s="453"/>
      <c r="Y305" s="453"/>
      <c r="Z305" s="453"/>
      <c r="AA305" s="453"/>
      <c r="AB305" s="453"/>
      <c r="AC305" s="453"/>
      <c r="AD305" s="453"/>
      <c r="AE305" s="453"/>
      <c r="AF305" s="453"/>
      <c r="AG305" s="453"/>
      <c r="AH305" s="453"/>
      <c r="AI305" s="453"/>
      <c r="AJ305" s="453"/>
      <c r="AK305" s="453"/>
      <c r="AL305" s="453"/>
      <c r="AM305" s="453"/>
      <c r="AN305" s="453"/>
      <c r="AO305" s="453"/>
      <c r="AP305" s="453"/>
      <c r="AQ305" s="534"/>
      <c r="AR305" s="453"/>
      <c r="AS305" s="453"/>
      <c r="AT305" s="453"/>
      <c r="AU305" s="453"/>
    </row>
    <row r="306" spans="1:47">
      <c r="B306" s="443">
        <v>116</v>
      </c>
      <c r="C306" s="447"/>
      <c r="D306" s="614" t="s">
        <v>2082</v>
      </c>
      <c r="E306" s="605" t="s">
        <v>1926</v>
      </c>
      <c r="F306" s="616" t="s">
        <v>133</v>
      </c>
      <c r="G306" s="653"/>
      <c r="H306" s="687">
        <v>36433</v>
      </c>
      <c r="I306" s="626" t="s">
        <v>1927</v>
      </c>
      <c r="K306" s="453"/>
      <c r="L306" s="453"/>
      <c r="M306" s="453"/>
      <c r="N306" s="453"/>
      <c r="O306" s="453"/>
      <c r="P306" s="453"/>
      <c r="Q306" s="453"/>
      <c r="R306" s="453"/>
      <c r="S306" s="453"/>
      <c r="T306" s="453"/>
      <c r="U306" s="453"/>
      <c r="V306" s="453"/>
      <c r="W306" s="453"/>
      <c r="X306" s="453"/>
      <c r="Y306" s="453"/>
      <c r="Z306" s="453"/>
      <c r="AA306" s="453"/>
      <c r="AB306" s="453"/>
      <c r="AC306" s="453"/>
      <c r="AD306" s="453"/>
      <c r="AE306" s="453"/>
      <c r="AF306" s="453"/>
      <c r="AG306" s="453"/>
      <c r="AH306" s="453"/>
      <c r="AI306" s="453"/>
      <c r="AJ306" s="453"/>
      <c r="AK306" s="453"/>
      <c r="AL306" s="453"/>
      <c r="AM306" s="453"/>
      <c r="AN306" s="453"/>
      <c r="AO306" s="453"/>
      <c r="AP306" s="453"/>
      <c r="AQ306" s="534"/>
      <c r="AR306" s="453"/>
      <c r="AS306" s="453"/>
      <c r="AT306" s="453"/>
      <c r="AU306" s="453"/>
    </row>
    <row r="307" spans="1:47">
      <c r="A307" s="436"/>
      <c r="B307" s="443">
        <v>117</v>
      </c>
      <c r="C307" s="447"/>
      <c r="D307" s="448" t="s">
        <v>2239</v>
      </c>
      <c r="E307" s="652" t="s">
        <v>2240</v>
      </c>
      <c r="F307" s="444" t="s">
        <v>133</v>
      </c>
      <c r="G307" s="653" t="s">
        <v>41</v>
      </c>
      <c r="H307" s="687">
        <v>36836</v>
      </c>
      <c r="I307" s="432" t="s">
        <v>2241</v>
      </c>
    </row>
    <row r="308" spans="1:47">
      <c r="A308" s="436"/>
      <c r="B308" s="443">
        <v>118</v>
      </c>
      <c r="C308" s="447"/>
      <c r="D308" s="448" t="s">
        <v>2242</v>
      </c>
      <c r="E308" s="652" t="s">
        <v>2243</v>
      </c>
      <c r="F308" s="444" t="s">
        <v>133</v>
      </c>
      <c r="G308" s="653" t="s">
        <v>41</v>
      </c>
      <c r="H308" s="687">
        <v>37346</v>
      </c>
      <c r="I308" s="432" t="s">
        <v>2244</v>
      </c>
    </row>
    <row r="309" spans="1:47">
      <c r="A309" s="436"/>
      <c r="B309" s="443">
        <v>119</v>
      </c>
      <c r="C309" s="447"/>
      <c r="D309" s="448" t="s">
        <v>2245</v>
      </c>
      <c r="E309" s="652" t="s">
        <v>2246</v>
      </c>
      <c r="F309" s="444" t="s">
        <v>133</v>
      </c>
      <c r="G309" s="653" t="s">
        <v>41</v>
      </c>
      <c r="H309" s="687">
        <v>37177</v>
      </c>
      <c r="I309" s="432" t="s">
        <v>2247</v>
      </c>
    </row>
    <row r="310" spans="1:47">
      <c r="A310" s="436"/>
      <c r="B310" s="443">
        <v>120</v>
      </c>
      <c r="C310" s="447"/>
      <c r="D310" s="448" t="s">
        <v>2304</v>
      </c>
      <c r="E310" s="652" t="s">
        <v>2293</v>
      </c>
      <c r="F310" s="444" t="s">
        <v>133</v>
      </c>
      <c r="G310" s="443" t="s">
        <v>41</v>
      </c>
      <c r="H310" s="687">
        <v>37377</v>
      </c>
      <c r="I310" s="432" t="s">
        <v>2294</v>
      </c>
    </row>
    <row r="311" spans="1:47">
      <c r="A311" s="436"/>
      <c r="B311" s="443">
        <v>121</v>
      </c>
      <c r="C311" s="447"/>
      <c r="D311" s="448" t="s">
        <v>2311</v>
      </c>
      <c r="E311" s="652" t="s">
        <v>2309</v>
      </c>
      <c r="F311" s="444" t="s">
        <v>133</v>
      </c>
      <c r="G311" s="443" t="s">
        <v>41</v>
      </c>
      <c r="H311" s="687">
        <v>37720</v>
      </c>
      <c r="I311" s="432" t="s">
        <v>2310</v>
      </c>
    </row>
    <row r="312" spans="1:47">
      <c r="A312" s="453"/>
      <c r="B312" s="453"/>
      <c r="C312" s="453"/>
      <c r="D312" s="453"/>
      <c r="E312" s="453"/>
      <c r="F312" s="453"/>
      <c r="G312" s="453"/>
      <c r="H312" s="453"/>
      <c r="I312" s="453"/>
      <c r="K312" s="453"/>
      <c r="L312" s="453"/>
      <c r="M312" s="453"/>
      <c r="N312" s="453"/>
      <c r="O312" s="453"/>
      <c r="P312" s="453"/>
      <c r="Q312" s="453"/>
      <c r="R312" s="453"/>
      <c r="S312" s="453"/>
      <c r="T312" s="453"/>
      <c r="U312" s="453"/>
      <c r="V312" s="453"/>
      <c r="W312" s="453"/>
      <c r="X312" s="453"/>
      <c r="Y312" s="453"/>
      <c r="Z312" s="453"/>
      <c r="AA312" s="453"/>
      <c r="AB312" s="453"/>
      <c r="AC312" s="453"/>
      <c r="AD312" s="453"/>
      <c r="AE312" s="453"/>
      <c r="AF312" s="453"/>
      <c r="AG312" s="453"/>
      <c r="AH312" s="453"/>
      <c r="AI312" s="453"/>
      <c r="AJ312" s="453"/>
      <c r="AK312" s="453"/>
      <c r="AL312" s="453"/>
      <c r="AM312" s="453"/>
      <c r="AN312" s="453"/>
      <c r="AO312" s="453"/>
      <c r="AP312" s="453"/>
      <c r="AQ312" s="534"/>
      <c r="AR312" s="453"/>
      <c r="AS312" s="453"/>
      <c r="AT312" s="453"/>
      <c r="AU312" s="453"/>
    </row>
    <row r="313" spans="1:47" s="445" customFormat="1">
      <c r="B313" s="831" t="s">
        <v>381</v>
      </c>
      <c r="C313" s="831"/>
      <c r="D313" s="645" t="s">
        <v>2168</v>
      </c>
      <c r="E313" s="648" t="s">
        <v>1553</v>
      </c>
      <c r="F313" s="648" t="s">
        <v>1435</v>
      </c>
      <c r="G313" s="648"/>
      <c r="H313" s="648" t="s">
        <v>2169</v>
      </c>
      <c r="I313" s="648" t="s">
        <v>2170</v>
      </c>
      <c r="J313" s="436"/>
      <c r="K313" s="646"/>
      <c r="L313" s="646"/>
      <c r="M313" s="646"/>
      <c r="N313" s="646"/>
      <c r="O313" s="646"/>
      <c r="P313" s="646"/>
      <c r="Q313" s="646"/>
      <c r="R313" s="646"/>
      <c r="S313" s="646"/>
      <c r="T313" s="646"/>
      <c r="U313" s="646"/>
      <c r="V313" s="646"/>
      <c r="W313" s="646"/>
      <c r="X313" s="646"/>
      <c r="Y313" s="646"/>
      <c r="Z313" s="646"/>
      <c r="AA313" s="646"/>
      <c r="AB313" s="646"/>
      <c r="AC313" s="646"/>
      <c r="AD313" s="646"/>
      <c r="AE313" s="646"/>
      <c r="AF313" s="646"/>
      <c r="AG313" s="646"/>
      <c r="AH313" s="646"/>
      <c r="AI313" s="646"/>
      <c r="AJ313" s="646"/>
      <c r="AK313" s="646"/>
      <c r="AL313" s="646"/>
      <c r="AM313" s="646"/>
      <c r="AN313" s="646"/>
      <c r="AO313" s="646"/>
      <c r="AP313" s="646"/>
      <c r="AQ313" s="646"/>
      <c r="AR313" s="646"/>
      <c r="AS313" s="646"/>
      <c r="AT313" s="646"/>
      <c r="AU313" s="647"/>
    </row>
    <row r="314" spans="1:47">
      <c r="A314" s="436"/>
      <c r="B314" s="443">
        <v>1</v>
      </c>
      <c r="C314" s="447"/>
      <c r="D314" s="614" t="s">
        <v>2042</v>
      </c>
      <c r="E314" s="614" t="s">
        <v>2042</v>
      </c>
      <c r="F314" s="616" t="s">
        <v>133</v>
      </c>
      <c r="G314" s="416"/>
      <c r="H314" s="627">
        <v>37163</v>
      </c>
      <c r="I314" s="432" t="s">
        <v>2043</v>
      </c>
    </row>
    <row r="315" spans="1:47" s="453" customFormat="1">
      <c r="A315" s="562"/>
      <c r="B315" s="443">
        <v>2</v>
      </c>
      <c r="C315" s="447"/>
      <c r="D315" s="614" t="s">
        <v>2140</v>
      </c>
      <c r="E315" s="614" t="s">
        <v>2029</v>
      </c>
      <c r="F315" s="616" t="s">
        <v>133</v>
      </c>
      <c r="G315" s="416"/>
      <c r="H315" s="627">
        <v>36338</v>
      </c>
      <c r="I315" s="432" t="s">
        <v>2032</v>
      </c>
      <c r="J315" s="436"/>
      <c r="K315" s="436"/>
      <c r="L315" s="436"/>
      <c r="M315" s="436"/>
      <c r="N315" s="436"/>
      <c r="O315" s="436"/>
      <c r="P315" s="436"/>
      <c r="Q315" s="436"/>
      <c r="R315" s="436"/>
      <c r="S315" s="436"/>
      <c r="T315" s="436"/>
      <c r="U315" s="436"/>
      <c r="V315" s="436"/>
      <c r="W315" s="436"/>
      <c r="X315" s="436"/>
      <c r="Y315" s="436"/>
      <c r="Z315" s="436"/>
      <c r="AA315" s="436"/>
      <c r="AB315" s="436"/>
      <c r="AC315" s="436"/>
      <c r="AD315" s="436"/>
      <c r="AE315" s="436"/>
      <c r="AF315" s="436"/>
      <c r="AG315" s="436"/>
      <c r="AH315" s="436"/>
      <c r="AI315" s="436"/>
      <c r="AJ315" s="436"/>
      <c r="AK315" s="436"/>
      <c r="AL315" s="436"/>
      <c r="AM315" s="436"/>
      <c r="AN315" s="436"/>
      <c r="AO315" s="436"/>
      <c r="AP315" s="436"/>
      <c r="AQ315" s="414"/>
      <c r="AR315" s="436"/>
      <c r="AS315" s="436"/>
      <c r="AT315" s="436"/>
      <c r="AU315" s="436"/>
    </row>
    <row r="316" spans="1:47">
      <c r="B316" s="443">
        <v>3</v>
      </c>
      <c r="C316" s="447"/>
      <c r="D316" s="614" t="s">
        <v>2040</v>
      </c>
      <c r="E316" s="614" t="s">
        <v>2040</v>
      </c>
      <c r="F316" s="616" t="s">
        <v>133</v>
      </c>
      <c r="G316" s="416"/>
      <c r="H316" s="627">
        <v>36697</v>
      </c>
      <c r="I316" s="432" t="s">
        <v>2041</v>
      </c>
    </row>
    <row r="317" spans="1:47">
      <c r="B317" s="443">
        <v>4</v>
      </c>
      <c r="C317" s="447"/>
      <c r="D317" s="614" t="s">
        <v>2143</v>
      </c>
      <c r="E317" s="614" t="s">
        <v>2028</v>
      </c>
      <c r="F317" s="616" t="s">
        <v>133</v>
      </c>
      <c r="G317" s="416"/>
      <c r="H317" s="627">
        <v>34253</v>
      </c>
      <c r="I317" s="432" t="s">
        <v>2030</v>
      </c>
    </row>
    <row r="318" spans="1:47">
      <c r="A318" s="436"/>
      <c r="B318" s="443">
        <v>5</v>
      </c>
      <c r="C318" s="447"/>
      <c r="D318" s="614" t="s">
        <v>2145</v>
      </c>
      <c r="E318" s="614" t="s">
        <v>2038</v>
      </c>
      <c r="F318" s="616" t="s">
        <v>133</v>
      </c>
      <c r="G318" s="416"/>
      <c r="H318" s="627">
        <v>34067</v>
      </c>
      <c r="I318" s="432" t="s">
        <v>2039</v>
      </c>
    </row>
    <row r="319" spans="1:47">
      <c r="A319" s="554"/>
      <c r="B319" s="443">
        <v>6</v>
      </c>
      <c r="C319" s="447"/>
      <c r="D319" s="448" t="s">
        <v>2067</v>
      </c>
      <c r="E319" s="448" t="s">
        <v>1824</v>
      </c>
      <c r="F319" s="535"/>
      <c r="G319" s="447"/>
      <c r="H319" s="639"/>
      <c r="I319" s="640"/>
    </row>
    <row r="320" spans="1:47">
      <c r="A320" s="436"/>
      <c r="B320" s="443">
        <v>7</v>
      </c>
      <c r="C320" s="447"/>
      <c r="D320" s="614" t="s">
        <v>2120</v>
      </c>
      <c r="E320" s="614" t="s">
        <v>1984</v>
      </c>
      <c r="F320" s="444" t="s">
        <v>133</v>
      </c>
      <c r="G320" s="416"/>
      <c r="H320" s="627">
        <v>36872</v>
      </c>
      <c r="I320" s="432" t="s">
        <v>1985</v>
      </c>
    </row>
    <row r="321" spans="1:47">
      <c r="A321" s="436"/>
      <c r="B321" s="443">
        <v>8</v>
      </c>
      <c r="C321" s="447"/>
      <c r="D321" s="448" t="s">
        <v>2249</v>
      </c>
      <c r="E321" s="614" t="s">
        <v>2248</v>
      </c>
      <c r="F321" s="444" t="s">
        <v>133</v>
      </c>
      <c r="G321" s="653" t="s">
        <v>129</v>
      </c>
      <c r="H321" s="627">
        <v>34824</v>
      </c>
      <c r="I321" s="432" t="s">
        <v>2250</v>
      </c>
    </row>
    <row r="322" spans="1:47">
      <c r="A322" s="436"/>
      <c r="B322" s="443">
        <v>9</v>
      </c>
      <c r="C322" s="447"/>
      <c r="D322" s="448" t="s">
        <v>2237</v>
      </c>
      <c r="E322" s="614" t="s">
        <v>2236</v>
      </c>
      <c r="F322" s="444" t="s">
        <v>133</v>
      </c>
      <c r="G322" s="653" t="s">
        <v>41</v>
      </c>
      <c r="H322" s="627">
        <v>34543</v>
      </c>
      <c r="I322" s="432" t="s">
        <v>2238</v>
      </c>
    </row>
    <row r="323" spans="1:47">
      <c r="B323" s="443">
        <v>10</v>
      </c>
      <c r="C323" s="447"/>
      <c r="D323" s="614" t="s">
        <v>2189</v>
      </c>
      <c r="E323" s="447" t="s">
        <v>2180</v>
      </c>
      <c r="F323" s="616" t="s">
        <v>133</v>
      </c>
      <c r="G323" s="621"/>
      <c r="H323" s="629">
        <v>36511</v>
      </c>
      <c r="I323" s="626" t="s">
        <v>2181</v>
      </c>
      <c r="K323" s="453"/>
      <c r="L323" s="453"/>
      <c r="M323" s="453"/>
      <c r="N323" s="453"/>
      <c r="O323" s="453"/>
      <c r="P323" s="453"/>
      <c r="Q323" s="453"/>
      <c r="R323" s="453"/>
      <c r="S323" s="453"/>
      <c r="T323" s="453"/>
      <c r="U323" s="453"/>
      <c r="V323" s="453"/>
      <c r="W323" s="453"/>
      <c r="X323" s="453"/>
      <c r="Y323" s="453"/>
      <c r="Z323" s="453"/>
      <c r="AA323" s="453"/>
      <c r="AB323" s="453"/>
      <c r="AC323" s="453"/>
      <c r="AD323" s="453"/>
      <c r="AE323" s="453"/>
      <c r="AF323" s="453"/>
      <c r="AG323" s="453"/>
      <c r="AH323" s="453"/>
      <c r="AI323" s="453"/>
      <c r="AJ323" s="453"/>
      <c r="AK323" s="453"/>
      <c r="AL323" s="453"/>
      <c r="AM323" s="453"/>
      <c r="AN323" s="453"/>
      <c r="AO323" s="453"/>
      <c r="AP323" s="453"/>
      <c r="AQ323" s="534"/>
      <c r="AR323" s="453"/>
      <c r="AS323" s="453"/>
      <c r="AT323" s="453"/>
      <c r="AU323" s="453"/>
    </row>
    <row r="324" spans="1:47">
      <c r="B324" s="443">
        <v>11</v>
      </c>
      <c r="C324" s="447"/>
      <c r="D324" s="614" t="s">
        <v>2187</v>
      </c>
      <c r="E324" s="447" t="s">
        <v>2182</v>
      </c>
      <c r="F324" s="616" t="s">
        <v>133</v>
      </c>
      <c r="G324" s="621"/>
      <c r="H324" s="629">
        <v>34782</v>
      </c>
      <c r="I324" s="626" t="s">
        <v>2183</v>
      </c>
      <c r="K324" s="453"/>
      <c r="L324" s="453"/>
      <c r="M324" s="453"/>
      <c r="N324" s="453"/>
      <c r="O324" s="453"/>
      <c r="P324" s="453"/>
      <c r="Q324" s="453"/>
      <c r="R324" s="453"/>
      <c r="S324" s="453"/>
      <c r="T324" s="453"/>
      <c r="U324" s="453"/>
      <c r="V324" s="453"/>
      <c r="W324" s="453"/>
      <c r="X324" s="453"/>
      <c r="Y324" s="453"/>
      <c r="Z324" s="453"/>
      <c r="AA324" s="453"/>
      <c r="AB324" s="453"/>
      <c r="AC324" s="453"/>
      <c r="AD324" s="453"/>
      <c r="AE324" s="453"/>
      <c r="AF324" s="453"/>
      <c r="AG324" s="453"/>
      <c r="AH324" s="453"/>
      <c r="AI324" s="453"/>
      <c r="AJ324" s="453"/>
      <c r="AK324" s="453"/>
      <c r="AL324" s="453"/>
      <c r="AM324" s="453"/>
      <c r="AN324" s="453"/>
      <c r="AO324" s="453"/>
      <c r="AP324" s="453"/>
      <c r="AQ324" s="534"/>
      <c r="AR324" s="453"/>
      <c r="AS324" s="453"/>
      <c r="AT324" s="453"/>
      <c r="AU324" s="453"/>
    </row>
    <row r="325" spans="1:47">
      <c r="A325" s="436"/>
      <c r="B325" s="443">
        <v>12</v>
      </c>
      <c r="C325" s="447"/>
      <c r="D325" s="448" t="s">
        <v>2321</v>
      </c>
      <c r="E325" s="652" t="s">
        <v>2307</v>
      </c>
      <c r="F325" s="444" t="s">
        <v>133</v>
      </c>
      <c r="G325" s="443" t="s">
        <v>41</v>
      </c>
      <c r="H325" s="687">
        <v>36236</v>
      </c>
      <c r="I325" s="432" t="s">
        <v>2308</v>
      </c>
    </row>
    <row r="326" spans="1:47">
      <c r="B326" s="443">
        <v>13</v>
      </c>
      <c r="C326" s="447"/>
      <c r="D326" s="614" t="s">
        <v>2202</v>
      </c>
      <c r="E326" s="605" t="s">
        <v>2201</v>
      </c>
      <c r="F326" s="616" t="s">
        <v>133</v>
      </c>
      <c r="G326" s="651" t="s">
        <v>41</v>
      </c>
      <c r="H326" s="687">
        <v>33695</v>
      </c>
      <c r="I326" s="626" t="s">
        <v>2203</v>
      </c>
      <c r="K326" s="453"/>
      <c r="L326" s="453"/>
      <c r="M326" s="453"/>
      <c r="N326" s="453"/>
      <c r="O326" s="453"/>
      <c r="P326" s="453"/>
      <c r="Q326" s="453"/>
      <c r="R326" s="453"/>
      <c r="S326" s="453"/>
      <c r="T326" s="453"/>
      <c r="U326" s="453"/>
      <c r="V326" s="453"/>
      <c r="W326" s="453"/>
      <c r="X326" s="453"/>
      <c r="Y326" s="453"/>
      <c r="Z326" s="453"/>
      <c r="AA326" s="453"/>
      <c r="AB326" s="453"/>
      <c r="AC326" s="453"/>
      <c r="AD326" s="453"/>
      <c r="AE326" s="453"/>
      <c r="AF326" s="453"/>
      <c r="AG326" s="453"/>
      <c r="AH326" s="453"/>
      <c r="AI326" s="453"/>
      <c r="AJ326" s="453"/>
      <c r="AK326" s="453"/>
      <c r="AL326" s="453"/>
      <c r="AM326" s="453"/>
      <c r="AN326" s="453"/>
      <c r="AO326" s="453"/>
      <c r="AP326" s="453"/>
      <c r="AQ326" s="534"/>
      <c r="AR326" s="453"/>
      <c r="AS326" s="453"/>
      <c r="AT326" s="453"/>
      <c r="AU326" s="453"/>
    </row>
    <row r="327" spans="1:47">
      <c r="A327" s="436"/>
      <c r="B327" s="443">
        <v>14</v>
      </c>
      <c r="C327" s="447"/>
      <c r="D327" s="614" t="s">
        <v>1795</v>
      </c>
      <c r="E327" s="614" t="s">
        <v>2053</v>
      </c>
      <c r="F327" s="444" t="s">
        <v>133</v>
      </c>
      <c r="G327" s="416"/>
      <c r="H327" s="687"/>
      <c r="I327" s="444"/>
    </row>
    <row r="328" spans="1:47">
      <c r="B328" s="443">
        <v>15</v>
      </c>
      <c r="C328" s="447"/>
      <c r="D328" s="614" t="s">
        <v>2190</v>
      </c>
      <c r="E328" s="447" t="s">
        <v>2176</v>
      </c>
      <c r="F328" s="616" t="s">
        <v>133</v>
      </c>
      <c r="G328" s="621"/>
      <c r="H328" s="687">
        <v>34795</v>
      </c>
      <c r="I328" s="626" t="s">
        <v>2177</v>
      </c>
      <c r="K328" s="453"/>
      <c r="L328" s="453"/>
      <c r="M328" s="453"/>
      <c r="N328" s="453"/>
      <c r="O328" s="453"/>
      <c r="P328" s="453"/>
      <c r="Q328" s="453"/>
      <c r="R328" s="453"/>
      <c r="S328" s="453"/>
      <c r="T328" s="453"/>
      <c r="U328" s="453"/>
      <c r="V328" s="453"/>
      <c r="W328" s="453"/>
      <c r="X328" s="453"/>
      <c r="Y328" s="453"/>
      <c r="Z328" s="453"/>
      <c r="AA328" s="453"/>
      <c r="AB328" s="453"/>
      <c r="AC328" s="453"/>
      <c r="AD328" s="453"/>
      <c r="AE328" s="453"/>
      <c r="AF328" s="453"/>
      <c r="AG328" s="453"/>
      <c r="AH328" s="453"/>
      <c r="AI328" s="453"/>
      <c r="AJ328" s="453"/>
      <c r="AK328" s="453"/>
      <c r="AL328" s="453"/>
      <c r="AM328" s="453"/>
      <c r="AN328" s="453"/>
      <c r="AO328" s="453"/>
      <c r="AP328" s="453"/>
      <c r="AQ328" s="534"/>
      <c r="AR328" s="453"/>
      <c r="AS328" s="453"/>
      <c r="AT328" s="453"/>
      <c r="AU328" s="453"/>
    </row>
    <row r="329" spans="1:47">
      <c r="A329" s="453"/>
      <c r="B329" s="453"/>
      <c r="C329" s="453"/>
      <c r="D329" s="453"/>
      <c r="E329" s="453"/>
      <c r="F329" s="453"/>
      <c r="G329" s="453"/>
      <c r="H329" s="453"/>
      <c r="I329" s="453"/>
      <c r="K329" s="453"/>
      <c r="L329" s="453"/>
      <c r="M329" s="453"/>
      <c r="N329" s="453"/>
      <c r="O329" s="453"/>
      <c r="P329" s="453"/>
      <c r="Q329" s="453"/>
      <c r="R329" s="453"/>
      <c r="S329" s="453"/>
      <c r="T329" s="453"/>
      <c r="U329" s="453"/>
      <c r="V329" s="453"/>
      <c r="W329" s="453"/>
      <c r="X329" s="453"/>
      <c r="Y329" s="453"/>
      <c r="Z329" s="453"/>
      <c r="AA329" s="453"/>
      <c r="AB329" s="453"/>
      <c r="AC329" s="453"/>
      <c r="AD329" s="453"/>
      <c r="AE329" s="453"/>
      <c r="AF329" s="453"/>
      <c r="AG329" s="453"/>
      <c r="AH329" s="453"/>
      <c r="AI329" s="453"/>
      <c r="AJ329" s="453"/>
      <c r="AK329" s="453"/>
      <c r="AL329" s="453"/>
      <c r="AM329" s="453"/>
      <c r="AN329" s="453"/>
      <c r="AO329" s="453"/>
      <c r="AP329" s="453"/>
      <c r="AQ329" s="534"/>
      <c r="AR329" s="453"/>
      <c r="AS329" s="453"/>
      <c r="AT329" s="453"/>
      <c r="AU329" s="453"/>
    </row>
    <row r="330" spans="1:47">
      <c r="B330" s="787" t="s">
        <v>381</v>
      </c>
      <c r="C330" s="788"/>
      <c r="D330" s="789"/>
      <c r="E330" s="648"/>
      <c r="F330" s="670"/>
      <c r="G330" s="670"/>
      <c r="H330" s="648"/>
      <c r="I330" s="648"/>
      <c r="J330" s="670"/>
      <c r="K330" s="670"/>
      <c r="L330" s="670"/>
      <c r="M330" s="670"/>
      <c r="N330" s="670"/>
      <c r="O330" s="670"/>
      <c r="P330" s="670"/>
      <c r="Q330" s="648"/>
      <c r="R330" s="670"/>
      <c r="S330" s="670"/>
      <c r="T330" s="670"/>
      <c r="U330" s="670"/>
      <c r="V330" s="648"/>
      <c r="W330" s="670"/>
      <c r="X330" s="670"/>
      <c r="Y330" s="648"/>
      <c r="Z330" s="670"/>
      <c r="AA330" s="648"/>
      <c r="AB330" s="670"/>
      <c r="AC330" s="670"/>
      <c r="AD330" s="670"/>
      <c r="AE330" s="670"/>
      <c r="AF330" s="670"/>
      <c r="AG330" s="670"/>
      <c r="AH330" s="670"/>
      <c r="AI330" s="670"/>
      <c r="AJ330" s="670"/>
      <c r="AK330" s="670"/>
      <c r="AL330" s="670"/>
      <c r="AM330" s="670"/>
      <c r="AN330" s="648"/>
      <c r="AO330" s="648"/>
      <c r="AP330" s="648"/>
      <c r="AQ330" s="648"/>
      <c r="AR330" s="648"/>
      <c r="AS330" s="648"/>
      <c r="AT330" s="648"/>
      <c r="AU330" s="671"/>
    </row>
    <row r="331" spans="1:47">
      <c r="B331" s="440">
        <v>1</v>
      </c>
      <c r="C331" s="440" t="s">
        <v>316</v>
      </c>
      <c r="D331" s="437" t="s">
        <v>103</v>
      </c>
      <c r="E331" s="440" t="s">
        <v>89</v>
      </c>
      <c r="F331" s="590" t="s">
        <v>379</v>
      </c>
      <c r="G331" s="441">
        <v>43202</v>
      </c>
      <c r="H331" s="441"/>
      <c r="I331" s="441"/>
      <c r="J331" s="441"/>
      <c r="K331" s="347">
        <f ca="1">DATEDIF(G331,$B$1,"Y")</f>
        <v>2</v>
      </c>
      <c r="L331" s="347">
        <f ca="1">DATEDIF(G331,$B$1,"YM")</f>
        <v>8</v>
      </c>
      <c r="M331" s="441"/>
      <c r="N331" s="441"/>
      <c r="O331" s="440" t="s">
        <v>76</v>
      </c>
      <c r="P331" s="440" t="s">
        <v>36</v>
      </c>
      <c r="Q331" s="440" t="s">
        <v>41</v>
      </c>
      <c r="R331" s="441">
        <v>36136</v>
      </c>
      <c r="S331" s="438" t="e">
        <f>DATEDIF(R331,$A$3,"Y")</f>
        <v>#NUM!</v>
      </c>
      <c r="T331" s="438" t="e">
        <f>DATEDIF(R331,$A$3,"YM")</f>
        <v>#NUM!</v>
      </c>
      <c r="U331" s="440" t="s">
        <v>68</v>
      </c>
      <c r="V331" s="440" t="s">
        <v>104</v>
      </c>
      <c r="W331" s="440" t="s">
        <v>105</v>
      </c>
      <c r="X331" s="440" t="s">
        <v>59</v>
      </c>
      <c r="Y331" s="440"/>
      <c r="Z331" s="441"/>
      <c r="AA331" s="440"/>
      <c r="AB331" s="441"/>
      <c r="AC331" s="347"/>
      <c r="AD331" s="374"/>
      <c r="AE331" s="365"/>
      <c r="AF331" s="347"/>
      <c r="AG331" s="365"/>
      <c r="AH331" s="365"/>
      <c r="AI331" s="365"/>
      <c r="AJ331" s="439" t="s">
        <v>106</v>
      </c>
      <c r="AK331" s="350" t="s">
        <v>107</v>
      </c>
      <c r="AL331" s="350" t="s">
        <v>107</v>
      </c>
      <c r="AM331" s="350"/>
      <c r="AN331" s="440"/>
      <c r="AO331" s="440" t="s">
        <v>48</v>
      </c>
      <c r="AP331" s="439" t="s">
        <v>108</v>
      </c>
      <c r="AQ331" s="439" t="s">
        <v>103</v>
      </c>
      <c r="AR331" s="347"/>
      <c r="AS331" s="440" t="s">
        <v>64</v>
      </c>
      <c r="AT331" s="440" t="s">
        <v>41</v>
      </c>
      <c r="AU331" s="576" t="s">
        <v>48</v>
      </c>
    </row>
    <row r="332" spans="1:47">
      <c r="B332" s="440">
        <v>2</v>
      </c>
      <c r="C332" s="440" t="s">
        <v>317</v>
      </c>
      <c r="D332" s="437" t="s">
        <v>80</v>
      </c>
      <c r="E332" s="440" t="s">
        <v>81</v>
      </c>
      <c r="F332" s="590" t="s">
        <v>391</v>
      </c>
      <c r="G332" s="441">
        <v>43202</v>
      </c>
      <c r="H332" s="441"/>
      <c r="I332" s="441"/>
      <c r="J332" s="441"/>
      <c r="K332" s="347">
        <f t="shared" ref="K332:K392" ca="1" si="53">DATEDIF(G332,$B$1,"Y")</f>
        <v>2</v>
      </c>
      <c r="L332" s="347">
        <f t="shared" ref="L332:L392" ca="1" si="54">DATEDIF(G332,$B$1,"YM")</f>
        <v>8</v>
      </c>
      <c r="M332" s="441"/>
      <c r="N332" s="441"/>
      <c r="O332" s="440" t="s">
        <v>76</v>
      </c>
      <c r="P332" s="440" t="s">
        <v>36</v>
      </c>
      <c r="Q332" s="440" t="s">
        <v>41</v>
      </c>
      <c r="R332" s="441">
        <v>32998</v>
      </c>
      <c r="S332" s="438" t="e">
        <f>DATEDIF(R332,$A$3,"Y")</f>
        <v>#NUM!</v>
      </c>
      <c r="T332" s="438" t="e">
        <f>DATEDIF(R332,$A$3,"YM")</f>
        <v>#NUM!</v>
      </c>
      <c r="U332" s="440" t="s">
        <v>82</v>
      </c>
      <c r="V332" s="440" t="s">
        <v>48</v>
      </c>
      <c r="W332" s="440" t="s">
        <v>44</v>
      </c>
      <c r="X332" s="440" t="s">
        <v>59</v>
      </c>
      <c r="Y332" s="440"/>
      <c r="Z332" s="441"/>
      <c r="AA332" s="440"/>
      <c r="AB332" s="441"/>
      <c r="AC332" s="347"/>
      <c r="AD332" s="350"/>
      <c r="AE332" s="497"/>
      <c r="AF332" s="347"/>
      <c r="AG332" s="374"/>
      <c r="AH332" s="441"/>
      <c r="AI332" s="440"/>
      <c r="AJ332" s="439" t="s">
        <v>83</v>
      </c>
      <c r="AK332" s="350" t="s">
        <v>84</v>
      </c>
      <c r="AL332" s="350" t="s">
        <v>84</v>
      </c>
      <c r="AM332" s="350"/>
      <c r="AN332" s="440"/>
      <c r="AO332" s="440" t="s">
        <v>48</v>
      </c>
      <c r="AP332" s="439" t="s">
        <v>48</v>
      </c>
      <c r="AQ332" s="439" t="s">
        <v>80</v>
      </c>
      <c r="AR332" s="439" t="s">
        <v>956</v>
      </c>
      <c r="AS332" s="440" t="s">
        <v>64</v>
      </c>
      <c r="AT332" s="440" t="s">
        <v>95</v>
      </c>
      <c r="AU332" s="577" t="s">
        <v>48</v>
      </c>
    </row>
    <row r="333" spans="1:47">
      <c r="B333" s="440">
        <v>3</v>
      </c>
      <c r="C333" s="440">
        <v>9918040030</v>
      </c>
      <c r="D333" s="437" t="s">
        <v>338</v>
      </c>
      <c r="E333" s="440" t="s">
        <v>144</v>
      </c>
      <c r="F333" s="590" t="s">
        <v>391</v>
      </c>
      <c r="G333" s="441">
        <v>43202</v>
      </c>
      <c r="H333" s="441"/>
      <c r="I333" s="441"/>
      <c r="J333" s="441"/>
      <c r="K333" s="347">
        <f t="shared" ca="1" si="53"/>
        <v>2</v>
      </c>
      <c r="L333" s="347">
        <f t="shared" ca="1" si="54"/>
        <v>8</v>
      </c>
      <c r="M333" s="441"/>
      <c r="N333" s="441"/>
      <c r="O333" s="440" t="s">
        <v>35</v>
      </c>
      <c r="P333" s="440" t="s">
        <v>36</v>
      </c>
      <c r="Q333" s="440" t="s">
        <v>41</v>
      </c>
      <c r="R333" s="441">
        <v>31551</v>
      </c>
      <c r="S333" s="438" t="e">
        <f t="shared" ref="S333:S351" si="55">DATEDIF(R333,$A$3,"Y")</f>
        <v>#NUM!</v>
      </c>
      <c r="T333" s="438" t="e">
        <f t="shared" ref="T333:T350" si="56">DATEDIF(R333,$A$3,"YM")</f>
        <v>#NUM!</v>
      </c>
      <c r="U333" s="440" t="s">
        <v>152</v>
      </c>
      <c r="V333" s="440" t="s">
        <v>48</v>
      </c>
      <c r="W333" s="440" t="s">
        <v>48</v>
      </c>
      <c r="X333" s="440" t="s">
        <v>45</v>
      </c>
      <c r="Y333" s="440" t="s">
        <v>339</v>
      </c>
      <c r="Z333" s="441">
        <v>32728</v>
      </c>
      <c r="AA333" s="440" t="s">
        <v>340</v>
      </c>
      <c r="AB333" s="441">
        <v>41388</v>
      </c>
      <c r="AC333" s="438" t="e">
        <f>DATEDIF(AB333,$A$3,"Y")</f>
        <v>#NUM!</v>
      </c>
      <c r="AD333" s="374"/>
      <c r="AE333" s="365"/>
      <c r="AF333" s="347"/>
      <c r="AG333" s="365"/>
      <c r="AH333" s="365"/>
      <c r="AI333" s="365"/>
      <c r="AJ333" s="439" t="s">
        <v>341</v>
      </c>
      <c r="AK333" s="350" t="s">
        <v>342</v>
      </c>
      <c r="AL333" s="350"/>
      <c r="AM333" s="350"/>
      <c r="AN333" s="440"/>
      <c r="AO333" s="440" t="s">
        <v>48</v>
      </c>
      <c r="AP333" s="439" t="s">
        <v>343</v>
      </c>
      <c r="AQ333" s="439" t="s">
        <v>338</v>
      </c>
      <c r="AR333" s="347" t="s">
        <v>957</v>
      </c>
      <c r="AS333" s="440" t="s">
        <v>64</v>
      </c>
      <c r="AT333" s="440" t="s">
        <v>95</v>
      </c>
      <c r="AU333" s="577" t="s">
        <v>48</v>
      </c>
    </row>
    <row r="334" spans="1:47">
      <c r="B334" s="440">
        <v>4</v>
      </c>
      <c r="C334" s="440" t="s">
        <v>331</v>
      </c>
      <c r="D334" s="437" t="s">
        <v>219</v>
      </c>
      <c r="E334" s="440" t="s">
        <v>144</v>
      </c>
      <c r="F334" s="590" t="s">
        <v>390</v>
      </c>
      <c r="G334" s="441">
        <v>43202</v>
      </c>
      <c r="H334" s="441"/>
      <c r="I334" s="441"/>
      <c r="J334" s="441"/>
      <c r="K334" s="347">
        <f t="shared" ca="1" si="53"/>
        <v>2</v>
      </c>
      <c r="L334" s="347">
        <f t="shared" ca="1" si="54"/>
        <v>8</v>
      </c>
      <c r="M334" s="441"/>
      <c r="N334" s="441"/>
      <c r="O334" s="440" t="s">
        <v>35</v>
      </c>
      <c r="P334" s="440" t="s">
        <v>36</v>
      </c>
      <c r="Q334" s="440" t="s">
        <v>41</v>
      </c>
      <c r="R334" s="441">
        <v>36057</v>
      </c>
      <c r="S334" s="438" t="e">
        <f t="shared" si="55"/>
        <v>#NUM!</v>
      </c>
      <c r="T334" s="438" t="e">
        <f t="shared" si="56"/>
        <v>#NUM!</v>
      </c>
      <c r="U334" s="440" t="s">
        <v>68</v>
      </c>
      <c r="V334" s="440" t="s">
        <v>177</v>
      </c>
      <c r="W334" s="440" t="s">
        <v>105</v>
      </c>
      <c r="X334" s="440" t="s">
        <v>59</v>
      </c>
      <c r="Y334" s="440"/>
      <c r="Z334" s="441"/>
      <c r="AA334" s="440"/>
      <c r="AB334" s="441"/>
      <c r="AC334" s="347"/>
      <c r="AD334" s="374"/>
      <c r="AE334" s="365"/>
      <c r="AF334" s="347"/>
      <c r="AG334" s="365"/>
      <c r="AH334" s="365"/>
      <c r="AI334" s="365"/>
      <c r="AJ334" s="439" t="s">
        <v>241</v>
      </c>
      <c r="AK334" s="350" t="s">
        <v>242</v>
      </c>
      <c r="AL334" s="350" t="s">
        <v>242</v>
      </c>
      <c r="AM334" s="350"/>
      <c r="AN334" s="440"/>
      <c r="AO334" s="440" t="s">
        <v>48</v>
      </c>
      <c r="AP334" s="439" t="s">
        <v>243</v>
      </c>
      <c r="AQ334" s="439" t="s">
        <v>219</v>
      </c>
      <c r="AR334" s="347" t="s">
        <v>907</v>
      </c>
      <c r="AS334" s="440" t="s">
        <v>64</v>
      </c>
      <c r="AT334" s="440" t="s">
        <v>95</v>
      </c>
      <c r="AU334" s="577" t="s">
        <v>48</v>
      </c>
    </row>
    <row r="335" spans="1:47">
      <c r="B335" s="440">
        <v>5</v>
      </c>
      <c r="C335" s="440">
        <v>9918040008</v>
      </c>
      <c r="D335" s="437" t="s">
        <v>204</v>
      </c>
      <c r="E335" s="440" t="s">
        <v>89</v>
      </c>
      <c r="F335" s="590" t="s">
        <v>391</v>
      </c>
      <c r="G335" s="441">
        <v>43202</v>
      </c>
      <c r="H335" s="441"/>
      <c r="I335" s="441"/>
      <c r="J335" s="441"/>
      <c r="K335" s="347">
        <f t="shared" ca="1" si="53"/>
        <v>2</v>
      </c>
      <c r="L335" s="347">
        <f t="shared" ca="1" si="54"/>
        <v>8</v>
      </c>
      <c r="M335" s="441"/>
      <c r="N335" s="441"/>
      <c r="O335" s="440" t="s">
        <v>76</v>
      </c>
      <c r="P335" s="440" t="s">
        <v>36</v>
      </c>
      <c r="Q335" s="440" t="s">
        <v>41</v>
      </c>
      <c r="R335" s="441">
        <v>36114</v>
      </c>
      <c r="S335" s="438" t="e">
        <f t="shared" si="55"/>
        <v>#NUM!</v>
      </c>
      <c r="T335" s="438" t="e">
        <f t="shared" si="56"/>
        <v>#NUM!</v>
      </c>
      <c r="U335" s="440" t="s">
        <v>68</v>
      </c>
      <c r="V335" s="440" t="s">
        <v>69</v>
      </c>
      <c r="W335" s="440" t="s">
        <v>44</v>
      </c>
      <c r="X335" s="440" t="s">
        <v>59</v>
      </c>
      <c r="Y335" s="440"/>
      <c r="Z335" s="441"/>
      <c r="AA335" s="440"/>
      <c r="AB335" s="441"/>
      <c r="AC335" s="347"/>
      <c r="AD335" s="374"/>
      <c r="AE335" s="365"/>
      <c r="AF335" s="347"/>
      <c r="AG335" s="365"/>
      <c r="AH335" s="365"/>
      <c r="AI335" s="365"/>
      <c r="AJ335" s="439" t="s">
        <v>205</v>
      </c>
      <c r="AK335" s="350" t="s">
        <v>206</v>
      </c>
      <c r="AL335" s="350" t="s">
        <v>206</v>
      </c>
      <c r="AM335" s="350"/>
      <c r="AN335" s="440"/>
      <c r="AO335" s="440" t="s">
        <v>48</v>
      </c>
      <c r="AP335" s="439" t="s">
        <v>207</v>
      </c>
      <c r="AQ335" s="439" t="s">
        <v>204</v>
      </c>
      <c r="AR335" s="347" t="s">
        <v>958</v>
      </c>
      <c r="AS335" s="440" t="s">
        <v>64</v>
      </c>
      <c r="AT335" s="440" t="s">
        <v>95</v>
      </c>
      <c r="AU335" s="576" t="s">
        <v>48</v>
      </c>
    </row>
    <row r="336" spans="1:47">
      <c r="B336" s="440">
        <v>6</v>
      </c>
      <c r="C336" s="672">
        <v>9918050034</v>
      </c>
      <c r="D336" s="437" t="s">
        <v>377</v>
      </c>
      <c r="E336" s="673" t="s">
        <v>523</v>
      </c>
      <c r="F336" s="590" t="s">
        <v>391</v>
      </c>
      <c r="G336" s="441">
        <v>43234</v>
      </c>
      <c r="H336" s="441"/>
      <c r="I336" s="441"/>
      <c r="J336" s="587"/>
      <c r="K336" s="347">
        <f t="shared" ca="1" si="53"/>
        <v>2</v>
      </c>
      <c r="L336" s="347">
        <f t="shared" ca="1" si="54"/>
        <v>7</v>
      </c>
      <c r="M336" s="631"/>
      <c r="N336" s="631"/>
      <c r="O336" s="440" t="s">
        <v>35</v>
      </c>
      <c r="P336" s="440" t="s">
        <v>36</v>
      </c>
      <c r="Q336" s="440" t="s">
        <v>41</v>
      </c>
      <c r="R336" s="441">
        <v>34826</v>
      </c>
      <c r="S336" s="438" t="e">
        <f t="shared" si="55"/>
        <v>#NUM!</v>
      </c>
      <c r="T336" s="438" t="e">
        <f t="shared" si="56"/>
        <v>#NUM!</v>
      </c>
      <c r="U336" s="673" t="s">
        <v>57</v>
      </c>
      <c r="V336" s="672" t="s">
        <v>524</v>
      </c>
      <c r="W336" s="673" t="s">
        <v>224</v>
      </c>
      <c r="X336" s="440" t="s">
        <v>59</v>
      </c>
      <c r="Y336" s="440"/>
      <c r="Z336" s="441"/>
      <c r="AA336" s="440"/>
      <c r="AB336" s="350"/>
      <c r="AC336" s="350"/>
      <c r="AD336" s="350"/>
      <c r="AE336" s="350"/>
      <c r="AF336" s="350"/>
      <c r="AG336" s="674"/>
      <c r="AH336" s="675"/>
      <c r="AI336" s="676"/>
      <c r="AJ336" s="677" t="s">
        <v>525</v>
      </c>
      <c r="AK336" s="678" t="s">
        <v>526</v>
      </c>
      <c r="AL336" s="678" t="s">
        <v>526</v>
      </c>
      <c r="AM336" s="679"/>
      <c r="AN336" s="673"/>
      <c r="AO336" s="440" t="s">
        <v>48</v>
      </c>
      <c r="AP336" s="677" t="s">
        <v>527</v>
      </c>
      <c r="AQ336" s="672"/>
      <c r="AR336" s="672"/>
      <c r="AS336" s="440" t="s">
        <v>64</v>
      </c>
      <c r="AT336" s="440" t="s">
        <v>95</v>
      </c>
      <c r="AU336" s="680" t="s">
        <v>528</v>
      </c>
    </row>
    <row r="337" spans="2:47">
      <c r="B337" s="440">
        <v>7</v>
      </c>
      <c r="C337" s="355">
        <v>9919020014</v>
      </c>
      <c r="D337" s="437" t="s">
        <v>554</v>
      </c>
      <c r="E337" s="440" t="s">
        <v>442</v>
      </c>
      <c r="F337" s="590" t="s">
        <v>391</v>
      </c>
      <c r="G337" s="441">
        <v>43525</v>
      </c>
      <c r="H337" s="441"/>
      <c r="I337" s="441"/>
      <c r="J337" s="357"/>
      <c r="K337" s="347">
        <f t="shared" ca="1" si="53"/>
        <v>1</v>
      </c>
      <c r="L337" s="347">
        <f t="shared" ca="1" si="54"/>
        <v>10</v>
      </c>
      <c r="M337" s="441"/>
      <c r="N337" s="441"/>
      <c r="O337" s="440" t="s">
        <v>76</v>
      </c>
      <c r="P337" s="440" t="s">
        <v>36</v>
      </c>
      <c r="Q337" s="440" t="s">
        <v>41</v>
      </c>
      <c r="R337" s="441">
        <v>35100</v>
      </c>
      <c r="S337" s="438" t="e">
        <f t="shared" si="55"/>
        <v>#NUM!</v>
      </c>
      <c r="T337" s="438" t="e">
        <f t="shared" si="56"/>
        <v>#NUM!</v>
      </c>
      <c r="U337" s="440" t="s">
        <v>130</v>
      </c>
      <c r="V337" s="440" t="s">
        <v>413</v>
      </c>
      <c r="W337" s="440" t="s">
        <v>459</v>
      </c>
      <c r="X337" s="440" t="s">
        <v>59</v>
      </c>
      <c r="Y337" s="440" t="s">
        <v>48</v>
      </c>
      <c r="Z337" s="440" t="s">
        <v>48</v>
      </c>
      <c r="AA337" s="440" t="s">
        <v>48</v>
      </c>
      <c r="AB337" s="440" t="s">
        <v>48</v>
      </c>
      <c r="AC337" s="440" t="s">
        <v>48</v>
      </c>
      <c r="AD337" s="440" t="s">
        <v>48</v>
      </c>
      <c r="AE337" s="440" t="s">
        <v>48</v>
      </c>
      <c r="AF337" s="440" t="s">
        <v>48</v>
      </c>
      <c r="AG337" s="388"/>
      <c r="AH337" s="388"/>
      <c r="AI337" s="388"/>
      <c r="AJ337" s="442" t="s">
        <v>557</v>
      </c>
      <c r="AK337" s="350" t="s">
        <v>555</v>
      </c>
      <c r="AL337" s="350" t="s">
        <v>555</v>
      </c>
      <c r="AM337" s="350"/>
      <c r="AN337" s="440"/>
      <c r="AO337" s="440" t="s">
        <v>48</v>
      </c>
      <c r="AP337" s="681" t="s">
        <v>556</v>
      </c>
      <c r="AQ337" s="362" t="s">
        <v>554</v>
      </c>
      <c r="AR337" s="681"/>
      <c r="AS337" s="440" t="s">
        <v>64</v>
      </c>
      <c r="AT337" s="440" t="s">
        <v>95</v>
      </c>
      <c r="AU337" s="579"/>
    </row>
    <row r="338" spans="2:47">
      <c r="B338" s="440">
        <v>8</v>
      </c>
      <c r="C338" s="355">
        <v>9919040018</v>
      </c>
      <c r="D338" s="437" t="s">
        <v>596</v>
      </c>
      <c r="E338" s="440" t="s">
        <v>144</v>
      </c>
      <c r="F338" s="590" t="s">
        <v>391</v>
      </c>
      <c r="G338" s="441">
        <v>43559</v>
      </c>
      <c r="H338" s="441">
        <v>43559</v>
      </c>
      <c r="I338" s="441"/>
      <c r="J338" s="441"/>
      <c r="K338" s="347">
        <f t="shared" ca="1" si="53"/>
        <v>1</v>
      </c>
      <c r="L338" s="347">
        <f t="shared" ca="1" si="54"/>
        <v>9</v>
      </c>
      <c r="M338" s="441"/>
      <c r="N338" s="441"/>
      <c r="O338" s="355" t="s">
        <v>35</v>
      </c>
      <c r="P338" s="440" t="s">
        <v>36</v>
      </c>
      <c r="Q338" s="440" t="s">
        <v>455</v>
      </c>
      <c r="R338" s="441">
        <v>35027</v>
      </c>
      <c r="S338" s="438" t="e">
        <f t="shared" si="55"/>
        <v>#NUM!</v>
      </c>
      <c r="T338" s="438" t="e">
        <f t="shared" si="56"/>
        <v>#NUM!</v>
      </c>
      <c r="U338" s="440" t="s">
        <v>597</v>
      </c>
      <c r="V338" s="440" t="s">
        <v>598</v>
      </c>
      <c r="W338" s="440" t="s">
        <v>48</v>
      </c>
      <c r="X338" s="440" t="s">
        <v>59</v>
      </c>
      <c r="Y338" s="440" t="s">
        <v>48</v>
      </c>
      <c r="Z338" s="440" t="s">
        <v>48</v>
      </c>
      <c r="AA338" s="440" t="s">
        <v>48</v>
      </c>
      <c r="AB338" s="440" t="s">
        <v>48</v>
      </c>
      <c r="AC338" s="440" t="s">
        <v>48</v>
      </c>
      <c r="AD338" s="440" t="s">
        <v>48</v>
      </c>
      <c r="AE338" s="440" t="s">
        <v>48</v>
      </c>
      <c r="AF338" s="440" t="s">
        <v>48</v>
      </c>
      <c r="AG338" s="365"/>
      <c r="AH338" s="365"/>
      <c r="AI338" s="365"/>
      <c r="AJ338" s="442" t="s">
        <v>599</v>
      </c>
      <c r="AK338" s="350" t="s">
        <v>600</v>
      </c>
      <c r="AL338" s="350" t="s">
        <v>600</v>
      </c>
      <c r="AM338" s="350"/>
      <c r="AN338" s="440"/>
      <c r="AO338" s="440" t="s">
        <v>48</v>
      </c>
      <c r="AP338" s="442" t="s">
        <v>601</v>
      </c>
      <c r="AQ338" s="439" t="s">
        <v>596</v>
      </c>
      <c r="AR338" s="347" t="s">
        <v>603</v>
      </c>
      <c r="AS338" s="440" t="s">
        <v>64</v>
      </c>
      <c r="AT338" s="440" t="s">
        <v>95</v>
      </c>
      <c r="AU338" s="577"/>
    </row>
    <row r="339" spans="2:47">
      <c r="B339" s="440">
        <v>9</v>
      </c>
      <c r="C339" s="578">
        <v>9918040031</v>
      </c>
      <c r="D339" s="437" t="s">
        <v>345</v>
      </c>
      <c r="E339" s="440" t="s">
        <v>442</v>
      </c>
      <c r="F339" s="590" t="s">
        <v>391</v>
      </c>
      <c r="G339" s="441">
        <v>43216</v>
      </c>
      <c r="H339" s="357">
        <v>43216</v>
      </c>
      <c r="I339" s="441"/>
      <c r="J339" s="441"/>
      <c r="K339" s="347">
        <f t="shared" ca="1" si="53"/>
        <v>2</v>
      </c>
      <c r="L339" s="347">
        <f t="shared" ca="1" si="54"/>
        <v>8</v>
      </c>
      <c r="M339" s="441"/>
      <c r="N339" s="441"/>
      <c r="O339" s="440" t="s">
        <v>35</v>
      </c>
      <c r="P339" s="440" t="s">
        <v>36</v>
      </c>
      <c r="Q339" s="440" t="s">
        <v>41</v>
      </c>
      <c r="R339" s="441">
        <v>34617</v>
      </c>
      <c r="S339" s="438" t="e">
        <f t="shared" si="55"/>
        <v>#NUM!</v>
      </c>
      <c r="T339" s="438" t="e">
        <f t="shared" si="56"/>
        <v>#NUM!</v>
      </c>
      <c r="U339" s="440" t="s">
        <v>42</v>
      </c>
      <c r="V339" s="440" t="s">
        <v>43</v>
      </c>
      <c r="W339" s="440" t="s">
        <v>44</v>
      </c>
      <c r="X339" s="440" t="s">
        <v>59</v>
      </c>
      <c r="Y339" s="440" t="s">
        <v>48</v>
      </c>
      <c r="Z339" s="440" t="s">
        <v>48</v>
      </c>
      <c r="AA339" s="440" t="s">
        <v>48</v>
      </c>
      <c r="AB339" s="440" t="s">
        <v>48</v>
      </c>
      <c r="AC339" s="440" t="s">
        <v>48</v>
      </c>
      <c r="AD339" s="440" t="s">
        <v>48</v>
      </c>
      <c r="AE339" s="440" t="s">
        <v>48</v>
      </c>
      <c r="AF339" s="440" t="s">
        <v>48</v>
      </c>
      <c r="AG339" s="388"/>
      <c r="AH339" s="388"/>
      <c r="AI339" s="388"/>
      <c r="AJ339" s="442" t="s">
        <v>346</v>
      </c>
      <c r="AK339" s="350" t="s">
        <v>347</v>
      </c>
      <c r="AL339" s="350" t="s">
        <v>347</v>
      </c>
      <c r="AM339" s="350"/>
      <c r="AN339" s="440"/>
      <c r="AO339" s="440" t="s">
        <v>48</v>
      </c>
      <c r="AP339" s="681" t="s">
        <v>348</v>
      </c>
      <c r="AQ339" s="362" t="s">
        <v>345</v>
      </c>
      <c r="AR339" s="681"/>
      <c r="AS339" s="440" t="s">
        <v>64</v>
      </c>
      <c r="AT339" s="440" t="s">
        <v>95</v>
      </c>
      <c r="AU339" s="579"/>
    </row>
    <row r="340" spans="2:47">
      <c r="B340" s="440">
        <v>10</v>
      </c>
      <c r="C340" s="440" t="s">
        <v>321</v>
      </c>
      <c r="D340" s="437" t="s">
        <v>151</v>
      </c>
      <c r="E340" s="440" t="s">
        <v>135</v>
      </c>
      <c r="F340" s="590" t="s">
        <v>391</v>
      </c>
      <c r="G340" s="441">
        <v>43202</v>
      </c>
      <c r="H340" s="441">
        <v>43202</v>
      </c>
      <c r="I340" s="441"/>
      <c r="J340" s="441"/>
      <c r="K340" s="347">
        <f t="shared" ca="1" si="53"/>
        <v>2</v>
      </c>
      <c r="L340" s="347">
        <f t="shared" ca="1" si="54"/>
        <v>8</v>
      </c>
      <c r="M340" s="441"/>
      <c r="N340" s="441"/>
      <c r="O340" s="440" t="s">
        <v>76</v>
      </c>
      <c r="P340" s="440" t="s">
        <v>36</v>
      </c>
      <c r="Q340" s="440" t="s">
        <v>41</v>
      </c>
      <c r="R340" s="441">
        <v>34738</v>
      </c>
      <c r="S340" s="438" t="e">
        <f t="shared" si="55"/>
        <v>#NUM!</v>
      </c>
      <c r="T340" s="438" t="e">
        <f t="shared" si="56"/>
        <v>#NUM!</v>
      </c>
      <c r="U340" s="440" t="s">
        <v>152</v>
      </c>
      <c r="V340" s="440" t="s">
        <v>153</v>
      </c>
      <c r="W340" s="440" t="s">
        <v>48</v>
      </c>
      <c r="X340" s="440" t="s">
        <v>59</v>
      </c>
      <c r="Y340" s="440" t="s">
        <v>48</v>
      </c>
      <c r="Z340" s="440" t="s">
        <v>48</v>
      </c>
      <c r="AA340" s="440" t="s">
        <v>48</v>
      </c>
      <c r="AB340" s="440" t="s">
        <v>48</v>
      </c>
      <c r="AC340" s="440" t="s">
        <v>48</v>
      </c>
      <c r="AD340" s="440" t="s">
        <v>48</v>
      </c>
      <c r="AE340" s="440" t="s">
        <v>48</v>
      </c>
      <c r="AF340" s="440" t="s">
        <v>48</v>
      </c>
      <c r="AG340" s="365"/>
      <c r="AH340" s="365"/>
      <c r="AI340" s="365"/>
      <c r="AJ340" s="439" t="s">
        <v>154</v>
      </c>
      <c r="AK340" s="350" t="s">
        <v>155</v>
      </c>
      <c r="AL340" s="350" t="s">
        <v>156</v>
      </c>
      <c r="AM340" s="350"/>
      <c r="AN340" s="440"/>
      <c r="AO340" s="440" t="s">
        <v>48</v>
      </c>
      <c r="AP340" s="439" t="s">
        <v>157</v>
      </c>
      <c r="AQ340" s="439" t="s">
        <v>151</v>
      </c>
      <c r="AR340" s="347" t="s">
        <v>959</v>
      </c>
      <c r="AS340" s="440" t="s">
        <v>64</v>
      </c>
      <c r="AT340" s="440" t="s">
        <v>95</v>
      </c>
      <c r="AU340" s="580" t="s">
        <v>158</v>
      </c>
    </row>
    <row r="341" spans="2:47">
      <c r="B341" s="440">
        <v>11</v>
      </c>
      <c r="C341" s="440" t="s">
        <v>319</v>
      </c>
      <c r="D341" s="437" t="s">
        <v>134</v>
      </c>
      <c r="E341" s="440" t="s">
        <v>144</v>
      </c>
      <c r="F341" s="590" t="s">
        <v>391</v>
      </c>
      <c r="G341" s="441">
        <v>43202</v>
      </c>
      <c r="H341" s="441">
        <v>43202</v>
      </c>
      <c r="I341" s="441"/>
      <c r="J341" s="441"/>
      <c r="K341" s="347">
        <f t="shared" ca="1" si="53"/>
        <v>2</v>
      </c>
      <c r="L341" s="347">
        <f t="shared" ca="1" si="54"/>
        <v>8</v>
      </c>
      <c r="M341" s="441"/>
      <c r="N341" s="441"/>
      <c r="O341" s="440" t="s">
        <v>76</v>
      </c>
      <c r="P341" s="440" t="s">
        <v>36</v>
      </c>
      <c r="Q341" s="440" t="s">
        <v>41</v>
      </c>
      <c r="R341" s="441">
        <v>35286</v>
      </c>
      <c r="S341" s="438" t="e">
        <f t="shared" si="55"/>
        <v>#NUM!</v>
      </c>
      <c r="T341" s="438" t="e">
        <f t="shared" si="56"/>
        <v>#NUM!</v>
      </c>
      <c r="U341" s="440" t="s">
        <v>136</v>
      </c>
      <c r="V341" s="440" t="s">
        <v>48</v>
      </c>
      <c r="W341" s="440" t="s">
        <v>48</v>
      </c>
      <c r="X341" s="440" t="s">
        <v>45</v>
      </c>
      <c r="Y341" s="440" t="s">
        <v>137</v>
      </c>
      <c r="Z341" s="441">
        <v>34153</v>
      </c>
      <c r="AA341" s="440" t="s">
        <v>138</v>
      </c>
      <c r="AB341" s="441">
        <v>41374</v>
      </c>
      <c r="AC341" s="438" t="e">
        <f t="shared" ref="AC341" si="57">DATEDIF(AB341,$A$3,"Y")</f>
        <v>#NUM!</v>
      </c>
      <c r="AD341" s="440" t="s">
        <v>48</v>
      </c>
      <c r="AE341" s="440" t="s">
        <v>48</v>
      </c>
      <c r="AF341" s="440" t="s">
        <v>48</v>
      </c>
      <c r="AG341" s="365"/>
      <c r="AH341" s="365"/>
      <c r="AI341" s="365"/>
      <c r="AJ341" s="439" t="s">
        <v>139</v>
      </c>
      <c r="AK341" s="350" t="s">
        <v>140</v>
      </c>
      <c r="AL341" s="350" t="s">
        <v>140</v>
      </c>
      <c r="AM341" s="350"/>
      <c r="AN341" s="440"/>
      <c r="AO341" s="440" t="s">
        <v>48</v>
      </c>
      <c r="AP341" s="439" t="s">
        <v>141</v>
      </c>
      <c r="AQ341" s="439" t="s">
        <v>134</v>
      </c>
      <c r="AR341" s="347" t="s">
        <v>960</v>
      </c>
      <c r="AS341" s="440" t="s">
        <v>64</v>
      </c>
      <c r="AT341" s="440" t="s">
        <v>95</v>
      </c>
      <c r="AU341" s="577" t="s">
        <v>48</v>
      </c>
    </row>
    <row r="342" spans="2:47">
      <c r="B342" s="440">
        <v>12</v>
      </c>
      <c r="C342" s="440" t="s">
        <v>324</v>
      </c>
      <c r="D342" s="437" t="s">
        <v>171</v>
      </c>
      <c r="E342" s="440" t="s">
        <v>144</v>
      </c>
      <c r="F342" s="590" t="s">
        <v>391</v>
      </c>
      <c r="G342" s="441">
        <v>43202</v>
      </c>
      <c r="H342" s="441">
        <v>43202</v>
      </c>
      <c r="I342" s="441"/>
      <c r="J342" s="441"/>
      <c r="K342" s="347">
        <f t="shared" ca="1" si="53"/>
        <v>2</v>
      </c>
      <c r="L342" s="347">
        <f t="shared" ca="1" si="54"/>
        <v>8</v>
      </c>
      <c r="M342" s="441"/>
      <c r="N342" s="441"/>
      <c r="O342" s="440" t="s">
        <v>76</v>
      </c>
      <c r="P342" s="440" t="s">
        <v>36</v>
      </c>
      <c r="Q342" s="440" t="s">
        <v>41</v>
      </c>
      <c r="R342" s="441">
        <v>35350</v>
      </c>
      <c r="S342" s="438" t="e">
        <f t="shared" si="55"/>
        <v>#NUM!</v>
      </c>
      <c r="T342" s="438" t="e">
        <f t="shared" si="56"/>
        <v>#NUM!</v>
      </c>
      <c r="U342" s="440" t="s">
        <v>68</v>
      </c>
      <c r="V342" s="440" t="s">
        <v>172</v>
      </c>
      <c r="W342" s="440" t="s">
        <v>48</v>
      </c>
      <c r="X342" s="440" t="s">
        <v>59</v>
      </c>
      <c r="Y342" s="440" t="s">
        <v>562</v>
      </c>
      <c r="Z342" s="441">
        <v>35174</v>
      </c>
      <c r="AA342" s="440" t="s">
        <v>48</v>
      </c>
      <c r="AB342" s="440" t="s">
        <v>48</v>
      </c>
      <c r="AC342" s="440" t="s">
        <v>48</v>
      </c>
      <c r="AD342" s="440" t="s">
        <v>48</v>
      </c>
      <c r="AE342" s="440" t="s">
        <v>48</v>
      </c>
      <c r="AF342" s="440" t="s">
        <v>48</v>
      </c>
      <c r="AG342" s="365"/>
      <c r="AH342" s="365"/>
      <c r="AI342" s="365"/>
      <c r="AJ342" s="439" t="s">
        <v>173</v>
      </c>
      <c r="AK342" s="350" t="s">
        <v>174</v>
      </c>
      <c r="AL342" s="350" t="s">
        <v>174</v>
      </c>
      <c r="AM342" s="350"/>
      <c r="AN342" s="440"/>
      <c r="AO342" s="440" t="s">
        <v>48</v>
      </c>
      <c r="AP342" s="439" t="s">
        <v>175</v>
      </c>
      <c r="AQ342" s="439" t="s">
        <v>171</v>
      </c>
      <c r="AR342" s="347" t="s">
        <v>961</v>
      </c>
      <c r="AS342" s="440" t="s">
        <v>64</v>
      </c>
      <c r="AT342" s="440" t="s">
        <v>95</v>
      </c>
      <c r="AU342" s="577" t="s">
        <v>48</v>
      </c>
    </row>
    <row r="343" spans="2:47">
      <c r="B343" s="440">
        <v>13</v>
      </c>
      <c r="C343" s="440" t="s">
        <v>325</v>
      </c>
      <c r="D343" s="437" t="s">
        <v>176</v>
      </c>
      <c r="E343" s="440" t="s">
        <v>144</v>
      </c>
      <c r="F343" s="590" t="s">
        <v>391</v>
      </c>
      <c r="G343" s="441">
        <v>43202</v>
      </c>
      <c r="H343" s="441">
        <v>43202</v>
      </c>
      <c r="I343" s="441"/>
      <c r="J343" s="416"/>
      <c r="K343" s="347">
        <f t="shared" ca="1" si="53"/>
        <v>2</v>
      </c>
      <c r="L343" s="347">
        <f t="shared" ca="1" si="54"/>
        <v>8</v>
      </c>
      <c r="M343" s="441"/>
      <c r="N343" s="441"/>
      <c r="O343" s="440" t="s">
        <v>76</v>
      </c>
      <c r="P343" s="440" t="s">
        <v>36</v>
      </c>
      <c r="Q343" s="440" t="s">
        <v>41</v>
      </c>
      <c r="R343" s="441">
        <v>33625</v>
      </c>
      <c r="S343" s="438" t="e">
        <f t="shared" si="55"/>
        <v>#NUM!</v>
      </c>
      <c r="T343" s="438" t="e">
        <f t="shared" si="56"/>
        <v>#NUM!</v>
      </c>
      <c r="U343" s="440" t="s">
        <v>68</v>
      </c>
      <c r="V343" s="440" t="s">
        <v>177</v>
      </c>
      <c r="W343" s="440" t="s">
        <v>48</v>
      </c>
      <c r="X343" s="440" t="s">
        <v>45</v>
      </c>
      <c r="Y343" s="440" t="s">
        <v>178</v>
      </c>
      <c r="Z343" s="441">
        <v>31472</v>
      </c>
      <c r="AA343" s="440" t="s">
        <v>179</v>
      </c>
      <c r="AB343" s="441">
        <v>41736</v>
      </c>
      <c r="AC343" s="438" t="e">
        <f>DATEDIF(AB343,$A$3,"Y")</f>
        <v>#NUM!</v>
      </c>
      <c r="AD343" s="440" t="s">
        <v>48</v>
      </c>
      <c r="AE343" s="440" t="s">
        <v>48</v>
      </c>
      <c r="AF343" s="440" t="s">
        <v>48</v>
      </c>
      <c r="AG343" s="365"/>
      <c r="AH343" s="365"/>
      <c r="AI343" s="365"/>
      <c r="AJ343" s="439" t="s">
        <v>180</v>
      </c>
      <c r="AK343" s="350" t="s">
        <v>181</v>
      </c>
      <c r="AL343" s="350" t="s">
        <v>181</v>
      </c>
      <c r="AM343" s="350"/>
      <c r="AN343" s="440"/>
      <c r="AO343" s="440" t="s">
        <v>48</v>
      </c>
      <c r="AP343" s="439" t="s">
        <v>182</v>
      </c>
      <c r="AQ343" s="439" t="s">
        <v>176</v>
      </c>
      <c r="AR343" s="347" t="s">
        <v>962</v>
      </c>
      <c r="AS343" s="440" t="s">
        <v>64</v>
      </c>
      <c r="AT343" s="440" t="s">
        <v>95</v>
      </c>
      <c r="AU343" s="577" t="s">
        <v>48</v>
      </c>
    </row>
    <row r="344" spans="2:47">
      <c r="B344" s="440">
        <v>14</v>
      </c>
      <c r="C344" s="440" t="s">
        <v>320</v>
      </c>
      <c r="D344" s="437" t="s">
        <v>143</v>
      </c>
      <c r="E344" s="440" t="s">
        <v>144</v>
      </c>
      <c r="F344" s="590" t="s">
        <v>391</v>
      </c>
      <c r="G344" s="441">
        <v>43202</v>
      </c>
      <c r="H344" s="441">
        <v>43202</v>
      </c>
      <c r="I344" s="441"/>
      <c r="J344" s="416"/>
      <c r="K344" s="347">
        <f t="shared" ca="1" si="53"/>
        <v>2</v>
      </c>
      <c r="L344" s="347">
        <f t="shared" ca="1" si="54"/>
        <v>8</v>
      </c>
      <c r="M344" s="441"/>
      <c r="N344" s="441"/>
      <c r="O344" s="440" t="s">
        <v>76</v>
      </c>
      <c r="P344" s="440" t="s">
        <v>36</v>
      </c>
      <c r="Q344" s="440" t="s">
        <v>145</v>
      </c>
      <c r="R344" s="441">
        <v>35278</v>
      </c>
      <c r="S344" s="438" t="e">
        <f t="shared" si="55"/>
        <v>#NUM!</v>
      </c>
      <c r="T344" s="438" t="e">
        <f t="shared" si="56"/>
        <v>#NUM!</v>
      </c>
      <c r="U344" s="440" t="s">
        <v>68</v>
      </c>
      <c r="V344" s="440" t="s">
        <v>146</v>
      </c>
      <c r="W344" s="440" t="s">
        <v>44</v>
      </c>
      <c r="X344" s="440" t="s">
        <v>59</v>
      </c>
      <c r="Y344" s="440" t="s">
        <v>48</v>
      </c>
      <c r="Z344" s="440" t="s">
        <v>48</v>
      </c>
      <c r="AA344" s="440" t="s">
        <v>48</v>
      </c>
      <c r="AB344" s="440" t="s">
        <v>48</v>
      </c>
      <c r="AC344" s="440" t="s">
        <v>48</v>
      </c>
      <c r="AD344" s="440" t="s">
        <v>48</v>
      </c>
      <c r="AE344" s="440" t="s">
        <v>48</v>
      </c>
      <c r="AF344" s="440" t="s">
        <v>48</v>
      </c>
      <c r="AG344" s="365"/>
      <c r="AH344" s="365"/>
      <c r="AI344" s="365"/>
      <c r="AJ344" s="439" t="s">
        <v>147</v>
      </c>
      <c r="AK344" s="350" t="s">
        <v>148</v>
      </c>
      <c r="AL344" s="350" t="s">
        <v>149</v>
      </c>
      <c r="AM344" s="350"/>
      <c r="AN344" s="440"/>
      <c r="AO344" s="440" t="s">
        <v>48</v>
      </c>
      <c r="AP344" s="439" t="s">
        <v>150</v>
      </c>
      <c r="AQ344" s="439" t="s">
        <v>143</v>
      </c>
      <c r="AR344" s="347" t="s">
        <v>963</v>
      </c>
      <c r="AS344" s="440" t="s">
        <v>64</v>
      </c>
      <c r="AT344" s="440" t="s">
        <v>95</v>
      </c>
      <c r="AU344" s="577" t="s">
        <v>48</v>
      </c>
    </row>
    <row r="345" spans="2:47">
      <c r="B345" s="440">
        <v>15</v>
      </c>
      <c r="C345" s="440">
        <v>9919010002</v>
      </c>
      <c r="D345" s="437" t="s">
        <v>438</v>
      </c>
      <c r="E345" s="440" t="s">
        <v>449</v>
      </c>
      <c r="F345" s="590" t="s">
        <v>650</v>
      </c>
      <c r="G345" s="441">
        <v>43467</v>
      </c>
      <c r="H345" s="357">
        <v>43467</v>
      </c>
      <c r="I345" s="441"/>
      <c r="J345" s="416"/>
      <c r="K345" s="347">
        <f t="shared" ca="1" si="53"/>
        <v>2</v>
      </c>
      <c r="L345" s="347">
        <f t="shared" ca="1" si="54"/>
        <v>0</v>
      </c>
      <c r="M345" s="441"/>
      <c r="N345" s="441"/>
      <c r="O345" s="440" t="s">
        <v>35</v>
      </c>
      <c r="P345" s="440" t="s">
        <v>36</v>
      </c>
      <c r="Q345" s="440" t="s">
        <v>455</v>
      </c>
      <c r="R345" s="441">
        <v>32702</v>
      </c>
      <c r="S345" s="438" t="e">
        <f t="shared" si="55"/>
        <v>#NUM!</v>
      </c>
      <c r="T345" s="438" t="e">
        <f t="shared" si="56"/>
        <v>#NUM!</v>
      </c>
      <c r="U345" s="440" t="s">
        <v>57</v>
      </c>
      <c r="V345" s="440" t="s">
        <v>161</v>
      </c>
      <c r="W345" s="440"/>
      <c r="X345" s="440" t="s">
        <v>350</v>
      </c>
      <c r="Y345" s="388" t="s">
        <v>456</v>
      </c>
      <c r="Z345" s="388">
        <v>34108</v>
      </c>
      <c r="AA345" s="440" t="s">
        <v>48</v>
      </c>
      <c r="AB345" s="440" t="s">
        <v>48</v>
      </c>
      <c r="AC345" s="440" t="s">
        <v>48</v>
      </c>
      <c r="AD345" s="440" t="s">
        <v>48</v>
      </c>
      <c r="AE345" s="440" t="s">
        <v>48</v>
      </c>
      <c r="AF345" s="440" t="s">
        <v>48</v>
      </c>
      <c r="AG345" s="682"/>
      <c r="AH345" s="682"/>
      <c r="AI345" s="682"/>
      <c r="AJ345" s="439" t="s">
        <v>482</v>
      </c>
      <c r="AK345" s="350" t="s">
        <v>457</v>
      </c>
      <c r="AL345" s="350" t="s">
        <v>457</v>
      </c>
      <c r="AM345" s="581"/>
      <c r="AN345" s="354"/>
      <c r="AO345" s="440" t="s">
        <v>48</v>
      </c>
      <c r="AP345" s="442" t="s">
        <v>458</v>
      </c>
      <c r="AQ345" s="439" t="s">
        <v>438</v>
      </c>
      <c r="AR345" s="625" t="s">
        <v>643</v>
      </c>
      <c r="AS345" s="440" t="s">
        <v>64</v>
      </c>
      <c r="AT345" s="440" t="s">
        <v>95</v>
      </c>
      <c r="AU345" s="582" t="s">
        <v>463</v>
      </c>
    </row>
    <row r="346" spans="2:47">
      <c r="B346" s="440">
        <v>16</v>
      </c>
      <c r="C346" s="440" t="s">
        <v>452</v>
      </c>
      <c r="D346" s="437" t="s">
        <v>484</v>
      </c>
      <c r="E346" s="440" t="s">
        <v>144</v>
      </c>
      <c r="F346" s="590" t="s">
        <v>391</v>
      </c>
      <c r="G346" s="441">
        <v>43468</v>
      </c>
      <c r="H346" s="441">
        <v>43468</v>
      </c>
      <c r="I346" s="441"/>
      <c r="J346" s="441"/>
      <c r="K346" s="347">
        <f t="shared" ca="1" si="53"/>
        <v>2</v>
      </c>
      <c r="L346" s="347">
        <f t="shared" ca="1" si="54"/>
        <v>0</v>
      </c>
      <c r="M346" s="441"/>
      <c r="N346" s="441"/>
      <c r="O346" s="440" t="s">
        <v>76</v>
      </c>
      <c r="P346" s="440" t="s">
        <v>36</v>
      </c>
      <c r="Q346" s="440" t="s">
        <v>41</v>
      </c>
      <c r="R346" s="441">
        <v>33694</v>
      </c>
      <c r="S346" s="353" t="e">
        <f t="shared" si="55"/>
        <v>#NUM!</v>
      </c>
      <c r="T346" s="353" t="e">
        <f t="shared" si="56"/>
        <v>#NUM!</v>
      </c>
      <c r="U346" s="440" t="s">
        <v>68</v>
      </c>
      <c r="V346" s="440" t="s">
        <v>177</v>
      </c>
      <c r="W346" s="440" t="s">
        <v>48</v>
      </c>
      <c r="X346" s="440" t="s">
        <v>59</v>
      </c>
      <c r="Y346" s="440"/>
      <c r="Z346" s="441"/>
      <c r="AA346" s="440"/>
      <c r="AB346" s="441"/>
      <c r="AC346" s="347"/>
      <c r="AD346" s="374"/>
      <c r="AE346" s="365"/>
      <c r="AF346" s="347"/>
      <c r="AG346" s="365"/>
      <c r="AH346" s="365"/>
      <c r="AI346" s="365"/>
      <c r="AJ346" s="439" t="s">
        <v>485</v>
      </c>
      <c r="AK346" s="350" t="s">
        <v>486</v>
      </c>
      <c r="AL346" s="350" t="s">
        <v>486</v>
      </c>
      <c r="AM346" s="350"/>
      <c r="AN346" s="440"/>
      <c r="AO346" s="440" t="s">
        <v>48</v>
      </c>
      <c r="AP346" s="442" t="s">
        <v>487</v>
      </c>
      <c r="AQ346" s="439" t="s">
        <v>484</v>
      </c>
      <c r="AR346" s="347"/>
      <c r="AS346" s="440" t="s">
        <v>64</v>
      </c>
      <c r="AT346" s="440" t="s">
        <v>95</v>
      </c>
      <c r="AU346" s="577"/>
    </row>
    <row r="347" spans="2:47">
      <c r="B347" s="440">
        <v>17</v>
      </c>
      <c r="C347" s="583" t="s">
        <v>653</v>
      </c>
      <c r="D347" s="396" t="s">
        <v>651</v>
      </c>
      <c r="E347" s="440" t="s">
        <v>144</v>
      </c>
      <c r="F347" s="590" t="s">
        <v>391</v>
      </c>
      <c r="G347" s="441">
        <v>43633</v>
      </c>
      <c r="H347" s="441">
        <v>43633</v>
      </c>
      <c r="I347" s="441"/>
      <c r="J347" s="441"/>
      <c r="K347" s="347">
        <f t="shared" ca="1" si="53"/>
        <v>1</v>
      </c>
      <c r="L347" s="347">
        <f t="shared" ca="1" si="54"/>
        <v>6</v>
      </c>
      <c r="M347" s="441"/>
      <c r="N347" s="441"/>
      <c r="O347" s="440" t="s">
        <v>35</v>
      </c>
      <c r="P347" s="440" t="s">
        <v>36</v>
      </c>
      <c r="Q347" s="440" t="s">
        <v>41</v>
      </c>
      <c r="R347" s="441">
        <v>33628</v>
      </c>
      <c r="S347" s="353" t="e">
        <f t="shared" si="55"/>
        <v>#NUM!</v>
      </c>
      <c r="T347" s="353" t="e">
        <f t="shared" si="56"/>
        <v>#NUM!</v>
      </c>
      <c r="U347" s="440" t="s">
        <v>68</v>
      </c>
      <c r="V347" s="440" t="s">
        <v>654</v>
      </c>
      <c r="W347" s="440" t="s">
        <v>44</v>
      </c>
      <c r="X347" s="440" t="s">
        <v>45</v>
      </c>
      <c r="Y347" s="440" t="s">
        <v>655</v>
      </c>
      <c r="Z347" s="441">
        <v>33371</v>
      </c>
      <c r="AA347" s="440" t="s">
        <v>656</v>
      </c>
      <c r="AB347" s="441">
        <v>42796</v>
      </c>
      <c r="AC347" s="440" t="s">
        <v>48</v>
      </c>
      <c r="AD347" s="440" t="s">
        <v>48</v>
      </c>
      <c r="AE347" s="440" t="s">
        <v>48</v>
      </c>
      <c r="AF347" s="440" t="s">
        <v>48</v>
      </c>
      <c r="AG347" s="365"/>
      <c r="AH347" s="365"/>
      <c r="AI347" s="365"/>
      <c r="AJ347" s="439"/>
      <c r="AK347" s="350" t="s">
        <v>657</v>
      </c>
      <c r="AL347" s="350" t="s">
        <v>657</v>
      </c>
      <c r="AM347" s="350"/>
      <c r="AN347" s="440"/>
      <c r="AO347" s="440"/>
      <c r="AP347" s="442" t="s">
        <v>658</v>
      </c>
      <c r="AQ347" s="397" t="s">
        <v>651</v>
      </c>
      <c r="AR347" s="347" t="s">
        <v>671</v>
      </c>
      <c r="AS347" s="440" t="s">
        <v>64</v>
      </c>
      <c r="AT347" s="440" t="s">
        <v>95</v>
      </c>
      <c r="AU347" s="577"/>
    </row>
    <row r="348" spans="2:47">
      <c r="B348" s="440">
        <v>18</v>
      </c>
      <c r="C348" s="408"/>
      <c r="D348" s="406" t="s">
        <v>645</v>
      </c>
      <c r="E348" s="440" t="s">
        <v>144</v>
      </c>
      <c r="F348" s="590" t="s">
        <v>391</v>
      </c>
      <c r="G348" s="441">
        <v>43633</v>
      </c>
      <c r="H348" s="441">
        <v>43633</v>
      </c>
      <c r="I348" s="405"/>
      <c r="J348" s="416"/>
      <c r="K348" s="347">
        <f t="shared" ca="1" si="53"/>
        <v>1</v>
      </c>
      <c r="L348" s="347">
        <f t="shared" ca="1" si="54"/>
        <v>6</v>
      </c>
      <c r="M348" s="408"/>
      <c r="N348" s="408"/>
      <c r="O348" s="440" t="s">
        <v>35</v>
      </c>
      <c r="P348" s="440" t="s">
        <v>36</v>
      </c>
      <c r="Q348" s="440" t="s">
        <v>41</v>
      </c>
      <c r="R348" s="441">
        <v>30319</v>
      </c>
      <c r="S348" s="353" t="e">
        <f t="shared" si="55"/>
        <v>#NUM!</v>
      </c>
      <c r="T348" s="353" t="e">
        <f t="shared" si="56"/>
        <v>#NUM!</v>
      </c>
      <c r="U348" s="405" t="s">
        <v>136</v>
      </c>
      <c r="V348" s="408"/>
      <c r="W348" s="440" t="s">
        <v>44</v>
      </c>
      <c r="X348" s="440" t="s">
        <v>192</v>
      </c>
      <c r="Y348" s="409"/>
      <c r="Z348" s="408"/>
      <c r="AA348" s="409"/>
      <c r="AB348" s="408"/>
      <c r="AC348" s="408"/>
      <c r="AD348" s="408"/>
      <c r="AE348" s="408"/>
      <c r="AF348" s="408"/>
      <c r="AG348" s="408"/>
      <c r="AH348" s="408"/>
      <c r="AI348" s="408"/>
      <c r="AJ348" s="584" t="s">
        <v>648</v>
      </c>
      <c r="AK348" s="408" t="s">
        <v>649</v>
      </c>
      <c r="AL348" s="408" t="s">
        <v>649</v>
      </c>
      <c r="AM348" s="408"/>
      <c r="AN348" s="408"/>
      <c r="AO348" s="440"/>
      <c r="AP348" s="408"/>
      <c r="AQ348" s="407" t="s">
        <v>645</v>
      </c>
      <c r="AR348" s="405" t="s">
        <v>668</v>
      </c>
      <c r="AS348" s="440" t="s">
        <v>64</v>
      </c>
      <c r="AT348" s="440" t="s">
        <v>95</v>
      </c>
      <c r="AU348" s="408"/>
    </row>
    <row r="349" spans="2:47">
      <c r="B349" s="440">
        <v>19</v>
      </c>
      <c r="C349" s="355">
        <v>9919030016</v>
      </c>
      <c r="D349" s="437" t="s">
        <v>578</v>
      </c>
      <c r="E349" s="440" t="s">
        <v>135</v>
      </c>
      <c r="F349" s="590" t="s">
        <v>391</v>
      </c>
      <c r="G349" s="441">
        <v>43544</v>
      </c>
      <c r="H349" s="357">
        <v>43544</v>
      </c>
      <c r="I349" s="441"/>
      <c r="J349" s="441"/>
      <c r="K349" s="347">
        <f t="shared" ca="1" si="53"/>
        <v>1</v>
      </c>
      <c r="L349" s="347">
        <f t="shared" ca="1" si="54"/>
        <v>9</v>
      </c>
      <c r="M349" s="441"/>
      <c r="N349" s="441"/>
      <c r="O349" s="440" t="s">
        <v>76</v>
      </c>
      <c r="P349" s="440" t="s">
        <v>36</v>
      </c>
      <c r="Q349" s="440" t="s">
        <v>41</v>
      </c>
      <c r="R349" s="441">
        <v>33547</v>
      </c>
      <c r="S349" s="438" t="e">
        <f t="shared" si="55"/>
        <v>#NUM!</v>
      </c>
      <c r="T349" s="438" t="e">
        <f t="shared" si="56"/>
        <v>#NUM!</v>
      </c>
      <c r="U349" s="440" t="s">
        <v>130</v>
      </c>
      <c r="V349" s="440" t="s">
        <v>579</v>
      </c>
      <c r="W349" s="440" t="s">
        <v>105</v>
      </c>
      <c r="X349" s="440" t="s">
        <v>45</v>
      </c>
      <c r="Y349" s="440" t="s">
        <v>580</v>
      </c>
      <c r="Z349" s="441">
        <v>32640</v>
      </c>
      <c r="AA349" s="440" t="s">
        <v>581</v>
      </c>
      <c r="AB349" s="441">
        <v>43081</v>
      </c>
      <c r="AC349" s="440" t="s">
        <v>48</v>
      </c>
      <c r="AD349" s="440" t="s">
        <v>48</v>
      </c>
      <c r="AE349" s="440" t="s">
        <v>48</v>
      </c>
      <c r="AF349" s="440" t="s">
        <v>48</v>
      </c>
      <c r="AG349" s="365"/>
      <c r="AH349" s="365"/>
      <c r="AI349" s="365"/>
      <c r="AJ349" s="439" t="s">
        <v>582</v>
      </c>
      <c r="AK349" s="350" t="s">
        <v>583</v>
      </c>
      <c r="AL349" s="350" t="s">
        <v>583</v>
      </c>
      <c r="AM349" s="350"/>
      <c r="AN349" s="440"/>
      <c r="AO349" s="440" t="s">
        <v>584</v>
      </c>
      <c r="AP349" s="442" t="s">
        <v>585</v>
      </c>
      <c r="AQ349" s="439" t="s">
        <v>578</v>
      </c>
      <c r="AR349" s="347" t="s">
        <v>589</v>
      </c>
      <c r="AS349" s="440" t="s">
        <v>64</v>
      </c>
      <c r="AT349" s="440" t="s">
        <v>95</v>
      </c>
      <c r="AU349" s="580" t="s">
        <v>586</v>
      </c>
    </row>
    <row r="350" spans="2:47">
      <c r="B350" s="440">
        <v>20</v>
      </c>
      <c r="C350" s="365" t="s">
        <v>630</v>
      </c>
      <c r="D350" s="437" t="s">
        <v>360</v>
      </c>
      <c r="E350" s="440" t="s">
        <v>113</v>
      </c>
      <c r="F350" s="590" t="s">
        <v>391</v>
      </c>
      <c r="G350" s="441">
        <v>43222</v>
      </c>
      <c r="H350" s="357">
        <v>43222</v>
      </c>
      <c r="I350" s="441">
        <v>43587</v>
      </c>
      <c r="J350" s="444"/>
      <c r="K350" s="347">
        <f t="shared" ca="1" si="53"/>
        <v>2</v>
      </c>
      <c r="L350" s="347">
        <f t="shared" ca="1" si="54"/>
        <v>8</v>
      </c>
      <c r="M350" s="441"/>
      <c r="N350" s="441"/>
      <c r="O350" s="440" t="s">
        <v>35</v>
      </c>
      <c r="P350" s="440" t="s">
        <v>36</v>
      </c>
      <c r="Q350" s="440" t="s">
        <v>41</v>
      </c>
      <c r="R350" s="441">
        <v>32419</v>
      </c>
      <c r="S350" s="438" t="e">
        <f t="shared" si="55"/>
        <v>#NUM!</v>
      </c>
      <c r="T350" s="438" t="e">
        <f t="shared" si="56"/>
        <v>#NUM!</v>
      </c>
      <c r="U350" s="440" t="s">
        <v>68</v>
      </c>
      <c r="V350" s="440" t="s">
        <v>364</v>
      </c>
      <c r="W350" s="440" t="s">
        <v>48</v>
      </c>
      <c r="X350" s="440" t="s">
        <v>45</v>
      </c>
      <c r="Y350" s="388" t="s">
        <v>365</v>
      </c>
      <c r="Z350" s="388">
        <v>31409</v>
      </c>
      <c r="AA350" s="388" t="s">
        <v>366</v>
      </c>
      <c r="AB350" s="388">
        <v>42670</v>
      </c>
      <c r="AC350" s="438" t="e">
        <f>DATEDIF(AB350,$A$3,"Y")</f>
        <v>#NUM!</v>
      </c>
      <c r="AD350" s="440" t="s">
        <v>48</v>
      </c>
      <c r="AE350" s="388"/>
      <c r="AF350" s="438"/>
      <c r="AG350" s="440" t="s">
        <v>48</v>
      </c>
      <c r="AH350" s="440" t="s">
        <v>48</v>
      </c>
      <c r="AI350" s="440" t="s">
        <v>48</v>
      </c>
      <c r="AJ350" s="442" t="s">
        <v>367</v>
      </c>
      <c r="AK350" s="350" t="s">
        <v>368</v>
      </c>
      <c r="AL350" s="350" t="s">
        <v>369</v>
      </c>
      <c r="AM350" s="350"/>
      <c r="AN350" s="404"/>
      <c r="AO350" s="404" t="s">
        <v>48</v>
      </c>
      <c r="AP350" s="442" t="s">
        <v>370</v>
      </c>
      <c r="AQ350" s="439" t="s">
        <v>360</v>
      </c>
      <c r="AR350" s="439"/>
      <c r="AS350" s="440" t="s">
        <v>64</v>
      </c>
      <c r="AT350" s="440" t="s">
        <v>95</v>
      </c>
      <c r="AU350" s="580"/>
    </row>
    <row r="351" spans="2:47">
      <c r="B351" s="440">
        <v>21</v>
      </c>
      <c r="C351" s="578" t="s">
        <v>337</v>
      </c>
      <c r="D351" s="437" t="s">
        <v>255</v>
      </c>
      <c r="E351" s="440" t="s">
        <v>254</v>
      </c>
      <c r="F351" s="590" t="s">
        <v>650</v>
      </c>
      <c r="G351" s="441">
        <v>43202</v>
      </c>
      <c r="H351" s="441">
        <v>43202</v>
      </c>
      <c r="I351" s="441">
        <v>43567</v>
      </c>
      <c r="J351" s="441"/>
      <c r="K351" s="347">
        <f t="shared" ca="1" si="53"/>
        <v>2</v>
      </c>
      <c r="L351" s="347">
        <f t="shared" ca="1" si="54"/>
        <v>8</v>
      </c>
      <c r="M351" s="441"/>
      <c r="N351" s="441"/>
      <c r="O351" s="440" t="s">
        <v>35</v>
      </c>
      <c r="P351" s="440" t="s">
        <v>36</v>
      </c>
      <c r="Q351" s="440" t="s">
        <v>41</v>
      </c>
      <c r="R351" s="441">
        <v>25336</v>
      </c>
      <c r="S351" s="438" t="e">
        <f t="shared" si="55"/>
        <v>#NUM!</v>
      </c>
      <c r="T351" s="438" t="e">
        <f t="shared" ref="T351:T356" si="58">DATEDIF(R351,$A$3,"YM")</f>
        <v>#NUM!</v>
      </c>
      <c r="U351" s="440" t="s">
        <v>184</v>
      </c>
      <c r="V351" s="440" t="s">
        <v>48</v>
      </c>
      <c r="W351" s="440" t="s">
        <v>48</v>
      </c>
      <c r="X351" s="440" t="s">
        <v>45</v>
      </c>
      <c r="Y351" s="440" t="s">
        <v>48</v>
      </c>
      <c r="Z351" s="440" t="s">
        <v>48</v>
      </c>
      <c r="AA351" s="440" t="s">
        <v>48</v>
      </c>
      <c r="AB351" s="440" t="s">
        <v>48</v>
      </c>
      <c r="AC351" s="440" t="s">
        <v>48</v>
      </c>
      <c r="AD351" s="440" t="s">
        <v>48</v>
      </c>
      <c r="AE351" s="440" t="s">
        <v>48</v>
      </c>
      <c r="AF351" s="440" t="s">
        <v>48</v>
      </c>
      <c r="AG351" s="388"/>
      <c r="AH351" s="388"/>
      <c r="AI351" s="388"/>
      <c r="AJ351" s="439" t="s">
        <v>256</v>
      </c>
      <c r="AK351" s="350" t="s">
        <v>257</v>
      </c>
      <c r="AL351" s="350" t="s">
        <v>257</v>
      </c>
      <c r="AM351" s="350"/>
      <c r="AN351" s="440"/>
      <c r="AO351" s="440" t="s">
        <v>48</v>
      </c>
      <c r="AP351" s="681" t="s">
        <v>48</v>
      </c>
      <c r="AQ351" s="683" t="s">
        <v>255</v>
      </c>
      <c r="AR351" s="681" t="s">
        <v>964</v>
      </c>
      <c r="AS351" s="440" t="s">
        <v>64</v>
      </c>
      <c r="AT351" s="440" t="s">
        <v>95</v>
      </c>
      <c r="AU351" s="579" t="s">
        <v>48</v>
      </c>
    </row>
    <row r="352" spans="2:47">
      <c r="B352" s="440">
        <v>22</v>
      </c>
      <c r="C352" s="398" t="s">
        <v>660</v>
      </c>
      <c r="D352" s="396" t="s">
        <v>659</v>
      </c>
      <c r="E352" s="440" t="s">
        <v>144</v>
      </c>
      <c r="F352" s="590" t="s">
        <v>391</v>
      </c>
      <c r="G352" s="441">
        <v>43633</v>
      </c>
      <c r="H352" s="441">
        <v>43633</v>
      </c>
      <c r="I352" s="441"/>
      <c r="J352" s="441"/>
      <c r="K352" s="347">
        <f t="shared" ca="1" si="53"/>
        <v>1</v>
      </c>
      <c r="L352" s="347">
        <f t="shared" ca="1" si="54"/>
        <v>6</v>
      </c>
      <c r="M352" s="441"/>
      <c r="N352" s="441"/>
      <c r="O352" s="440" t="s">
        <v>76</v>
      </c>
      <c r="P352" s="440" t="s">
        <v>36</v>
      </c>
      <c r="Q352" s="440" t="s">
        <v>661</v>
      </c>
      <c r="R352" s="441">
        <v>33246</v>
      </c>
      <c r="S352" s="353" t="e">
        <f t="shared" ref="S352:S356" si="59">DATEDIF(R352,$A$3,"Y")</f>
        <v>#NUM!</v>
      </c>
      <c r="T352" s="353" t="e">
        <f t="shared" si="58"/>
        <v>#NUM!</v>
      </c>
      <c r="U352" s="440" t="s">
        <v>152</v>
      </c>
      <c r="V352" s="440" t="s">
        <v>153</v>
      </c>
      <c r="W352" s="440" t="s">
        <v>44</v>
      </c>
      <c r="X352" s="440" t="s">
        <v>45</v>
      </c>
      <c r="Y352" s="440" t="s">
        <v>662</v>
      </c>
      <c r="Z352" s="441">
        <v>33358</v>
      </c>
      <c r="AA352" s="440" t="s">
        <v>663</v>
      </c>
      <c r="AB352" s="441">
        <v>41378</v>
      </c>
      <c r="AC352" s="438" t="e">
        <f>DATEDIF(AB352,$A$3,"Y")</f>
        <v>#NUM!</v>
      </c>
      <c r="AD352" s="440" t="s">
        <v>48</v>
      </c>
      <c r="AE352" s="440" t="s">
        <v>48</v>
      </c>
      <c r="AF352" s="440" t="s">
        <v>48</v>
      </c>
      <c r="AG352" s="365"/>
      <c r="AH352" s="365"/>
      <c r="AI352" s="365"/>
      <c r="AJ352" s="442" t="s">
        <v>664</v>
      </c>
      <c r="AK352" s="350" t="s">
        <v>665</v>
      </c>
      <c r="AL352" s="350" t="s">
        <v>666</v>
      </c>
      <c r="AM352" s="350"/>
      <c r="AN352" s="440"/>
      <c r="AO352" s="440"/>
      <c r="AP352" s="442" t="s">
        <v>667</v>
      </c>
      <c r="AQ352" s="397"/>
      <c r="AR352" s="347" t="s">
        <v>670</v>
      </c>
      <c r="AS352" s="440" t="s">
        <v>64</v>
      </c>
      <c r="AT352" s="440" t="s">
        <v>95</v>
      </c>
      <c r="AU352" s="577"/>
    </row>
    <row r="353" spans="2:47">
      <c r="B353" s="440">
        <v>24</v>
      </c>
      <c r="C353" s="411">
        <v>9919080042</v>
      </c>
      <c r="D353" s="498" t="s">
        <v>831</v>
      </c>
      <c r="E353" s="440" t="s">
        <v>254</v>
      </c>
      <c r="F353" s="590" t="s">
        <v>391</v>
      </c>
      <c r="G353" s="441">
        <v>43699</v>
      </c>
      <c r="H353" s="441">
        <v>43699</v>
      </c>
      <c r="I353" s="588"/>
      <c r="J353" s="441"/>
      <c r="K353" s="347">
        <f t="shared" ca="1" si="53"/>
        <v>1</v>
      </c>
      <c r="L353" s="347">
        <f t="shared" ca="1" si="54"/>
        <v>4</v>
      </c>
      <c r="M353" s="587"/>
      <c r="N353" s="587"/>
      <c r="O353" s="440" t="s">
        <v>35</v>
      </c>
      <c r="P353" s="440" t="s">
        <v>36</v>
      </c>
      <c r="Q353" s="440" t="s">
        <v>41</v>
      </c>
      <c r="R353" s="441">
        <v>24539</v>
      </c>
      <c r="S353" s="438" t="e">
        <f t="shared" si="59"/>
        <v>#NUM!</v>
      </c>
      <c r="T353" s="438" t="e">
        <f t="shared" si="58"/>
        <v>#NUM!</v>
      </c>
      <c r="U353" s="440" t="s">
        <v>152</v>
      </c>
      <c r="V353" s="499" t="s">
        <v>732</v>
      </c>
      <c r="W353" s="499" t="s">
        <v>224</v>
      </c>
      <c r="X353" s="440" t="s">
        <v>45</v>
      </c>
      <c r="Y353" s="499" t="s">
        <v>834</v>
      </c>
      <c r="Z353" s="388">
        <v>25369</v>
      </c>
      <c r="AA353" s="499" t="s">
        <v>835</v>
      </c>
      <c r="AB353" s="388">
        <v>39130</v>
      </c>
      <c r="AC353" s="440" t="s">
        <v>48</v>
      </c>
      <c r="AD353" s="440" t="s">
        <v>48</v>
      </c>
      <c r="AE353" s="440" t="s">
        <v>48</v>
      </c>
      <c r="AF353" s="440" t="s">
        <v>48</v>
      </c>
      <c r="AG353" s="440" t="s">
        <v>48</v>
      </c>
      <c r="AH353" s="440" t="s">
        <v>48</v>
      </c>
      <c r="AI353" s="440" t="s">
        <v>48</v>
      </c>
      <c r="AJ353" s="501" t="s">
        <v>836</v>
      </c>
      <c r="AK353" s="500" t="s">
        <v>837</v>
      </c>
      <c r="AL353" s="500" t="s">
        <v>837</v>
      </c>
      <c r="AM353" s="587"/>
      <c r="AN353" s="588"/>
      <c r="AO353" s="404" t="s">
        <v>48</v>
      </c>
      <c r="AP353" s="501" t="s">
        <v>838</v>
      </c>
      <c r="AQ353" s="499" t="s">
        <v>831</v>
      </c>
      <c r="AR353" s="499" t="s">
        <v>839</v>
      </c>
      <c r="AS353" s="440" t="s">
        <v>64</v>
      </c>
      <c r="AT353" s="440" t="s">
        <v>95</v>
      </c>
      <c r="AU353" s="589"/>
    </row>
    <row r="354" spans="2:47">
      <c r="B354" s="440">
        <v>25</v>
      </c>
      <c r="C354" s="583" t="s">
        <v>857</v>
      </c>
      <c r="D354" s="437" t="s">
        <v>854</v>
      </c>
      <c r="E354" s="355" t="s">
        <v>855</v>
      </c>
      <c r="F354" s="590" t="s">
        <v>391</v>
      </c>
      <c r="G354" s="357">
        <v>43724</v>
      </c>
      <c r="H354" s="357">
        <v>43724</v>
      </c>
      <c r="I354" s="357"/>
      <c r="J354" s="357"/>
      <c r="K354" s="347">
        <f t="shared" ca="1" si="53"/>
        <v>1</v>
      </c>
      <c r="L354" s="347">
        <f t="shared" ca="1" si="54"/>
        <v>3</v>
      </c>
      <c r="M354" s="357"/>
      <c r="N354" s="357"/>
      <c r="O354" s="440" t="s">
        <v>76</v>
      </c>
      <c r="P354" s="355" t="s">
        <v>36</v>
      </c>
      <c r="Q354" s="355" t="s">
        <v>41</v>
      </c>
      <c r="R354" s="357">
        <v>34538</v>
      </c>
      <c r="S354" s="359" t="e">
        <f t="shared" si="59"/>
        <v>#NUM!</v>
      </c>
      <c r="T354" s="359" t="e">
        <f t="shared" si="58"/>
        <v>#NUM!</v>
      </c>
      <c r="U354" s="355" t="s">
        <v>130</v>
      </c>
      <c r="V354" s="355" t="s">
        <v>858</v>
      </c>
      <c r="W354" s="440" t="s">
        <v>459</v>
      </c>
      <c r="X354" s="440" t="s">
        <v>59</v>
      </c>
      <c r="Y354" s="440" t="s">
        <v>48</v>
      </c>
      <c r="Z354" s="440" t="s">
        <v>48</v>
      </c>
      <c r="AA354" s="440" t="s">
        <v>48</v>
      </c>
      <c r="AB354" s="440" t="s">
        <v>48</v>
      </c>
      <c r="AC354" s="440" t="s">
        <v>48</v>
      </c>
      <c r="AD354" s="440" t="s">
        <v>48</v>
      </c>
      <c r="AE354" s="440" t="s">
        <v>48</v>
      </c>
      <c r="AF354" s="440" t="s">
        <v>48</v>
      </c>
      <c r="AG354" s="440" t="s">
        <v>48</v>
      </c>
      <c r="AH354" s="440" t="s">
        <v>48</v>
      </c>
      <c r="AI354" s="440" t="s">
        <v>48</v>
      </c>
      <c r="AJ354" s="360" t="s">
        <v>859</v>
      </c>
      <c r="AK354" s="361" t="s">
        <v>860</v>
      </c>
      <c r="AL354" s="361" t="s">
        <v>860</v>
      </c>
      <c r="AM354" s="361"/>
      <c r="AN354" s="355"/>
      <c r="AO354" s="440" t="s">
        <v>48</v>
      </c>
      <c r="AP354" s="684" t="s">
        <v>861</v>
      </c>
      <c r="AQ354" s="362" t="s">
        <v>854</v>
      </c>
      <c r="AR354" s="684"/>
      <c r="AS354" s="355" t="s">
        <v>64</v>
      </c>
      <c r="AT354" s="355" t="s">
        <v>95</v>
      </c>
      <c r="AU354" s="685"/>
    </row>
    <row r="355" spans="2:47">
      <c r="B355" s="440">
        <v>26</v>
      </c>
      <c r="C355" s="398" t="s">
        <v>706</v>
      </c>
      <c r="D355" s="437" t="s">
        <v>705</v>
      </c>
      <c r="E355" s="440" t="s">
        <v>113</v>
      </c>
      <c r="F355" s="590" t="s">
        <v>650</v>
      </c>
      <c r="G355" s="441">
        <v>43647</v>
      </c>
      <c r="H355" s="441">
        <v>43647</v>
      </c>
      <c r="I355" s="441"/>
      <c r="J355" s="441"/>
      <c r="K355" s="347">
        <f t="shared" ca="1" si="53"/>
        <v>1</v>
      </c>
      <c r="L355" s="347">
        <f t="shared" ca="1" si="54"/>
        <v>6</v>
      </c>
      <c r="M355" s="441"/>
      <c r="N355" s="441"/>
      <c r="O355" s="440" t="s">
        <v>35</v>
      </c>
      <c r="P355" s="440" t="s">
        <v>36</v>
      </c>
      <c r="Q355" s="440" t="s">
        <v>41</v>
      </c>
      <c r="R355" s="441">
        <v>28841</v>
      </c>
      <c r="S355" s="438" t="e">
        <f t="shared" si="59"/>
        <v>#NUM!</v>
      </c>
      <c r="T355" s="438" t="e">
        <f t="shared" si="58"/>
        <v>#NUM!</v>
      </c>
      <c r="U355" s="440" t="s">
        <v>68</v>
      </c>
      <c r="V355" s="440" t="s">
        <v>68</v>
      </c>
      <c r="W355" s="440" t="s">
        <v>48</v>
      </c>
      <c r="X355" s="440" t="s">
        <v>45</v>
      </c>
      <c r="Y355" s="440" t="s">
        <v>48</v>
      </c>
      <c r="Z355" s="440" t="s">
        <v>48</v>
      </c>
      <c r="AA355" s="440" t="s">
        <v>48</v>
      </c>
      <c r="AB355" s="440" t="s">
        <v>48</v>
      </c>
      <c r="AC355" s="440" t="s">
        <v>48</v>
      </c>
      <c r="AD355" s="440" t="s">
        <v>48</v>
      </c>
      <c r="AE355" s="440" t="s">
        <v>48</v>
      </c>
      <c r="AF355" s="440" t="s">
        <v>48</v>
      </c>
      <c r="AG355" s="440" t="s">
        <v>48</v>
      </c>
      <c r="AH355" s="440" t="s">
        <v>48</v>
      </c>
      <c r="AI355" s="440" t="s">
        <v>48</v>
      </c>
      <c r="AJ355" s="442" t="s">
        <v>707</v>
      </c>
      <c r="AK355" s="350" t="s">
        <v>710</v>
      </c>
      <c r="AL355" s="350" t="s">
        <v>708</v>
      </c>
      <c r="AM355" s="350"/>
      <c r="AN355" s="350"/>
      <c r="AO355" s="365" t="s">
        <v>48</v>
      </c>
      <c r="AP355" s="365" t="s">
        <v>709</v>
      </c>
      <c r="AQ355" s="439" t="s">
        <v>705</v>
      </c>
      <c r="AR355" s="347" t="s">
        <v>712</v>
      </c>
      <c r="AS355" s="440" t="s">
        <v>64</v>
      </c>
      <c r="AT355" s="440" t="s">
        <v>95</v>
      </c>
      <c r="AU355" s="395" t="s">
        <v>48</v>
      </c>
    </row>
    <row r="356" spans="2:47">
      <c r="B356" s="440">
        <v>27</v>
      </c>
      <c r="C356" s="411">
        <v>9919070037</v>
      </c>
      <c r="D356" s="437" t="s">
        <v>787</v>
      </c>
      <c r="E356" s="440" t="s">
        <v>788</v>
      </c>
      <c r="F356" s="590" t="s">
        <v>650</v>
      </c>
      <c r="G356" s="441">
        <v>43675</v>
      </c>
      <c r="H356" s="441">
        <v>43675</v>
      </c>
      <c r="I356" s="441"/>
      <c r="J356" s="441"/>
      <c r="K356" s="347">
        <f t="shared" ca="1" si="53"/>
        <v>1</v>
      </c>
      <c r="L356" s="347">
        <f t="shared" ca="1" si="54"/>
        <v>5</v>
      </c>
      <c r="M356" s="441"/>
      <c r="N356" s="441"/>
      <c r="O356" s="440" t="s">
        <v>76</v>
      </c>
      <c r="P356" s="440" t="s">
        <v>36</v>
      </c>
      <c r="Q356" s="440" t="s">
        <v>41</v>
      </c>
      <c r="R356" s="441">
        <v>34761</v>
      </c>
      <c r="S356" s="438" t="e">
        <f t="shared" si="59"/>
        <v>#NUM!</v>
      </c>
      <c r="T356" s="438" t="e">
        <f t="shared" si="58"/>
        <v>#NUM!</v>
      </c>
      <c r="U356" s="440" t="s">
        <v>130</v>
      </c>
      <c r="V356" s="440" t="s">
        <v>161</v>
      </c>
      <c r="W356" s="440" t="s">
        <v>48</v>
      </c>
      <c r="X356" s="440" t="s">
        <v>59</v>
      </c>
      <c r="Y356" s="440" t="s">
        <v>48</v>
      </c>
      <c r="Z356" s="440" t="s">
        <v>48</v>
      </c>
      <c r="AA356" s="440" t="s">
        <v>48</v>
      </c>
      <c r="AB356" s="440" t="s">
        <v>48</v>
      </c>
      <c r="AC356" s="440" t="s">
        <v>48</v>
      </c>
      <c r="AD356" s="440" t="s">
        <v>48</v>
      </c>
      <c r="AE356" s="440" t="s">
        <v>48</v>
      </c>
      <c r="AF356" s="440" t="s">
        <v>48</v>
      </c>
      <c r="AG356" s="365"/>
      <c r="AH356" s="441"/>
      <c r="AI356" s="440"/>
      <c r="AJ356" s="442" t="s">
        <v>789</v>
      </c>
      <c r="AK356" s="440" t="s">
        <v>790</v>
      </c>
      <c r="AL356" s="440" t="s">
        <v>790</v>
      </c>
      <c r="AM356" s="440"/>
      <c r="AN356" s="440"/>
      <c r="AO356" s="440" t="s">
        <v>48</v>
      </c>
      <c r="AP356" s="442" t="s">
        <v>791</v>
      </c>
      <c r="AQ356" s="439" t="s">
        <v>787</v>
      </c>
      <c r="AR356" s="439" t="s">
        <v>808</v>
      </c>
      <c r="AS356" s="440" t="s">
        <v>64</v>
      </c>
      <c r="AT356" s="440" t="s">
        <v>95</v>
      </c>
      <c r="AU356" s="380" t="s">
        <v>792</v>
      </c>
    </row>
    <row r="357" spans="2:47">
      <c r="B357" s="440">
        <v>28</v>
      </c>
      <c r="C357" s="443" t="str">
        <f>NIK!$B$89</f>
        <v>9919080041</v>
      </c>
      <c r="D357" s="437" t="s">
        <v>820</v>
      </c>
      <c r="E357" s="440" t="s">
        <v>996</v>
      </c>
      <c r="F357" s="590" t="s">
        <v>650</v>
      </c>
      <c r="G357" s="441">
        <v>43689</v>
      </c>
      <c r="H357" s="441">
        <v>43689</v>
      </c>
      <c r="I357" s="441"/>
      <c r="J357" s="441"/>
      <c r="K357" s="347">
        <f t="shared" ca="1" si="53"/>
        <v>1</v>
      </c>
      <c r="L357" s="347">
        <f t="shared" ca="1" si="54"/>
        <v>4</v>
      </c>
      <c r="M357" s="441"/>
      <c r="N357" s="441"/>
      <c r="O357" s="440" t="s">
        <v>35</v>
      </c>
      <c r="P357" s="440" t="s">
        <v>36</v>
      </c>
      <c r="Q357" s="440" t="s">
        <v>822</v>
      </c>
      <c r="R357" s="441">
        <v>33128</v>
      </c>
      <c r="S357" s="438">
        <f ca="1">DATEDIF(R357,$B$1,"Y")</f>
        <v>30</v>
      </c>
      <c r="T357" s="438">
        <f ca="1">DATEDIF(R357,$B$1,"YM")</f>
        <v>3</v>
      </c>
      <c r="U357" s="440" t="s">
        <v>597</v>
      </c>
      <c r="V357" s="440" t="s">
        <v>823</v>
      </c>
      <c r="W357" s="440" t="s">
        <v>824</v>
      </c>
      <c r="X357" s="440" t="s">
        <v>45</v>
      </c>
      <c r="Y357" s="440" t="s">
        <v>825</v>
      </c>
      <c r="Z357" s="441">
        <v>35221</v>
      </c>
      <c r="AA357" s="440" t="s">
        <v>826</v>
      </c>
      <c r="AB357" s="441">
        <v>42553</v>
      </c>
      <c r="AC357" s="438" t="e">
        <f t="shared" ref="AC357" si="60">DATEDIF(AB357,$B$3,"Y")</f>
        <v>#VALUE!</v>
      </c>
      <c r="AD357" s="440" t="s">
        <v>48</v>
      </c>
      <c r="AE357" s="440" t="s">
        <v>48</v>
      </c>
      <c r="AF357" s="440" t="s">
        <v>48</v>
      </c>
      <c r="AG357" s="440" t="s">
        <v>48</v>
      </c>
      <c r="AH357" s="440" t="s">
        <v>48</v>
      </c>
      <c r="AI357" s="440" t="s">
        <v>48</v>
      </c>
      <c r="AJ357" s="442" t="s">
        <v>827</v>
      </c>
      <c r="AK357" s="440" t="s">
        <v>828</v>
      </c>
      <c r="AL357" s="440" t="s">
        <v>828</v>
      </c>
      <c r="AM357" s="440"/>
      <c r="AN357" s="440"/>
      <c r="AO357" s="440"/>
      <c r="AP357" s="442" t="s">
        <v>829</v>
      </c>
      <c r="AQ357" s="439" t="s">
        <v>820</v>
      </c>
      <c r="AR357" s="347" t="s">
        <v>830</v>
      </c>
      <c r="AS357" s="440" t="s">
        <v>64</v>
      </c>
      <c r="AT357" s="440" t="s">
        <v>95</v>
      </c>
      <c r="AU357" s="395"/>
    </row>
    <row r="358" spans="2:47">
      <c r="B358" s="440">
        <v>29</v>
      </c>
      <c r="C358" s="444" t="str">
        <f>NIK!$B$137</f>
        <v>9919120094</v>
      </c>
      <c r="D358" s="437" t="s">
        <v>1202</v>
      </c>
      <c r="E358" s="440" t="s">
        <v>144</v>
      </c>
      <c r="F358" s="590" t="s">
        <v>391</v>
      </c>
      <c r="G358" s="441">
        <v>43838</v>
      </c>
      <c r="H358" s="441"/>
      <c r="I358" s="441"/>
      <c r="J358" s="441"/>
      <c r="K358" s="347">
        <f t="shared" ca="1" si="53"/>
        <v>0</v>
      </c>
      <c r="L358" s="347">
        <f t="shared" ca="1" si="54"/>
        <v>11</v>
      </c>
      <c r="M358" s="441"/>
      <c r="N358" s="441"/>
      <c r="O358" s="440" t="s">
        <v>35</v>
      </c>
      <c r="P358" s="440" t="s">
        <v>36</v>
      </c>
      <c r="Q358" s="440" t="s">
        <v>41</v>
      </c>
      <c r="R358" s="441">
        <v>36584</v>
      </c>
      <c r="S358" s="353">
        <f ca="1">DATEDIF(R358,$B$1,"Y")</f>
        <v>20</v>
      </c>
      <c r="T358" s="353">
        <f ca="1">DATEDIF(R358,$B$1,"YM")</f>
        <v>10</v>
      </c>
      <c r="U358" s="440" t="s">
        <v>1203</v>
      </c>
      <c r="V358" s="440" t="s">
        <v>732</v>
      </c>
      <c r="W358" s="440"/>
      <c r="X358" s="440" t="s">
        <v>59</v>
      </c>
      <c r="Y358" s="440"/>
      <c r="Z358" s="440"/>
      <c r="AA358" s="440"/>
      <c r="AB358" s="440"/>
      <c r="AC358" s="440"/>
      <c r="AD358" s="440"/>
      <c r="AE358" s="440"/>
      <c r="AF358" s="440"/>
      <c r="AG358" s="440"/>
      <c r="AH358" s="440"/>
      <c r="AI358" s="440"/>
      <c r="AJ358" s="442" t="s">
        <v>1206</v>
      </c>
      <c r="AK358" s="350" t="s">
        <v>1207</v>
      </c>
      <c r="AL358" s="350" t="s">
        <v>1207</v>
      </c>
      <c r="AM358" s="350"/>
      <c r="AN358" s="350"/>
      <c r="AO358" s="350"/>
      <c r="AP358" s="442" t="s">
        <v>1208</v>
      </c>
      <c r="AQ358" s="439" t="s">
        <v>1202</v>
      </c>
      <c r="AR358" s="412" t="s">
        <v>1236</v>
      </c>
      <c r="AS358" s="440" t="s">
        <v>64</v>
      </c>
      <c r="AT358" s="440" t="s">
        <v>95</v>
      </c>
      <c r="AU358" s="416"/>
    </row>
    <row r="359" spans="2:47">
      <c r="B359" s="440">
        <v>30</v>
      </c>
      <c r="C359" s="444" t="str">
        <f>NIK!$B$139</f>
        <v>9919120096</v>
      </c>
      <c r="D359" s="437" t="s">
        <v>1212</v>
      </c>
      <c r="E359" s="440" t="s">
        <v>144</v>
      </c>
      <c r="F359" s="590" t="s">
        <v>391</v>
      </c>
      <c r="G359" s="441">
        <v>43838</v>
      </c>
      <c r="H359" s="441"/>
      <c r="I359" s="441"/>
      <c r="J359" s="441"/>
      <c r="K359" s="347">
        <f t="shared" ca="1" si="53"/>
        <v>0</v>
      </c>
      <c r="L359" s="347">
        <f t="shared" ca="1" si="54"/>
        <v>11</v>
      </c>
      <c r="M359" s="441"/>
      <c r="N359" s="441"/>
      <c r="O359" s="440" t="s">
        <v>35</v>
      </c>
      <c r="P359" s="440" t="s">
        <v>36</v>
      </c>
      <c r="Q359" s="440" t="s">
        <v>41</v>
      </c>
      <c r="R359" s="441">
        <v>35764</v>
      </c>
      <c r="S359" s="353">
        <f ca="1">DATEDIF(R359,$B$1,"Y")</f>
        <v>23</v>
      </c>
      <c r="T359" s="353">
        <f ca="1">DATEDIF(R359,$B$1,"YM")</f>
        <v>1</v>
      </c>
      <c r="U359" s="440" t="s">
        <v>68</v>
      </c>
      <c r="V359" s="440" t="s">
        <v>1101</v>
      </c>
      <c r="W359" s="440"/>
      <c r="X359" s="440" t="s">
        <v>59</v>
      </c>
      <c r="Y359" s="440"/>
      <c r="Z359" s="440"/>
      <c r="AA359" s="440"/>
      <c r="AB359" s="440"/>
      <c r="AC359" s="440"/>
      <c r="AD359" s="440"/>
      <c r="AE359" s="440"/>
      <c r="AF359" s="440"/>
      <c r="AG359" s="440"/>
      <c r="AH359" s="440"/>
      <c r="AI359" s="440"/>
      <c r="AJ359" s="442" t="s">
        <v>1215</v>
      </c>
      <c r="AK359" s="350" t="s">
        <v>1213</v>
      </c>
      <c r="AL359" s="350" t="s">
        <v>1213</v>
      </c>
      <c r="AM359" s="350"/>
      <c r="AN359" s="350"/>
      <c r="AO359" s="350"/>
      <c r="AP359" s="442" t="s">
        <v>1214</v>
      </c>
      <c r="AQ359" s="439" t="s">
        <v>1212</v>
      </c>
      <c r="AR359" s="412" t="s">
        <v>1237</v>
      </c>
      <c r="AS359" s="440" t="s">
        <v>64</v>
      </c>
      <c r="AT359" s="440" t="s">
        <v>95</v>
      </c>
      <c r="AU359" s="395"/>
    </row>
    <row r="360" spans="2:47">
      <c r="B360" s="440">
        <v>31</v>
      </c>
      <c r="C360" s="416"/>
      <c r="D360" s="437" t="s">
        <v>1275</v>
      </c>
      <c r="E360" s="444" t="s">
        <v>1243</v>
      </c>
      <c r="F360" s="650" t="s">
        <v>1281</v>
      </c>
      <c r="G360" s="432" t="s">
        <v>48</v>
      </c>
      <c r="H360" s="443"/>
      <c r="I360" s="444"/>
      <c r="J360" s="441"/>
      <c r="K360" s="432" t="s">
        <v>48</v>
      </c>
      <c r="L360" s="432" t="s">
        <v>48</v>
      </c>
      <c r="M360" s="416"/>
      <c r="N360" s="416"/>
      <c r="O360" s="444"/>
      <c r="P360" s="444"/>
      <c r="Q360" s="444"/>
      <c r="R360" s="444"/>
      <c r="S360" s="444"/>
      <c r="T360" s="444"/>
      <c r="U360" s="444"/>
      <c r="V360" s="444"/>
      <c r="W360" s="416"/>
      <c r="X360" s="416"/>
      <c r="Y360" s="416"/>
      <c r="Z360" s="416"/>
      <c r="AA360" s="416"/>
      <c r="AB360" s="416"/>
      <c r="AC360" s="416"/>
      <c r="AD360" s="416"/>
      <c r="AE360" s="416"/>
      <c r="AF360" s="416"/>
      <c r="AG360" s="416"/>
      <c r="AH360" s="416"/>
      <c r="AI360" s="416"/>
      <c r="AJ360" s="416"/>
      <c r="AK360" s="416"/>
      <c r="AL360" s="416"/>
      <c r="AM360" s="416"/>
      <c r="AN360" s="416"/>
      <c r="AO360" s="416"/>
      <c r="AP360" s="416"/>
      <c r="AQ360" s="444"/>
      <c r="AR360" s="416"/>
      <c r="AS360" s="416"/>
      <c r="AT360" s="416"/>
      <c r="AU360" s="416"/>
    </row>
    <row r="361" spans="2:47">
      <c r="B361" s="440">
        <v>32</v>
      </c>
      <c r="C361" s="416"/>
      <c r="D361" s="437" t="s">
        <v>1276</v>
      </c>
      <c r="E361" s="444" t="s">
        <v>1243</v>
      </c>
      <c r="F361" s="650" t="s">
        <v>1281</v>
      </c>
      <c r="G361" s="432" t="s">
        <v>48</v>
      </c>
      <c r="H361" s="443"/>
      <c r="I361" s="444"/>
      <c r="J361" s="441"/>
      <c r="K361" s="432" t="s">
        <v>48</v>
      </c>
      <c r="L361" s="432" t="s">
        <v>48</v>
      </c>
      <c r="M361" s="416"/>
      <c r="N361" s="416"/>
      <c r="O361" s="444"/>
      <c r="P361" s="444"/>
      <c r="Q361" s="444"/>
      <c r="R361" s="444"/>
      <c r="S361" s="444"/>
      <c r="T361" s="444"/>
      <c r="U361" s="444"/>
      <c r="V361" s="444"/>
      <c r="W361" s="416"/>
      <c r="X361" s="416"/>
      <c r="Y361" s="416"/>
      <c r="Z361" s="416"/>
      <c r="AA361" s="416"/>
      <c r="AB361" s="416"/>
      <c r="AC361" s="416"/>
      <c r="AD361" s="416"/>
      <c r="AE361" s="416"/>
      <c r="AF361" s="416"/>
      <c r="AG361" s="416"/>
      <c r="AH361" s="416"/>
      <c r="AI361" s="416"/>
      <c r="AJ361" s="416"/>
      <c r="AK361" s="416"/>
      <c r="AL361" s="416"/>
      <c r="AM361" s="416"/>
      <c r="AN361" s="416"/>
      <c r="AO361" s="416"/>
      <c r="AP361" s="416"/>
      <c r="AQ361" s="444"/>
      <c r="AR361" s="416"/>
      <c r="AS361" s="416"/>
      <c r="AT361" s="416"/>
      <c r="AU361" s="416"/>
    </row>
    <row r="362" spans="2:47">
      <c r="B362" s="440">
        <v>33</v>
      </c>
      <c r="C362" s="416"/>
      <c r="D362" s="437" t="s">
        <v>1277</v>
      </c>
      <c r="E362" s="444" t="s">
        <v>1243</v>
      </c>
      <c r="F362" s="650" t="s">
        <v>1281</v>
      </c>
      <c r="G362" s="432" t="s">
        <v>48</v>
      </c>
      <c r="H362" s="443"/>
      <c r="I362" s="444"/>
      <c r="J362" s="441"/>
      <c r="K362" s="432" t="s">
        <v>48</v>
      </c>
      <c r="L362" s="432" t="s">
        <v>48</v>
      </c>
      <c r="M362" s="416"/>
      <c r="N362" s="416"/>
      <c r="O362" s="444"/>
      <c r="P362" s="444"/>
      <c r="Q362" s="444"/>
      <c r="R362" s="444"/>
      <c r="S362" s="444"/>
      <c r="T362" s="444"/>
      <c r="U362" s="444"/>
      <c r="V362" s="444"/>
      <c r="W362" s="416"/>
      <c r="X362" s="416"/>
      <c r="Y362" s="416"/>
      <c r="Z362" s="416"/>
      <c r="AA362" s="416"/>
      <c r="AB362" s="416"/>
      <c r="AC362" s="416"/>
      <c r="AD362" s="416"/>
      <c r="AE362" s="416"/>
      <c r="AF362" s="416"/>
      <c r="AG362" s="416"/>
      <c r="AH362" s="416"/>
      <c r="AI362" s="416"/>
      <c r="AJ362" s="416"/>
      <c r="AK362" s="416"/>
      <c r="AL362" s="416"/>
      <c r="AM362" s="416"/>
      <c r="AN362" s="416"/>
      <c r="AO362" s="416"/>
      <c r="AP362" s="416"/>
      <c r="AQ362" s="444"/>
      <c r="AR362" s="416"/>
      <c r="AS362" s="416"/>
      <c r="AT362" s="416"/>
      <c r="AU362" s="416"/>
    </row>
    <row r="363" spans="2:47">
      <c r="B363" s="440">
        <v>34</v>
      </c>
      <c r="C363" s="378" t="str">
        <f>NIK!$B$102</f>
        <v>9919120054</v>
      </c>
      <c r="D363" s="437" t="s">
        <v>1003</v>
      </c>
      <c r="E363" s="440" t="s">
        <v>1004</v>
      </c>
      <c r="F363" s="650" t="s">
        <v>1281</v>
      </c>
      <c r="G363" s="441">
        <v>43801</v>
      </c>
      <c r="H363" s="441">
        <v>43801</v>
      </c>
      <c r="I363" s="441"/>
      <c r="J363" s="416"/>
      <c r="K363" s="347">
        <f t="shared" ca="1" si="53"/>
        <v>1</v>
      </c>
      <c r="L363" s="347">
        <f t="shared" ca="1" si="54"/>
        <v>1</v>
      </c>
      <c r="M363" s="441"/>
      <c r="N363" s="441"/>
      <c r="O363" s="355" t="s">
        <v>35</v>
      </c>
      <c r="P363" s="440" t="s">
        <v>36</v>
      </c>
      <c r="Q363" s="440" t="s">
        <v>41</v>
      </c>
      <c r="R363" s="441">
        <v>34618</v>
      </c>
      <c r="S363" s="438">
        <f ca="1">DATEDIF(R363,$B$1,"Y")</f>
        <v>26</v>
      </c>
      <c r="T363" s="438">
        <f ca="1">DATEDIF(R363,$B$1,"YM")</f>
        <v>2</v>
      </c>
      <c r="U363" s="440" t="s">
        <v>57</v>
      </c>
      <c r="V363" s="440" t="s">
        <v>848</v>
      </c>
      <c r="W363" s="440" t="s">
        <v>105</v>
      </c>
      <c r="X363" s="440" t="s">
        <v>59</v>
      </c>
      <c r="Y363" s="440"/>
      <c r="Z363" s="440"/>
      <c r="AA363" s="440"/>
      <c r="AB363" s="440"/>
      <c r="AC363" s="440"/>
      <c r="AD363" s="440"/>
      <c r="AE363" s="440"/>
      <c r="AF363" s="440"/>
      <c r="AG363" s="388"/>
      <c r="AH363" s="388"/>
      <c r="AI363" s="388"/>
      <c r="AJ363" s="442" t="s">
        <v>1005</v>
      </c>
      <c r="AK363" s="350" t="s">
        <v>1006</v>
      </c>
      <c r="AL363" s="350" t="s">
        <v>1006</v>
      </c>
      <c r="AM363" s="350"/>
      <c r="AN363" s="440"/>
      <c r="AO363" s="440"/>
      <c r="AP363" s="442" t="s">
        <v>1007</v>
      </c>
      <c r="AQ363" s="439" t="s">
        <v>1003</v>
      </c>
      <c r="AR363" s="442" t="s">
        <v>1092</v>
      </c>
      <c r="AS363" s="440" t="s">
        <v>64</v>
      </c>
      <c r="AT363" s="440" t="s">
        <v>95</v>
      </c>
      <c r="AU363" s="364"/>
    </row>
    <row r="364" spans="2:47">
      <c r="B364" s="440">
        <v>35</v>
      </c>
      <c r="C364" s="378" t="str">
        <f>NIK!$B$94</f>
        <v>9919090046</v>
      </c>
      <c r="D364" s="437" t="s">
        <v>862</v>
      </c>
      <c r="E364" s="440" t="s">
        <v>450</v>
      </c>
      <c r="F364" s="650" t="s">
        <v>1281</v>
      </c>
      <c r="G364" s="441">
        <v>43724</v>
      </c>
      <c r="H364" s="441">
        <v>43724</v>
      </c>
      <c r="I364" s="441"/>
      <c r="J364" s="441"/>
      <c r="K364" s="347">
        <f t="shared" ca="1" si="53"/>
        <v>1</v>
      </c>
      <c r="L364" s="347">
        <f t="shared" ca="1" si="54"/>
        <v>3</v>
      </c>
      <c r="M364" s="441"/>
      <c r="N364" s="441"/>
      <c r="O364" s="355" t="s">
        <v>35</v>
      </c>
      <c r="P364" s="440" t="s">
        <v>36</v>
      </c>
      <c r="Q364" s="440" t="s">
        <v>866</v>
      </c>
      <c r="R364" s="441">
        <v>34480</v>
      </c>
      <c r="S364" s="438">
        <f ca="1">DATEDIF(R364,$B$1,"Y")</f>
        <v>26</v>
      </c>
      <c r="T364" s="438">
        <f ca="1">DATEDIF(R364,$B$1,"YM")</f>
        <v>7</v>
      </c>
      <c r="U364" s="440" t="s">
        <v>57</v>
      </c>
      <c r="V364" s="440" t="s">
        <v>867</v>
      </c>
      <c r="W364" s="440" t="s">
        <v>44</v>
      </c>
      <c r="X364" s="440" t="s">
        <v>59</v>
      </c>
      <c r="Y364" s="440" t="s">
        <v>48</v>
      </c>
      <c r="Z364" s="440" t="s">
        <v>48</v>
      </c>
      <c r="AA364" s="440" t="s">
        <v>48</v>
      </c>
      <c r="AB364" s="440" t="s">
        <v>48</v>
      </c>
      <c r="AC364" s="440" t="s">
        <v>48</v>
      </c>
      <c r="AD364" s="440" t="s">
        <v>48</v>
      </c>
      <c r="AE364" s="440" t="s">
        <v>48</v>
      </c>
      <c r="AF364" s="440" t="s">
        <v>48</v>
      </c>
      <c r="AG364" s="388"/>
      <c r="AH364" s="388"/>
      <c r="AI364" s="388"/>
      <c r="AJ364" s="442" t="s">
        <v>869</v>
      </c>
      <c r="AK364" s="350" t="s">
        <v>870</v>
      </c>
      <c r="AL364" s="350" t="s">
        <v>870</v>
      </c>
      <c r="AM364" s="350"/>
      <c r="AN364" s="440"/>
      <c r="AO364" s="440" t="s">
        <v>48</v>
      </c>
      <c r="AP364" s="442" t="s">
        <v>872</v>
      </c>
      <c r="AQ364" s="439" t="s">
        <v>862</v>
      </c>
      <c r="AR364" s="442" t="s">
        <v>947</v>
      </c>
      <c r="AS364" s="440" t="s">
        <v>64</v>
      </c>
      <c r="AT364" s="440"/>
      <c r="AU364" s="364"/>
    </row>
    <row r="365" spans="2:47">
      <c r="B365" s="440">
        <v>36</v>
      </c>
      <c r="C365" s="444">
        <v>9919010005</v>
      </c>
      <c r="D365" s="437" t="s">
        <v>488</v>
      </c>
      <c r="E365" s="444" t="s">
        <v>144</v>
      </c>
      <c r="F365" s="650" t="s">
        <v>1281</v>
      </c>
      <c r="G365" s="451">
        <v>43468</v>
      </c>
      <c r="H365" s="630">
        <v>43468</v>
      </c>
      <c r="I365" s="444"/>
      <c r="J365" s="441"/>
      <c r="K365" s="347">
        <f t="shared" ca="1" si="53"/>
        <v>2</v>
      </c>
      <c r="L365" s="347">
        <f t="shared" ca="1" si="54"/>
        <v>0</v>
      </c>
      <c r="M365" s="416"/>
      <c r="N365" s="416"/>
      <c r="O365" s="444" t="s">
        <v>76</v>
      </c>
      <c r="P365" s="444" t="s">
        <v>36</v>
      </c>
      <c r="Q365" s="444" t="s">
        <v>41</v>
      </c>
      <c r="R365" s="451">
        <v>35122</v>
      </c>
      <c r="S365" s="444">
        <v>23</v>
      </c>
      <c r="T365" s="444">
        <v>11</v>
      </c>
      <c r="U365" s="444" t="s">
        <v>68</v>
      </c>
      <c r="V365" s="444" t="s">
        <v>69</v>
      </c>
      <c r="W365" s="444" t="s">
        <v>105</v>
      </c>
      <c r="X365" s="444" t="s">
        <v>59</v>
      </c>
      <c r="Y365" s="416"/>
      <c r="Z365" s="416"/>
      <c r="AA365" s="416"/>
      <c r="AB365" s="416"/>
      <c r="AC365" s="416"/>
      <c r="AD365" s="416"/>
      <c r="AE365" s="416"/>
      <c r="AF365" s="416"/>
      <c r="AG365" s="416"/>
      <c r="AH365" s="416"/>
      <c r="AI365" s="416"/>
      <c r="AJ365" s="444">
        <v>3507232702960000</v>
      </c>
      <c r="AK365" s="416" t="s">
        <v>490</v>
      </c>
      <c r="AL365" s="416" t="s">
        <v>490</v>
      </c>
      <c r="AM365" s="416"/>
      <c r="AN365" s="416"/>
      <c r="AO365" s="416" t="s">
        <v>48</v>
      </c>
      <c r="AP365" s="444">
        <v>85236337778</v>
      </c>
      <c r="AQ365" s="444" t="s">
        <v>488</v>
      </c>
      <c r="AR365" s="444" t="s">
        <v>906</v>
      </c>
      <c r="AS365" s="444" t="s">
        <v>64</v>
      </c>
      <c r="AT365" s="444" t="s">
        <v>95</v>
      </c>
      <c r="AU365" s="416"/>
    </row>
    <row r="366" spans="2:47">
      <c r="B366" s="440">
        <v>37</v>
      </c>
      <c r="C366" s="411">
        <v>9919120086</v>
      </c>
      <c r="D366" s="437" t="s">
        <v>1160</v>
      </c>
      <c r="E366" s="440" t="s">
        <v>144</v>
      </c>
      <c r="F366" s="590" t="s">
        <v>391</v>
      </c>
      <c r="G366" s="441">
        <v>43823</v>
      </c>
      <c r="H366" s="441"/>
      <c r="I366" s="441"/>
      <c r="J366" s="441"/>
      <c r="K366" s="347">
        <f t="shared" ca="1" si="53"/>
        <v>1</v>
      </c>
      <c r="L366" s="347">
        <f t="shared" ca="1" si="54"/>
        <v>0</v>
      </c>
      <c r="M366" s="441"/>
      <c r="N366" s="441"/>
      <c r="O366" s="440" t="s">
        <v>35</v>
      </c>
      <c r="P366" s="440" t="s">
        <v>36</v>
      </c>
      <c r="Q366" s="440" t="s">
        <v>1258</v>
      </c>
      <c r="R366" s="441">
        <v>34393</v>
      </c>
      <c r="S366" s="353">
        <f ca="1">DATEDIF(R366,$B$1,"Y")</f>
        <v>26</v>
      </c>
      <c r="T366" s="353">
        <f ca="1">DATEDIF(R366,$B$1,"YM")</f>
        <v>10</v>
      </c>
      <c r="U366" s="440" t="s">
        <v>152</v>
      </c>
      <c r="V366" s="440" t="s">
        <v>732</v>
      </c>
      <c r="W366" s="440"/>
      <c r="X366" s="440" t="s">
        <v>59</v>
      </c>
      <c r="Y366" s="440"/>
      <c r="Z366" s="440"/>
      <c r="AA366" s="440"/>
      <c r="AB366" s="440"/>
      <c r="AC366" s="440"/>
      <c r="AD366" s="440"/>
      <c r="AE366" s="440"/>
      <c r="AF366" s="440"/>
      <c r="AG366" s="440"/>
      <c r="AH366" s="440"/>
      <c r="AI366" s="440"/>
      <c r="AJ366" s="442" t="s">
        <v>1259</v>
      </c>
      <c r="AK366" s="350" t="s">
        <v>1260</v>
      </c>
      <c r="AL366" s="350" t="s">
        <v>1261</v>
      </c>
      <c r="AM366" s="350"/>
      <c r="AN366" s="350"/>
      <c r="AO366" s="350"/>
      <c r="AP366" s="442" t="s">
        <v>1262</v>
      </c>
      <c r="AQ366" s="439" t="s">
        <v>1160</v>
      </c>
      <c r="AR366" s="415" t="s">
        <v>1229</v>
      </c>
      <c r="AS366" s="440" t="s">
        <v>64</v>
      </c>
      <c r="AT366" s="440" t="s">
        <v>95</v>
      </c>
      <c r="AU366" s="395"/>
    </row>
    <row r="367" spans="2:47">
      <c r="B367" s="440">
        <v>38</v>
      </c>
      <c r="C367" s="416"/>
      <c r="D367" s="437" t="s">
        <v>1278</v>
      </c>
      <c r="E367" s="443" t="s">
        <v>1243</v>
      </c>
      <c r="F367" s="650" t="s">
        <v>391</v>
      </c>
      <c r="G367" s="451">
        <v>43867</v>
      </c>
      <c r="H367" s="443"/>
      <c r="I367" s="443"/>
      <c r="J367" s="441"/>
      <c r="K367" s="347">
        <f t="shared" ca="1" si="53"/>
        <v>0</v>
      </c>
      <c r="L367" s="347">
        <f t="shared" ca="1" si="54"/>
        <v>11</v>
      </c>
      <c r="M367" s="443"/>
      <c r="N367" s="444"/>
      <c r="O367" s="416"/>
      <c r="P367" s="416"/>
      <c r="Q367" s="443"/>
      <c r="R367" s="444"/>
      <c r="S367" s="416"/>
      <c r="T367" s="416"/>
      <c r="U367" s="443"/>
      <c r="V367" s="444"/>
      <c r="W367" s="416"/>
      <c r="X367" s="416"/>
      <c r="Y367" s="443"/>
      <c r="Z367" s="444"/>
      <c r="AA367" s="416"/>
      <c r="AB367" s="416"/>
      <c r="AC367" s="443"/>
      <c r="AD367" s="444"/>
      <c r="AE367" s="416"/>
      <c r="AF367" s="416"/>
      <c r="AG367" s="443"/>
      <c r="AH367" s="444"/>
      <c r="AI367" s="416"/>
      <c r="AJ367" s="416"/>
      <c r="AK367" s="443"/>
      <c r="AL367" s="444"/>
      <c r="AM367" s="416"/>
      <c r="AN367" s="416"/>
      <c r="AO367" s="443"/>
      <c r="AP367" s="444"/>
      <c r="AQ367" s="416"/>
      <c r="AR367" s="416"/>
      <c r="AS367" s="443"/>
      <c r="AT367" s="444"/>
      <c r="AU367" s="416"/>
    </row>
    <row r="368" spans="2:47">
      <c r="B368" s="440">
        <v>39</v>
      </c>
      <c r="C368" s="378" t="str">
        <f>NIK!$B$106</f>
        <v>9919120058</v>
      </c>
      <c r="D368" s="437" t="s">
        <v>506</v>
      </c>
      <c r="E368" s="440" t="s">
        <v>1022</v>
      </c>
      <c r="F368" s="590" t="s">
        <v>1281</v>
      </c>
      <c r="G368" s="441">
        <v>43801</v>
      </c>
      <c r="H368" s="441">
        <v>43801</v>
      </c>
      <c r="I368" s="441"/>
      <c r="J368" s="441"/>
      <c r="K368" s="347">
        <f t="shared" ca="1" si="53"/>
        <v>1</v>
      </c>
      <c r="L368" s="347">
        <f t="shared" ca="1" si="54"/>
        <v>1</v>
      </c>
      <c r="M368" s="441"/>
      <c r="N368" s="441"/>
      <c r="O368" s="355" t="s">
        <v>35</v>
      </c>
      <c r="P368" s="440" t="s">
        <v>36</v>
      </c>
      <c r="Q368" s="440" t="s">
        <v>1023</v>
      </c>
      <c r="R368" s="441">
        <v>30600</v>
      </c>
      <c r="S368" s="438">
        <f t="shared" ref="S368:S386" ca="1" si="61">DATEDIF(R368,$B$1,"Y")</f>
        <v>37</v>
      </c>
      <c r="T368" s="438">
        <f t="shared" ref="T368:T386" ca="1" si="62">DATEDIF(R368,$B$1,"YM")</f>
        <v>2</v>
      </c>
      <c r="U368" s="440" t="s">
        <v>57</v>
      </c>
      <c r="V368" s="440" t="s">
        <v>1024</v>
      </c>
      <c r="W368" s="440" t="s">
        <v>459</v>
      </c>
      <c r="X368" s="440" t="s">
        <v>59</v>
      </c>
      <c r="Y368" s="440" t="s">
        <v>505</v>
      </c>
      <c r="Z368" s="382">
        <v>30600</v>
      </c>
      <c r="AA368" s="382" t="s">
        <v>507</v>
      </c>
      <c r="AB368" s="382">
        <v>41939</v>
      </c>
      <c r="AC368" s="359" t="e">
        <f>DATEDIF(AB368,$B$3,"Y")</f>
        <v>#VALUE!</v>
      </c>
      <c r="AD368" s="440" t="s">
        <v>48</v>
      </c>
      <c r="AE368" s="440" t="s">
        <v>48</v>
      </c>
      <c r="AF368" s="440" t="s">
        <v>48</v>
      </c>
      <c r="AG368" s="382"/>
      <c r="AH368" s="382"/>
      <c r="AI368" s="382"/>
      <c r="AJ368" s="442" t="s">
        <v>1025</v>
      </c>
      <c r="AK368" s="350" t="s">
        <v>1026</v>
      </c>
      <c r="AL368" s="350" t="s">
        <v>1026</v>
      </c>
      <c r="AM368" s="350"/>
      <c r="AN368" s="440"/>
      <c r="AO368" s="440"/>
      <c r="AP368" s="442" t="s">
        <v>1027</v>
      </c>
      <c r="AQ368" s="439" t="s">
        <v>506</v>
      </c>
      <c r="AR368" s="442" t="s">
        <v>1093</v>
      </c>
      <c r="AS368" s="440" t="s">
        <v>64</v>
      </c>
      <c r="AT368" s="440" t="s">
        <v>95</v>
      </c>
      <c r="AU368" s="364"/>
    </row>
    <row r="369" spans="2:47">
      <c r="B369" s="440">
        <v>40</v>
      </c>
      <c r="C369" s="378" t="str">
        <f>NIK!$B$105</f>
        <v>9919120057</v>
      </c>
      <c r="D369" s="437" t="s">
        <v>1017</v>
      </c>
      <c r="E369" s="443" t="s">
        <v>995</v>
      </c>
      <c r="F369" s="590" t="s">
        <v>1281</v>
      </c>
      <c r="G369" s="441">
        <v>43801</v>
      </c>
      <c r="H369" s="441">
        <v>43801</v>
      </c>
      <c r="I369" s="441"/>
      <c r="J369" s="416"/>
      <c r="K369" s="347">
        <f t="shared" ca="1" si="53"/>
        <v>1</v>
      </c>
      <c r="L369" s="347">
        <f t="shared" ca="1" si="54"/>
        <v>1</v>
      </c>
      <c r="M369" s="441"/>
      <c r="N369" s="441"/>
      <c r="O369" s="355" t="s">
        <v>35</v>
      </c>
      <c r="P369" s="440" t="s">
        <v>36</v>
      </c>
      <c r="Q369" s="440" t="s">
        <v>37</v>
      </c>
      <c r="R369" s="441">
        <v>32606</v>
      </c>
      <c r="S369" s="438">
        <f t="shared" ca="1" si="61"/>
        <v>31</v>
      </c>
      <c r="T369" s="438">
        <f t="shared" ca="1" si="62"/>
        <v>8</v>
      </c>
      <c r="U369" s="440" t="s">
        <v>1018</v>
      </c>
      <c r="V369" s="440" t="s">
        <v>848</v>
      </c>
      <c r="W369" s="440" t="s">
        <v>105</v>
      </c>
      <c r="X369" s="440" t="s">
        <v>59</v>
      </c>
      <c r="Y369" s="440"/>
      <c r="Z369" s="440"/>
      <c r="AA369" s="440"/>
      <c r="AB369" s="440"/>
      <c r="AC369" s="440"/>
      <c r="AD369" s="440"/>
      <c r="AE369" s="440"/>
      <c r="AF369" s="440"/>
      <c r="AG369" s="388"/>
      <c r="AH369" s="388"/>
      <c r="AI369" s="388"/>
      <c r="AJ369" s="442" t="s">
        <v>1019</v>
      </c>
      <c r="AK369" s="350" t="s">
        <v>1020</v>
      </c>
      <c r="AL369" s="350" t="s">
        <v>1020</v>
      </c>
      <c r="AM369" s="350"/>
      <c r="AN369" s="440"/>
      <c r="AO369" s="440"/>
      <c r="AP369" s="442" t="s">
        <v>1021</v>
      </c>
      <c r="AQ369" s="439" t="s">
        <v>1017</v>
      </c>
      <c r="AR369" s="442" t="s">
        <v>1090</v>
      </c>
      <c r="AS369" s="440" t="s">
        <v>64</v>
      </c>
      <c r="AT369" s="440" t="s">
        <v>95</v>
      </c>
      <c r="AU369" s="364"/>
    </row>
    <row r="370" spans="2:47">
      <c r="B370" s="440">
        <v>41</v>
      </c>
      <c r="C370" s="387" t="str">
        <f>NIK!$B$130</f>
        <v>9919120087</v>
      </c>
      <c r="D370" s="396" t="s">
        <v>1173</v>
      </c>
      <c r="E370" s="440" t="s">
        <v>1161</v>
      </c>
      <c r="F370" s="590" t="s">
        <v>1374</v>
      </c>
      <c r="G370" s="441">
        <v>43823</v>
      </c>
      <c r="H370" s="441">
        <v>43823</v>
      </c>
      <c r="I370" s="441"/>
      <c r="J370" s="441"/>
      <c r="K370" s="347">
        <f t="shared" ca="1" si="53"/>
        <v>1</v>
      </c>
      <c r="L370" s="347">
        <f t="shared" ca="1" si="54"/>
        <v>0</v>
      </c>
      <c r="M370" s="441"/>
      <c r="N370" s="441"/>
      <c r="O370" s="440" t="s">
        <v>35</v>
      </c>
      <c r="P370" s="440" t="s">
        <v>36</v>
      </c>
      <c r="Q370" s="440" t="s">
        <v>41</v>
      </c>
      <c r="R370" s="441">
        <v>35779</v>
      </c>
      <c r="S370" s="353">
        <f t="shared" ca="1" si="61"/>
        <v>23</v>
      </c>
      <c r="T370" s="438">
        <f t="shared" ca="1" si="62"/>
        <v>0</v>
      </c>
      <c r="U370" s="440" t="s">
        <v>1269</v>
      </c>
      <c r="V370" s="440" t="s">
        <v>1048</v>
      </c>
      <c r="W370" s="440"/>
      <c r="X370" s="440" t="s">
        <v>59</v>
      </c>
      <c r="Y370" s="440"/>
      <c r="Z370" s="441"/>
      <c r="AA370" s="440"/>
      <c r="AB370" s="441"/>
      <c r="AC370" s="438"/>
      <c r="AD370" s="440"/>
      <c r="AE370" s="440"/>
      <c r="AF370" s="440"/>
      <c r="AG370" s="440"/>
      <c r="AH370" s="440"/>
      <c r="AI370" s="440"/>
      <c r="AJ370" s="442" t="s">
        <v>1280</v>
      </c>
      <c r="AK370" s="350" t="s">
        <v>1270</v>
      </c>
      <c r="AL370" s="350" t="s">
        <v>1271</v>
      </c>
      <c r="AM370" s="350"/>
      <c r="AN370" s="440"/>
      <c r="AO370" s="440"/>
      <c r="AP370" s="442" t="s">
        <v>1272</v>
      </c>
      <c r="AQ370" s="413" t="s">
        <v>1173</v>
      </c>
      <c r="AR370" s="412" t="s">
        <v>1273</v>
      </c>
      <c r="AS370" s="440" t="s">
        <v>64</v>
      </c>
      <c r="AT370" s="440" t="s">
        <v>95</v>
      </c>
      <c r="AU370" s="364" t="s">
        <v>1274</v>
      </c>
    </row>
    <row r="371" spans="2:47">
      <c r="B371" s="440">
        <v>42</v>
      </c>
      <c r="C371" s="379" t="s">
        <v>1375</v>
      </c>
      <c r="D371" s="437" t="s">
        <v>1149</v>
      </c>
      <c r="E371" s="440" t="s">
        <v>1150</v>
      </c>
      <c r="F371" s="590" t="s">
        <v>391</v>
      </c>
      <c r="G371" s="441">
        <v>43824</v>
      </c>
      <c r="H371" s="441">
        <v>43824</v>
      </c>
      <c r="I371" s="441"/>
      <c r="J371" s="441"/>
      <c r="K371" s="347">
        <f t="shared" ca="1" si="53"/>
        <v>1</v>
      </c>
      <c r="L371" s="347">
        <f t="shared" ca="1" si="54"/>
        <v>0</v>
      </c>
      <c r="M371" s="441"/>
      <c r="N371" s="441"/>
      <c r="O371" s="440" t="s">
        <v>76</v>
      </c>
      <c r="P371" s="440" t="s">
        <v>36</v>
      </c>
      <c r="Q371" s="440" t="s">
        <v>41</v>
      </c>
      <c r="R371" s="441">
        <v>34004</v>
      </c>
      <c r="S371" s="438">
        <f t="shared" ca="1" si="61"/>
        <v>27</v>
      </c>
      <c r="T371" s="438">
        <f t="shared" ca="1" si="62"/>
        <v>11</v>
      </c>
      <c r="U371" s="440" t="s">
        <v>130</v>
      </c>
      <c r="V371" s="440" t="s">
        <v>1151</v>
      </c>
      <c r="W371" s="440"/>
      <c r="X371" s="440" t="s">
        <v>59</v>
      </c>
      <c r="Y371" s="440"/>
      <c r="Z371" s="440"/>
      <c r="AA371" s="440"/>
      <c r="AB371" s="440"/>
      <c r="AC371" s="440"/>
      <c r="AD371" s="440"/>
      <c r="AE371" s="440"/>
      <c r="AF371" s="440"/>
      <c r="AG371" s="388"/>
      <c r="AH371" s="388"/>
      <c r="AI371" s="388"/>
      <c r="AJ371" s="442" t="s">
        <v>1152</v>
      </c>
      <c r="AK371" s="350" t="s">
        <v>1153</v>
      </c>
      <c r="AL371" s="350" t="s">
        <v>1153</v>
      </c>
      <c r="AM371" s="350"/>
      <c r="AN371" s="440"/>
      <c r="AO371" s="440"/>
      <c r="AP371" s="442" t="s">
        <v>1154</v>
      </c>
      <c r="AQ371" s="439" t="s">
        <v>1149</v>
      </c>
      <c r="AR371" s="442" t="s">
        <v>1183</v>
      </c>
      <c r="AS371" s="440" t="s">
        <v>64</v>
      </c>
      <c r="AT371" s="440" t="s">
        <v>95</v>
      </c>
      <c r="AU371" s="364" t="s">
        <v>1155</v>
      </c>
    </row>
    <row r="372" spans="2:47">
      <c r="B372" s="440">
        <v>43</v>
      </c>
      <c r="C372" s="355">
        <v>9919020012</v>
      </c>
      <c r="D372" s="437" t="s">
        <v>514</v>
      </c>
      <c r="E372" s="355" t="s">
        <v>995</v>
      </c>
      <c r="F372" s="590" t="s">
        <v>650</v>
      </c>
      <c r="G372" s="357">
        <v>43497</v>
      </c>
      <c r="H372" s="357">
        <v>43497</v>
      </c>
      <c r="I372" s="357"/>
      <c r="J372" s="441"/>
      <c r="K372" s="347">
        <f t="shared" ca="1" si="53"/>
        <v>1</v>
      </c>
      <c r="L372" s="347">
        <f t="shared" ca="1" si="54"/>
        <v>11</v>
      </c>
      <c r="M372" s="357"/>
      <c r="N372" s="357"/>
      <c r="O372" s="355" t="s">
        <v>35</v>
      </c>
      <c r="P372" s="355" t="s">
        <v>36</v>
      </c>
      <c r="Q372" s="355" t="s">
        <v>37</v>
      </c>
      <c r="R372" s="357">
        <v>33977</v>
      </c>
      <c r="S372" s="438">
        <f t="shared" ca="1" si="61"/>
        <v>27</v>
      </c>
      <c r="T372" s="438">
        <f t="shared" ca="1" si="62"/>
        <v>11</v>
      </c>
      <c r="U372" s="355" t="s">
        <v>57</v>
      </c>
      <c r="V372" s="355" t="s">
        <v>515</v>
      </c>
      <c r="W372" s="355" t="s">
        <v>105</v>
      </c>
      <c r="X372" s="355" t="s">
        <v>59</v>
      </c>
      <c r="Y372" s="440" t="s">
        <v>48</v>
      </c>
      <c r="Z372" s="440" t="s">
        <v>48</v>
      </c>
      <c r="AA372" s="440" t="s">
        <v>48</v>
      </c>
      <c r="AB372" s="440" t="s">
        <v>48</v>
      </c>
      <c r="AC372" s="440" t="s">
        <v>48</v>
      </c>
      <c r="AD372" s="440" t="s">
        <v>48</v>
      </c>
      <c r="AE372" s="440" t="s">
        <v>48</v>
      </c>
      <c r="AF372" s="440" t="s">
        <v>48</v>
      </c>
      <c r="AG372" s="382"/>
      <c r="AH372" s="382"/>
      <c r="AI372" s="382"/>
      <c r="AJ372" s="360" t="s">
        <v>516</v>
      </c>
      <c r="AK372" s="361" t="s">
        <v>517</v>
      </c>
      <c r="AL372" s="361" t="s">
        <v>518</v>
      </c>
      <c r="AM372" s="361"/>
      <c r="AN372" s="355"/>
      <c r="AO372" s="355" t="s">
        <v>519</v>
      </c>
      <c r="AP372" s="360" t="s">
        <v>520</v>
      </c>
      <c r="AQ372" s="362" t="s">
        <v>514</v>
      </c>
      <c r="AR372" s="495" t="s">
        <v>543</v>
      </c>
      <c r="AS372" s="355" t="s">
        <v>64</v>
      </c>
      <c r="AT372" s="355" t="s">
        <v>95</v>
      </c>
      <c r="AU372" s="363" t="s">
        <v>521</v>
      </c>
    </row>
    <row r="373" spans="2:47">
      <c r="B373" s="440">
        <v>44</v>
      </c>
      <c r="C373" s="379" t="str">
        <f>NIK!$B$120</f>
        <v>9919120072</v>
      </c>
      <c r="D373" s="437" t="s">
        <v>1128</v>
      </c>
      <c r="E373" s="440" t="s">
        <v>446</v>
      </c>
      <c r="F373" s="590" t="s">
        <v>650</v>
      </c>
      <c r="G373" s="441">
        <v>43823</v>
      </c>
      <c r="H373" s="441">
        <v>43823</v>
      </c>
      <c r="I373" s="441"/>
      <c r="J373" s="416"/>
      <c r="K373" s="347">
        <f t="shared" ca="1" si="53"/>
        <v>1</v>
      </c>
      <c r="L373" s="347">
        <f t="shared" ca="1" si="54"/>
        <v>0</v>
      </c>
      <c r="M373" s="441"/>
      <c r="N373" s="441"/>
      <c r="O373" s="440" t="s">
        <v>35</v>
      </c>
      <c r="P373" s="440" t="s">
        <v>36</v>
      </c>
      <c r="Q373" s="440" t="s">
        <v>41</v>
      </c>
      <c r="R373" s="441">
        <v>35506</v>
      </c>
      <c r="S373" s="438">
        <f t="shared" ca="1" si="61"/>
        <v>23</v>
      </c>
      <c r="T373" s="438">
        <f t="shared" ca="1" si="62"/>
        <v>9</v>
      </c>
      <c r="U373" s="440" t="s">
        <v>130</v>
      </c>
      <c r="V373" s="440" t="s">
        <v>161</v>
      </c>
      <c r="W373" s="440"/>
      <c r="X373" s="440" t="s">
        <v>59</v>
      </c>
      <c r="Y373" s="440"/>
      <c r="Z373" s="440"/>
      <c r="AA373" s="440"/>
      <c r="AB373" s="440"/>
      <c r="AC373" s="440"/>
      <c r="AD373" s="440"/>
      <c r="AE373" s="440"/>
      <c r="AF373" s="440"/>
      <c r="AG373" s="388"/>
      <c r="AH373" s="388"/>
      <c r="AI373" s="388"/>
      <c r="AJ373" s="442" t="s">
        <v>1129</v>
      </c>
      <c r="AK373" s="350" t="s">
        <v>1130</v>
      </c>
      <c r="AL373" s="350" t="s">
        <v>1131</v>
      </c>
      <c r="AM373" s="350"/>
      <c r="AN373" s="440"/>
      <c r="AO373" s="440"/>
      <c r="AP373" s="442" t="s">
        <v>1132</v>
      </c>
      <c r="AQ373" s="439" t="s">
        <v>1128</v>
      </c>
      <c r="AR373" s="415" t="s">
        <v>1224</v>
      </c>
      <c r="AS373" s="440" t="s">
        <v>64</v>
      </c>
      <c r="AT373" s="440" t="s">
        <v>95</v>
      </c>
      <c r="AU373" s="364" t="s">
        <v>1133</v>
      </c>
    </row>
    <row r="374" spans="2:47">
      <c r="B374" s="440">
        <v>45</v>
      </c>
      <c r="C374" s="379" t="str">
        <f>NIK!$B$121</f>
        <v>9919120073</v>
      </c>
      <c r="D374" s="437" t="s">
        <v>1134</v>
      </c>
      <c r="E374" s="440" t="s">
        <v>1336</v>
      </c>
      <c r="F374" s="590" t="s">
        <v>650</v>
      </c>
      <c r="G374" s="441">
        <v>43823</v>
      </c>
      <c r="H374" s="441">
        <v>43823</v>
      </c>
      <c r="I374" s="441"/>
      <c r="J374" s="416"/>
      <c r="K374" s="347">
        <f t="shared" ca="1" si="53"/>
        <v>1</v>
      </c>
      <c r="L374" s="347">
        <f t="shared" ca="1" si="54"/>
        <v>0</v>
      </c>
      <c r="M374" s="441"/>
      <c r="N374" s="441"/>
      <c r="O374" s="440" t="s">
        <v>35</v>
      </c>
      <c r="P374" s="440" t="s">
        <v>888</v>
      </c>
      <c r="Q374" s="440" t="s">
        <v>41</v>
      </c>
      <c r="R374" s="441">
        <v>35059</v>
      </c>
      <c r="S374" s="438">
        <f t="shared" ca="1" si="61"/>
        <v>25</v>
      </c>
      <c r="T374" s="438">
        <f t="shared" ca="1" si="62"/>
        <v>0</v>
      </c>
      <c r="U374" s="440" t="s">
        <v>130</v>
      </c>
      <c r="V374" s="440" t="s">
        <v>1135</v>
      </c>
      <c r="W374" s="440"/>
      <c r="X374" s="440" t="s">
        <v>59</v>
      </c>
      <c r="Y374" s="440"/>
      <c r="Z374" s="440"/>
      <c r="AA374" s="440"/>
      <c r="AB374" s="440"/>
      <c r="AC374" s="440"/>
      <c r="AD374" s="440"/>
      <c r="AE374" s="440"/>
      <c r="AF374" s="440"/>
      <c r="AG374" s="388"/>
      <c r="AH374" s="388"/>
      <c r="AI374" s="388"/>
      <c r="AJ374" s="442" t="s">
        <v>1136</v>
      </c>
      <c r="AK374" s="350" t="s">
        <v>1137</v>
      </c>
      <c r="AL374" s="350" t="s">
        <v>1137</v>
      </c>
      <c r="AM374" s="350"/>
      <c r="AN374" s="440"/>
      <c r="AO374" s="440"/>
      <c r="AP374" s="442" t="s">
        <v>1138</v>
      </c>
      <c r="AQ374" s="439" t="s">
        <v>1134</v>
      </c>
      <c r="AR374" s="415" t="s">
        <v>1225</v>
      </c>
      <c r="AS374" s="440" t="s">
        <v>64</v>
      </c>
      <c r="AT374" s="440" t="s">
        <v>95</v>
      </c>
      <c r="AU374" s="364" t="s">
        <v>1335</v>
      </c>
    </row>
    <row r="375" spans="2:47">
      <c r="B375" s="440">
        <v>46</v>
      </c>
      <c r="C375" s="379" t="str">
        <f>NIK!B120</f>
        <v>9919120072</v>
      </c>
      <c r="D375" s="437" t="s">
        <v>1140</v>
      </c>
      <c r="E375" s="440" t="s">
        <v>209</v>
      </c>
      <c r="F375" s="590" t="s">
        <v>650</v>
      </c>
      <c r="G375" s="441">
        <v>43823</v>
      </c>
      <c r="H375" s="441">
        <v>43823</v>
      </c>
      <c r="I375" s="441"/>
      <c r="J375" s="416"/>
      <c r="K375" s="347">
        <f t="shared" ca="1" si="53"/>
        <v>1</v>
      </c>
      <c r="L375" s="347">
        <f t="shared" ca="1" si="54"/>
        <v>0</v>
      </c>
      <c r="M375" s="441"/>
      <c r="N375" s="441"/>
      <c r="O375" s="440" t="s">
        <v>35</v>
      </c>
      <c r="P375" s="440" t="s">
        <v>36</v>
      </c>
      <c r="Q375" s="440" t="s">
        <v>41</v>
      </c>
      <c r="R375" s="441">
        <v>27623</v>
      </c>
      <c r="S375" s="438">
        <f t="shared" ca="1" si="61"/>
        <v>45</v>
      </c>
      <c r="T375" s="438">
        <f t="shared" ca="1" si="62"/>
        <v>4</v>
      </c>
      <c r="U375" s="440" t="s">
        <v>68</v>
      </c>
      <c r="V375" s="440" t="s">
        <v>1141</v>
      </c>
      <c r="W375" s="440" t="s">
        <v>105</v>
      </c>
      <c r="X375" s="440" t="s">
        <v>59</v>
      </c>
      <c r="Y375" s="440"/>
      <c r="Z375" s="440"/>
      <c r="AA375" s="440"/>
      <c r="AB375" s="440"/>
      <c r="AC375" s="440"/>
      <c r="AD375" s="440"/>
      <c r="AE375" s="440"/>
      <c r="AF375" s="440"/>
      <c r="AG375" s="388"/>
      <c r="AH375" s="388"/>
      <c r="AI375" s="388"/>
      <c r="AJ375" s="442" t="s">
        <v>1142</v>
      </c>
      <c r="AK375" s="350" t="s">
        <v>1143</v>
      </c>
      <c r="AL375" s="350" t="s">
        <v>1143</v>
      </c>
      <c r="AM375" s="350"/>
      <c r="AN375" s="440"/>
      <c r="AO375" s="440"/>
      <c r="AP375" s="442" t="s">
        <v>1144</v>
      </c>
      <c r="AQ375" s="439" t="s">
        <v>1140</v>
      </c>
      <c r="AR375" s="442" t="s">
        <v>1175</v>
      </c>
      <c r="AS375" s="440" t="s">
        <v>64</v>
      </c>
      <c r="AT375" s="440" t="s">
        <v>95</v>
      </c>
      <c r="AU375" s="364"/>
    </row>
    <row r="376" spans="2:47">
      <c r="B376" s="440">
        <v>47</v>
      </c>
      <c r="C376" s="440">
        <v>9919010001</v>
      </c>
      <c r="D376" s="437" t="s">
        <v>445</v>
      </c>
      <c r="E376" s="440" t="s">
        <v>446</v>
      </c>
      <c r="F376" s="590" t="s">
        <v>391</v>
      </c>
      <c r="G376" s="441">
        <v>43467</v>
      </c>
      <c r="H376" s="357">
        <v>43467</v>
      </c>
      <c r="I376" s="357">
        <v>43832</v>
      </c>
      <c r="J376" s="416"/>
      <c r="K376" s="347">
        <f t="shared" ca="1" si="53"/>
        <v>2</v>
      </c>
      <c r="L376" s="347">
        <f t="shared" ca="1" si="54"/>
        <v>0</v>
      </c>
      <c r="M376" s="441"/>
      <c r="N376" s="441"/>
      <c r="O376" s="440" t="s">
        <v>76</v>
      </c>
      <c r="P376" s="440" t="s">
        <v>36</v>
      </c>
      <c r="Q376" s="440" t="s">
        <v>41</v>
      </c>
      <c r="R376" s="441">
        <v>34474</v>
      </c>
      <c r="S376" s="438">
        <f t="shared" ca="1" si="61"/>
        <v>26</v>
      </c>
      <c r="T376" s="438">
        <f t="shared" ca="1" si="62"/>
        <v>7</v>
      </c>
      <c r="U376" s="440" t="s">
        <v>57</v>
      </c>
      <c r="V376" s="440" t="s">
        <v>161</v>
      </c>
      <c r="W376" s="440" t="s">
        <v>459</v>
      </c>
      <c r="X376" s="440" t="s">
        <v>59</v>
      </c>
      <c r="Y376" s="440" t="s">
        <v>48</v>
      </c>
      <c r="Z376" s="440" t="s">
        <v>48</v>
      </c>
      <c r="AA376" s="440" t="s">
        <v>48</v>
      </c>
      <c r="AB376" s="440" t="s">
        <v>48</v>
      </c>
      <c r="AC376" s="440" t="s">
        <v>48</v>
      </c>
      <c r="AD376" s="440" t="s">
        <v>48</v>
      </c>
      <c r="AE376" s="440" t="s">
        <v>48</v>
      </c>
      <c r="AF376" s="440" t="s">
        <v>48</v>
      </c>
      <c r="AG376" s="682"/>
      <c r="AH376" s="682"/>
      <c r="AI376" s="682"/>
      <c r="AJ376" s="439" t="s">
        <v>483</v>
      </c>
      <c r="AK376" s="350" t="s">
        <v>460</v>
      </c>
      <c r="AL376" s="350" t="s">
        <v>460</v>
      </c>
      <c r="AM376" s="581"/>
      <c r="AN376" s="440"/>
      <c r="AO376" s="440" t="s">
        <v>48</v>
      </c>
      <c r="AP376" s="442" t="s">
        <v>461</v>
      </c>
      <c r="AQ376" s="439" t="s">
        <v>445</v>
      </c>
      <c r="AR376" s="495" t="s">
        <v>640</v>
      </c>
      <c r="AS376" s="440" t="s">
        <v>64</v>
      </c>
      <c r="AT376" s="440" t="s">
        <v>95</v>
      </c>
      <c r="AU376" s="351" t="s">
        <v>462</v>
      </c>
    </row>
    <row r="377" spans="2:47">
      <c r="B377" s="440">
        <v>48</v>
      </c>
      <c r="C377" s="379">
        <v>992030103</v>
      </c>
      <c r="D377" s="437" t="s">
        <v>1339</v>
      </c>
      <c r="E377" s="440" t="s">
        <v>1338</v>
      </c>
      <c r="F377" s="590" t="s">
        <v>391</v>
      </c>
      <c r="G377" s="441">
        <v>43903</v>
      </c>
      <c r="H377" s="441">
        <v>43903</v>
      </c>
      <c r="I377" s="441"/>
      <c r="J377" s="416"/>
      <c r="K377" s="347">
        <f t="shared" ca="1" si="53"/>
        <v>0</v>
      </c>
      <c r="L377" s="347">
        <f t="shared" ca="1" si="54"/>
        <v>9</v>
      </c>
      <c r="M377" s="441"/>
      <c r="N377" s="441"/>
      <c r="O377" s="440" t="s">
        <v>35</v>
      </c>
      <c r="P377" s="440" t="s">
        <v>36</v>
      </c>
      <c r="Q377" s="440" t="s">
        <v>1340</v>
      </c>
      <c r="R377" s="441">
        <v>35167</v>
      </c>
      <c r="S377" s="438">
        <f t="shared" ca="1" si="61"/>
        <v>24</v>
      </c>
      <c r="T377" s="438">
        <f t="shared" ca="1" si="62"/>
        <v>8</v>
      </c>
      <c r="U377" s="440" t="s">
        <v>1341</v>
      </c>
      <c r="V377" s="440" t="s">
        <v>1342</v>
      </c>
      <c r="W377" s="440" t="s">
        <v>459</v>
      </c>
      <c r="X377" s="440" t="s">
        <v>59</v>
      </c>
      <c r="Y377" s="440"/>
      <c r="Z377" s="440"/>
      <c r="AA377" s="440"/>
      <c r="AB377" s="440"/>
      <c r="AC377" s="440"/>
      <c r="AD377" s="440"/>
      <c r="AE377" s="440"/>
      <c r="AF377" s="440"/>
      <c r="AG377" s="388"/>
      <c r="AH377" s="388"/>
      <c r="AI377" s="388"/>
      <c r="AJ377" s="442" t="s">
        <v>1345</v>
      </c>
      <c r="AK377" s="350" t="s">
        <v>1343</v>
      </c>
      <c r="AL377" s="350" t="s">
        <v>1344</v>
      </c>
      <c r="AM377" s="350"/>
      <c r="AN377" s="440"/>
      <c r="AO377" s="440"/>
      <c r="AP377" s="442" t="s">
        <v>1346</v>
      </c>
      <c r="AQ377" s="439" t="s">
        <v>1339</v>
      </c>
      <c r="AR377" s="442" t="s">
        <v>1348</v>
      </c>
      <c r="AS377" s="440" t="s">
        <v>64</v>
      </c>
      <c r="AT377" s="440" t="s">
        <v>95</v>
      </c>
      <c r="AU377" s="364" t="s">
        <v>1347</v>
      </c>
    </row>
    <row r="378" spans="2:47">
      <c r="B378" s="440">
        <v>49</v>
      </c>
      <c r="C378" s="398" t="s">
        <v>1490</v>
      </c>
      <c r="D378" s="437" t="s">
        <v>1481</v>
      </c>
      <c r="E378" s="440" t="s">
        <v>1482</v>
      </c>
      <c r="F378" s="590" t="s">
        <v>391</v>
      </c>
      <c r="G378" s="441">
        <v>44008</v>
      </c>
      <c r="H378" s="441">
        <v>44008</v>
      </c>
      <c r="I378" s="441"/>
      <c r="J378" s="416"/>
      <c r="K378" s="347">
        <f t="shared" ca="1" si="53"/>
        <v>0</v>
      </c>
      <c r="L378" s="347">
        <f t="shared" ca="1" si="54"/>
        <v>6</v>
      </c>
      <c r="M378" s="441"/>
      <c r="N378" s="441"/>
      <c r="O378" s="440" t="s">
        <v>76</v>
      </c>
      <c r="P378" s="440" t="s">
        <v>36</v>
      </c>
      <c r="Q378" s="440" t="s">
        <v>819</v>
      </c>
      <c r="R378" s="441">
        <v>35060</v>
      </c>
      <c r="S378" s="438">
        <f t="shared" ca="1" si="61"/>
        <v>25</v>
      </c>
      <c r="T378" s="438">
        <f t="shared" ca="1" si="62"/>
        <v>0</v>
      </c>
      <c r="U378" s="440" t="s">
        <v>130</v>
      </c>
      <c r="V378" s="440" t="s">
        <v>1483</v>
      </c>
      <c r="W378" s="440" t="s">
        <v>44</v>
      </c>
      <c r="X378" s="440" t="s">
        <v>59</v>
      </c>
      <c r="Y378" s="440"/>
      <c r="Z378" s="440"/>
      <c r="AA378" s="440"/>
      <c r="AB378" s="440"/>
      <c r="AC378" s="440"/>
      <c r="AD378" s="440"/>
      <c r="AE378" s="440"/>
      <c r="AF378" s="440"/>
      <c r="AG378" s="388"/>
      <c r="AH378" s="388"/>
      <c r="AI378" s="388"/>
      <c r="AJ378" s="442" t="s">
        <v>1484</v>
      </c>
      <c r="AK378" s="350" t="s">
        <v>1485</v>
      </c>
      <c r="AL378" s="350" t="s">
        <v>1486</v>
      </c>
      <c r="AM378" s="350"/>
      <c r="AN378" s="440"/>
      <c r="AO378" s="440"/>
      <c r="AP378" s="442" t="s">
        <v>1487</v>
      </c>
      <c r="AQ378" s="439" t="s">
        <v>1481</v>
      </c>
      <c r="AR378" s="442"/>
      <c r="AS378" s="440" t="s">
        <v>64</v>
      </c>
      <c r="AT378" s="440" t="s">
        <v>95</v>
      </c>
      <c r="AU378" s="364" t="s">
        <v>1488</v>
      </c>
    </row>
    <row r="379" spans="2:47">
      <c r="B379" s="440">
        <v>50</v>
      </c>
      <c r="C379" s="398" t="s">
        <v>727</v>
      </c>
      <c r="D379" s="437" t="s">
        <v>722</v>
      </c>
      <c r="E379" s="440" t="s">
        <v>999</v>
      </c>
      <c r="F379" s="590" t="s">
        <v>650</v>
      </c>
      <c r="G379" s="441">
        <v>43656</v>
      </c>
      <c r="H379" s="441">
        <v>43656</v>
      </c>
      <c r="I379" s="441"/>
      <c r="J379" s="416"/>
      <c r="K379" s="347">
        <f t="shared" ca="1" si="53"/>
        <v>1</v>
      </c>
      <c r="L379" s="347">
        <f t="shared" ca="1" si="54"/>
        <v>5</v>
      </c>
      <c r="M379" s="441"/>
      <c r="N379" s="441"/>
      <c r="O379" s="440" t="s">
        <v>35</v>
      </c>
      <c r="P379" s="440" t="s">
        <v>36</v>
      </c>
      <c r="Q379" s="440" t="s">
        <v>41</v>
      </c>
      <c r="R379" s="441">
        <v>33572</v>
      </c>
      <c r="S379" s="438">
        <f t="shared" ca="1" si="61"/>
        <v>29</v>
      </c>
      <c r="T379" s="438">
        <f t="shared" ca="1" si="62"/>
        <v>1</v>
      </c>
      <c r="U379" s="440" t="s">
        <v>68</v>
      </c>
      <c r="V379" s="440" t="s">
        <v>732</v>
      </c>
      <c r="W379" s="440"/>
      <c r="X379" s="440" t="s">
        <v>45</v>
      </c>
      <c r="Y379" s="440" t="s">
        <v>737</v>
      </c>
      <c r="Z379" s="441">
        <v>34750</v>
      </c>
      <c r="AA379" s="440" t="s">
        <v>738</v>
      </c>
      <c r="AB379" s="441">
        <v>43279</v>
      </c>
      <c r="AC379" s="438" t="e">
        <f>DATEDIF(AB379,$B$3,"Y")</f>
        <v>#VALUE!</v>
      </c>
      <c r="AD379" s="440" t="s">
        <v>48</v>
      </c>
      <c r="AE379" s="440" t="s">
        <v>48</v>
      </c>
      <c r="AF379" s="440" t="s">
        <v>48</v>
      </c>
      <c r="AG379" s="440" t="s">
        <v>48</v>
      </c>
      <c r="AH379" s="440" t="s">
        <v>48</v>
      </c>
      <c r="AI379" s="440" t="s">
        <v>48</v>
      </c>
      <c r="AJ379" s="442" t="s">
        <v>742</v>
      </c>
      <c r="AK379" s="350" t="s">
        <v>752</v>
      </c>
      <c r="AL379" s="350" t="s">
        <v>752</v>
      </c>
      <c r="AM379" s="350"/>
      <c r="AN379" s="350"/>
      <c r="AO379" s="350"/>
      <c r="AP379" s="442" t="s">
        <v>748</v>
      </c>
      <c r="AQ379" s="439" t="s">
        <v>722</v>
      </c>
      <c r="AR379" s="347" t="s">
        <v>759</v>
      </c>
      <c r="AS379" s="440" t="s">
        <v>64</v>
      </c>
      <c r="AT379" s="440" t="s">
        <v>95</v>
      </c>
      <c r="AU379" s="395"/>
    </row>
    <row r="380" spans="2:47">
      <c r="B380" s="440">
        <v>51</v>
      </c>
      <c r="C380" s="440" t="s">
        <v>315</v>
      </c>
      <c r="D380" s="437" t="s">
        <v>1431</v>
      </c>
      <c r="E380" s="440" t="s">
        <v>363</v>
      </c>
      <c r="F380" s="590" t="s">
        <v>391</v>
      </c>
      <c r="G380" s="441">
        <v>43202</v>
      </c>
      <c r="H380" s="357">
        <v>43202</v>
      </c>
      <c r="I380" s="357">
        <v>43567</v>
      </c>
      <c r="J380" s="416"/>
      <c r="K380" s="347">
        <f t="shared" ca="1" si="53"/>
        <v>2</v>
      </c>
      <c r="L380" s="347">
        <f t="shared" ca="1" si="54"/>
        <v>8</v>
      </c>
      <c r="M380" s="441"/>
      <c r="N380" s="441"/>
      <c r="O380" s="440" t="s">
        <v>76</v>
      </c>
      <c r="P380" s="440" t="s">
        <v>36</v>
      </c>
      <c r="Q380" s="440" t="s">
        <v>41</v>
      </c>
      <c r="R380" s="441">
        <v>34969</v>
      </c>
      <c r="S380" s="438">
        <f t="shared" ca="1" si="61"/>
        <v>25</v>
      </c>
      <c r="T380" s="438">
        <f t="shared" ca="1" si="62"/>
        <v>3</v>
      </c>
      <c r="U380" s="440" t="s">
        <v>68</v>
      </c>
      <c r="V380" s="440" t="s">
        <v>69</v>
      </c>
      <c r="W380" s="440" t="s">
        <v>44</v>
      </c>
      <c r="X380" s="440" t="s">
        <v>59</v>
      </c>
      <c r="Y380" s="440" t="s">
        <v>48</v>
      </c>
      <c r="Z380" s="440" t="s">
        <v>48</v>
      </c>
      <c r="AA380" s="440" t="s">
        <v>48</v>
      </c>
      <c r="AB380" s="440" t="s">
        <v>48</v>
      </c>
      <c r="AC380" s="440" t="s">
        <v>48</v>
      </c>
      <c r="AD380" s="440" t="s">
        <v>48</v>
      </c>
      <c r="AE380" s="440" t="s">
        <v>48</v>
      </c>
      <c r="AF380" s="440" t="s">
        <v>48</v>
      </c>
      <c r="AG380" s="374"/>
      <c r="AH380" s="441"/>
      <c r="AI380" s="440"/>
      <c r="AJ380" s="442" t="s">
        <v>234</v>
      </c>
      <c r="AK380" s="350" t="s">
        <v>100</v>
      </c>
      <c r="AL380" s="350" t="s">
        <v>100</v>
      </c>
      <c r="AM380" s="350"/>
      <c r="AN380" s="440"/>
      <c r="AO380" s="440" t="s">
        <v>48</v>
      </c>
      <c r="AP380" s="439" t="s">
        <v>101</v>
      </c>
      <c r="AQ380" s="439" t="s">
        <v>98</v>
      </c>
      <c r="AR380" s="439" t="s">
        <v>948</v>
      </c>
      <c r="AS380" s="440" t="s">
        <v>64</v>
      </c>
      <c r="AT380" s="440" t="s">
        <v>95</v>
      </c>
      <c r="AU380" s="364" t="s">
        <v>102</v>
      </c>
    </row>
    <row r="381" spans="2:47">
      <c r="B381" s="440">
        <v>52</v>
      </c>
      <c r="C381" s="443" t="s">
        <v>1534</v>
      </c>
      <c r="D381" s="546" t="s">
        <v>1456</v>
      </c>
      <c r="E381" s="409" t="s">
        <v>209</v>
      </c>
      <c r="F381" s="590" t="s">
        <v>391</v>
      </c>
      <c r="G381" s="441">
        <v>43994</v>
      </c>
      <c r="H381" s="441">
        <v>43994</v>
      </c>
      <c r="I381" s="444"/>
      <c r="J381" s="416"/>
      <c r="K381" s="347">
        <f t="shared" ca="1" si="53"/>
        <v>0</v>
      </c>
      <c r="L381" s="347">
        <f t="shared" ca="1" si="54"/>
        <v>6</v>
      </c>
      <c r="M381" s="416"/>
      <c r="N381" s="416"/>
      <c r="O381" s="440" t="s">
        <v>35</v>
      </c>
      <c r="P381" s="440" t="s">
        <v>36</v>
      </c>
      <c r="Q381" s="409" t="s">
        <v>41</v>
      </c>
      <c r="R381" s="441">
        <v>28566</v>
      </c>
      <c r="S381" s="438">
        <f t="shared" ca="1" si="61"/>
        <v>42</v>
      </c>
      <c r="T381" s="438">
        <f t="shared" ca="1" si="62"/>
        <v>9</v>
      </c>
      <c r="U381" s="409" t="s">
        <v>68</v>
      </c>
      <c r="V381" s="443" t="s">
        <v>364</v>
      </c>
      <c r="W381" s="416"/>
      <c r="X381" s="416"/>
      <c r="Y381" s="416"/>
      <c r="Z381" s="416"/>
      <c r="AA381" s="416"/>
      <c r="AB381" s="416"/>
      <c r="AC381" s="416"/>
      <c r="AD381" s="416"/>
      <c r="AE381" s="416"/>
      <c r="AF381" s="416"/>
      <c r="AG381" s="416"/>
      <c r="AH381" s="416"/>
      <c r="AI381" s="416"/>
      <c r="AJ381" s="486" t="s">
        <v>1457</v>
      </c>
      <c r="AK381" s="547" t="s">
        <v>1458</v>
      </c>
      <c r="AL381" s="547" t="s">
        <v>1458</v>
      </c>
      <c r="AM381" s="416"/>
      <c r="AN381" s="416"/>
      <c r="AO381" s="416"/>
      <c r="AP381" s="432" t="s">
        <v>1459</v>
      </c>
      <c r="AQ381" s="552" t="s">
        <v>1456</v>
      </c>
      <c r="AR381" s="378" t="s">
        <v>1461</v>
      </c>
      <c r="AS381" s="440" t="s">
        <v>64</v>
      </c>
      <c r="AT381" s="440" t="s">
        <v>95</v>
      </c>
      <c r="AU381" s="416"/>
    </row>
    <row r="382" spans="2:47">
      <c r="B382" s="440">
        <v>53</v>
      </c>
      <c r="C382" s="411" t="str">
        <f>NIK!B134</f>
        <v>9919120091</v>
      </c>
      <c r="D382" s="437" t="s">
        <v>1190</v>
      </c>
      <c r="E382" s="440" t="s">
        <v>144</v>
      </c>
      <c r="F382" s="590" t="s">
        <v>391</v>
      </c>
      <c r="G382" s="441">
        <v>43836</v>
      </c>
      <c r="H382" s="441"/>
      <c r="I382" s="441"/>
      <c r="J382" s="416"/>
      <c r="K382" s="347">
        <f t="shared" ca="1" si="53"/>
        <v>1</v>
      </c>
      <c r="L382" s="347">
        <f t="shared" ca="1" si="54"/>
        <v>0</v>
      </c>
      <c r="M382" s="441"/>
      <c r="N382" s="441"/>
      <c r="O382" s="440" t="s">
        <v>35</v>
      </c>
      <c r="P382" s="440" t="s">
        <v>36</v>
      </c>
      <c r="Q382" s="440" t="s">
        <v>197</v>
      </c>
      <c r="R382" s="441">
        <v>35433</v>
      </c>
      <c r="S382" s="438">
        <f t="shared" ca="1" si="61"/>
        <v>24</v>
      </c>
      <c r="T382" s="438">
        <f t="shared" ca="1" si="62"/>
        <v>0</v>
      </c>
      <c r="U382" s="440" t="s">
        <v>152</v>
      </c>
      <c r="V382" s="440" t="s">
        <v>732</v>
      </c>
      <c r="W382" s="440"/>
      <c r="X382" s="440" t="s">
        <v>59</v>
      </c>
      <c r="Y382" s="440"/>
      <c r="Z382" s="440"/>
      <c r="AA382" s="440"/>
      <c r="AB382" s="440"/>
      <c r="AC382" s="440"/>
      <c r="AD382" s="440"/>
      <c r="AE382" s="440"/>
      <c r="AF382" s="440"/>
      <c r="AG382" s="440"/>
      <c r="AH382" s="440"/>
      <c r="AI382" s="440"/>
      <c r="AJ382" s="442" t="s">
        <v>1192</v>
      </c>
      <c r="AK382" s="350" t="s">
        <v>1193</v>
      </c>
      <c r="AL382" s="350" t="s">
        <v>1193</v>
      </c>
      <c r="AM382" s="350"/>
      <c r="AN382" s="350"/>
      <c r="AO382" s="350"/>
      <c r="AP382" s="442" t="s">
        <v>1194</v>
      </c>
      <c r="AQ382" s="439" t="s">
        <v>1190</v>
      </c>
      <c r="AR382" s="412" t="s">
        <v>1334</v>
      </c>
      <c r="AS382" s="440" t="s">
        <v>64</v>
      </c>
      <c r="AT382" s="440" t="s">
        <v>95</v>
      </c>
      <c r="AU382" s="395"/>
    </row>
    <row r="383" spans="2:47">
      <c r="B383" s="440">
        <v>54</v>
      </c>
      <c r="C383" s="379" t="str">
        <f>NIK!$B$142</f>
        <v>992010099</v>
      </c>
      <c r="D383" s="437" t="s">
        <v>1428</v>
      </c>
      <c r="E383" s="440" t="s">
        <v>1297</v>
      </c>
      <c r="F383" s="590" t="s">
        <v>650</v>
      </c>
      <c r="G383" s="441">
        <v>43850</v>
      </c>
      <c r="H383" s="441">
        <v>43850</v>
      </c>
      <c r="I383" s="441"/>
      <c r="J383" s="416"/>
      <c r="K383" s="347">
        <f t="shared" ca="1" si="53"/>
        <v>0</v>
      </c>
      <c r="L383" s="347">
        <f t="shared" ca="1" si="54"/>
        <v>11</v>
      </c>
      <c r="M383" s="441"/>
      <c r="N383" s="441"/>
      <c r="O383" s="440" t="s">
        <v>76</v>
      </c>
      <c r="P383" s="440" t="s">
        <v>36</v>
      </c>
      <c r="Q383" s="440" t="s">
        <v>129</v>
      </c>
      <c r="R383" s="441">
        <v>34239</v>
      </c>
      <c r="S383" s="438">
        <f t="shared" ca="1" si="61"/>
        <v>27</v>
      </c>
      <c r="T383" s="438">
        <f t="shared" ca="1" si="62"/>
        <v>3</v>
      </c>
      <c r="U383" s="440" t="s">
        <v>130</v>
      </c>
      <c r="V383" s="440" t="s">
        <v>1298</v>
      </c>
      <c r="W383" s="440" t="s">
        <v>105</v>
      </c>
      <c r="X383" s="440" t="s">
        <v>59</v>
      </c>
      <c r="Y383" s="440"/>
      <c r="Z383" s="440"/>
      <c r="AA383" s="440"/>
      <c r="AB383" s="440"/>
      <c r="AC383" s="440"/>
      <c r="AD383" s="440"/>
      <c r="AE383" s="440"/>
      <c r="AF383" s="440"/>
      <c r="AG383" s="388"/>
      <c r="AH383" s="388"/>
      <c r="AI383" s="388"/>
      <c r="AJ383" s="442" t="s">
        <v>1299</v>
      </c>
      <c r="AK383" s="350" t="s">
        <v>1300</v>
      </c>
      <c r="AL383" s="350" t="s">
        <v>1301</v>
      </c>
      <c r="AM383" s="350"/>
      <c r="AN383" s="440"/>
      <c r="AO383" s="440"/>
      <c r="AP383" s="442" t="s">
        <v>1302</v>
      </c>
      <c r="AQ383" s="439" t="s">
        <v>1294</v>
      </c>
      <c r="AR383" s="442" t="s">
        <v>1333</v>
      </c>
      <c r="AS383" s="440" t="s">
        <v>64</v>
      </c>
      <c r="AT383" s="440" t="s">
        <v>95</v>
      </c>
      <c r="AU383" s="364" t="s">
        <v>1303</v>
      </c>
    </row>
    <row r="384" spans="2:47">
      <c r="B384" s="440">
        <v>55</v>
      </c>
      <c r="C384" s="440" t="s">
        <v>312</v>
      </c>
      <c r="D384" s="437" t="s">
        <v>97</v>
      </c>
      <c r="E384" s="440" t="s">
        <v>450</v>
      </c>
      <c r="F384" s="590" t="s">
        <v>391</v>
      </c>
      <c r="G384" s="441">
        <v>43202</v>
      </c>
      <c r="H384" s="357">
        <v>43202</v>
      </c>
      <c r="I384" s="441">
        <v>43567</v>
      </c>
      <c r="J384" s="416"/>
      <c r="K384" s="347">
        <f t="shared" ca="1" si="53"/>
        <v>2</v>
      </c>
      <c r="L384" s="347">
        <f t="shared" ca="1" si="54"/>
        <v>8</v>
      </c>
      <c r="M384" s="441"/>
      <c r="N384" s="441"/>
      <c r="O384" s="440" t="s">
        <v>35</v>
      </c>
      <c r="P384" s="440" t="s">
        <v>36</v>
      </c>
      <c r="Q384" s="440" t="s">
        <v>41</v>
      </c>
      <c r="R384" s="441">
        <v>33885</v>
      </c>
      <c r="S384" s="438">
        <f t="shared" ca="1" si="61"/>
        <v>28</v>
      </c>
      <c r="T384" s="438">
        <f t="shared" ca="1" si="62"/>
        <v>2</v>
      </c>
      <c r="U384" s="440" t="s">
        <v>57</v>
      </c>
      <c r="V384" s="440" t="s">
        <v>58</v>
      </c>
      <c r="W384" s="440" t="s">
        <v>44</v>
      </c>
      <c r="X384" s="440" t="s">
        <v>59</v>
      </c>
      <c r="Y384" s="440" t="s">
        <v>48</v>
      </c>
      <c r="Z384" s="440" t="s">
        <v>48</v>
      </c>
      <c r="AA384" s="440" t="s">
        <v>48</v>
      </c>
      <c r="AB384" s="440" t="s">
        <v>48</v>
      </c>
      <c r="AC384" s="440" t="s">
        <v>48</v>
      </c>
      <c r="AD384" s="440" t="s">
        <v>48</v>
      </c>
      <c r="AE384" s="440" t="s">
        <v>48</v>
      </c>
      <c r="AF384" s="440" t="s">
        <v>48</v>
      </c>
      <c r="AG384" s="388"/>
      <c r="AH384" s="388"/>
      <c r="AI384" s="388"/>
      <c r="AJ384" s="442" t="s">
        <v>79</v>
      </c>
      <c r="AK384" s="350" t="s">
        <v>60</v>
      </c>
      <c r="AL384" s="350" t="s">
        <v>60</v>
      </c>
      <c r="AM384" s="350"/>
      <c r="AN384" s="440"/>
      <c r="AO384" s="440" t="s">
        <v>78</v>
      </c>
      <c r="AP384" s="442" t="s">
        <v>61</v>
      </c>
      <c r="AQ384" s="439" t="s">
        <v>62</v>
      </c>
      <c r="AR384" s="442" t="s">
        <v>933</v>
      </c>
      <c r="AS384" s="440" t="s">
        <v>64</v>
      </c>
      <c r="AT384" s="440" t="s">
        <v>95</v>
      </c>
      <c r="AU384" s="364" t="s">
        <v>65</v>
      </c>
    </row>
    <row r="385" spans="2:48">
      <c r="B385" s="440">
        <v>56</v>
      </c>
      <c r="C385" s="398" t="s">
        <v>1454</v>
      </c>
      <c r="D385" s="437" t="s">
        <v>1446</v>
      </c>
      <c r="E385" s="440" t="s">
        <v>1442</v>
      </c>
      <c r="F385" s="590" t="s">
        <v>391</v>
      </c>
      <c r="G385" s="441">
        <v>43991</v>
      </c>
      <c r="H385" s="441">
        <v>43991</v>
      </c>
      <c r="I385" s="441"/>
      <c r="J385" s="416"/>
      <c r="K385" s="347">
        <f t="shared" ca="1" si="53"/>
        <v>0</v>
      </c>
      <c r="L385" s="347">
        <f t="shared" ca="1" si="54"/>
        <v>6</v>
      </c>
      <c r="M385" s="441"/>
      <c r="N385" s="441"/>
      <c r="O385" s="440" t="s">
        <v>76</v>
      </c>
      <c r="P385" s="440" t="s">
        <v>36</v>
      </c>
      <c r="Q385" s="440" t="s">
        <v>41</v>
      </c>
      <c r="R385" s="441">
        <v>34255</v>
      </c>
      <c r="S385" s="438">
        <f t="shared" ca="1" si="61"/>
        <v>27</v>
      </c>
      <c r="T385" s="438">
        <f t="shared" ca="1" si="62"/>
        <v>2</v>
      </c>
      <c r="U385" s="440" t="s">
        <v>130</v>
      </c>
      <c r="V385" s="440"/>
      <c r="W385" s="440"/>
      <c r="X385" s="440" t="s">
        <v>59</v>
      </c>
      <c r="Y385" s="440"/>
      <c r="Z385" s="440"/>
      <c r="AA385" s="440"/>
      <c r="AB385" s="440"/>
      <c r="AC385" s="440"/>
      <c r="AD385" s="440"/>
      <c r="AE385" s="440"/>
      <c r="AF385" s="440"/>
      <c r="AG385" s="388"/>
      <c r="AH385" s="388"/>
      <c r="AI385" s="388"/>
      <c r="AJ385" s="442" t="s">
        <v>1447</v>
      </c>
      <c r="AK385" s="350" t="s">
        <v>1448</v>
      </c>
      <c r="AL385" s="350" t="s">
        <v>1448</v>
      </c>
      <c r="AM385" s="350"/>
      <c r="AN385" s="440"/>
      <c r="AO385" s="440"/>
      <c r="AP385" s="442" t="s">
        <v>1449</v>
      </c>
      <c r="AQ385" s="439" t="s">
        <v>1446</v>
      </c>
      <c r="AR385" s="442" t="s">
        <v>1455</v>
      </c>
      <c r="AS385" s="440" t="s">
        <v>64</v>
      </c>
      <c r="AT385" s="365" t="s">
        <v>48</v>
      </c>
      <c r="AU385" s="364"/>
    </row>
    <row r="386" spans="2:48">
      <c r="B386" s="440">
        <v>57</v>
      </c>
      <c r="C386" s="411" t="s">
        <v>1671</v>
      </c>
      <c r="D386" s="437" t="s">
        <v>1667</v>
      </c>
      <c r="E386" s="440" t="s">
        <v>144</v>
      </c>
      <c r="F386" s="590" t="s">
        <v>391</v>
      </c>
      <c r="G386" s="441">
        <v>44100</v>
      </c>
      <c r="H386" s="441"/>
      <c r="I386" s="441"/>
      <c r="J386" s="416"/>
      <c r="K386" s="347">
        <f t="shared" ca="1" si="53"/>
        <v>0</v>
      </c>
      <c r="L386" s="347">
        <f t="shared" ca="1" si="54"/>
        <v>3</v>
      </c>
      <c r="M386" s="441"/>
      <c r="N386" s="441"/>
      <c r="O386" s="440" t="s">
        <v>35</v>
      </c>
      <c r="P386" s="440" t="s">
        <v>36</v>
      </c>
      <c r="Q386" s="440" t="s">
        <v>618</v>
      </c>
      <c r="R386" s="441">
        <v>36378</v>
      </c>
      <c r="S386" s="438">
        <f t="shared" ca="1" si="61"/>
        <v>21</v>
      </c>
      <c r="T386" s="438">
        <f t="shared" ca="1" si="62"/>
        <v>5</v>
      </c>
      <c r="U386" s="440"/>
      <c r="V386" s="440"/>
      <c r="W386" s="440"/>
      <c r="X386" s="440" t="s">
        <v>59</v>
      </c>
      <c r="Y386" s="440"/>
      <c r="Z386" s="440" t="s">
        <v>1668</v>
      </c>
      <c r="AA386" s="440"/>
      <c r="AB386" s="440"/>
      <c r="AC386" s="440"/>
      <c r="AD386" s="440"/>
      <c r="AE386" s="440"/>
      <c r="AF386" s="440"/>
      <c r="AG386" s="440"/>
      <c r="AH386" s="440"/>
      <c r="AI386" s="440"/>
      <c r="AJ386" s="442" t="s">
        <v>1669</v>
      </c>
      <c r="AK386" s="350" t="s">
        <v>1670</v>
      </c>
      <c r="AL386" s="350" t="s">
        <v>1670</v>
      </c>
      <c r="AM386" s="350"/>
      <c r="AN386" s="350"/>
      <c r="AO386" s="350"/>
      <c r="AP386" s="442"/>
      <c r="AQ386" s="439" t="s">
        <v>1667</v>
      </c>
      <c r="AR386" s="412"/>
      <c r="AS386" s="440" t="s">
        <v>64</v>
      </c>
      <c r="AT386" s="440" t="s">
        <v>95</v>
      </c>
      <c r="AU386" s="395"/>
    </row>
    <row r="387" spans="2:48">
      <c r="B387" s="440">
        <v>58</v>
      </c>
      <c r="C387" s="439" t="s">
        <v>1772</v>
      </c>
      <c r="D387" s="437" t="s">
        <v>1723</v>
      </c>
      <c r="E387" s="440" t="s">
        <v>966</v>
      </c>
      <c r="F387" s="590" t="s">
        <v>1281</v>
      </c>
      <c r="G387" s="416"/>
      <c r="H387" s="443"/>
      <c r="I387" s="444"/>
      <c r="J387" s="416"/>
      <c r="K387" s="347">
        <f t="shared" ca="1" si="53"/>
        <v>121</v>
      </c>
      <c r="L387" s="347">
        <f t="shared" ca="1" si="54"/>
        <v>0</v>
      </c>
      <c r="M387" s="416"/>
      <c r="N387" s="416"/>
      <c r="O387" s="416"/>
      <c r="P387" s="416"/>
      <c r="Q387" s="416"/>
      <c r="R387" s="416"/>
      <c r="S387" s="416"/>
      <c r="T387" s="416"/>
      <c r="U387" s="416"/>
      <c r="V387" s="416"/>
      <c r="W387" s="416"/>
      <c r="X387" s="416"/>
      <c r="Y387" s="416"/>
      <c r="Z387" s="416"/>
      <c r="AA387" s="416"/>
      <c r="AB387" s="416"/>
      <c r="AC387" s="416"/>
      <c r="AD387" s="416"/>
      <c r="AE387" s="416"/>
      <c r="AF387" s="416"/>
      <c r="AG387" s="416"/>
      <c r="AH387" s="416"/>
      <c r="AI387" s="416"/>
      <c r="AJ387" s="416"/>
      <c r="AK387" s="416"/>
      <c r="AL387" s="416"/>
      <c r="AM387" s="416"/>
      <c r="AN387" s="416"/>
      <c r="AO387" s="416"/>
      <c r="AP387" s="416"/>
      <c r="AQ387" s="444"/>
      <c r="AR387" s="416"/>
      <c r="AS387" s="416"/>
      <c r="AT387" s="416"/>
      <c r="AU387" s="416"/>
    </row>
    <row r="388" spans="2:48">
      <c r="B388" s="440">
        <v>59</v>
      </c>
      <c r="C388" s="398" t="s">
        <v>1589</v>
      </c>
      <c r="D388" s="437" t="s">
        <v>1575</v>
      </c>
      <c r="E388" s="440" t="s">
        <v>1569</v>
      </c>
      <c r="F388" s="590" t="s">
        <v>391</v>
      </c>
      <c r="G388" s="441">
        <v>44055</v>
      </c>
      <c r="H388" s="441">
        <v>44055</v>
      </c>
      <c r="I388" s="441"/>
      <c r="J388" s="416"/>
      <c r="K388" s="347">
        <f t="shared" ca="1" si="53"/>
        <v>0</v>
      </c>
      <c r="L388" s="347">
        <f t="shared" ca="1" si="54"/>
        <v>4</v>
      </c>
      <c r="M388" s="441"/>
      <c r="N388" s="441"/>
      <c r="O388" s="440" t="s">
        <v>35</v>
      </c>
      <c r="P388" s="440" t="s">
        <v>36</v>
      </c>
      <c r="Q388" s="440" t="s">
        <v>41</v>
      </c>
      <c r="R388" s="441">
        <v>36290</v>
      </c>
      <c r="S388" s="438">
        <f t="shared" ref="S388:S393" ca="1" si="63">DATEDIF(R388,$B$1,"Y")</f>
        <v>21</v>
      </c>
      <c r="T388" s="438">
        <f t="shared" ref="T388:T393" ca="1" si="64">DATEDIF(R388,$B$1,"YM")</f>
        <v>7</v>
      </c>
      <c r="U388" s="440" t="s">
        <v>597</v>
      </c>
      <c r="V388" s="440" t="s">
        <v>1576</v>
      </c>
      <c r="W388" s="440"/>
      <c r="X388" s="440" t="s">
        <v>59</v>
      </c>
      <c r="Y388" s="440"/>
      <c r="Z388" s="440"/>
      <c r="AA388" s="440"/>
      <c r="AB388" s="440"/>
      <c r="AC388" s="440"/>
      <c r="AD388" s="440"/>
      <c r="AE388" s="440"/>
      <c r="AF388" s="440"/>
      <c r="AG388" s="388"/>
      <c r="AH388" s="388"/>
      <c r="AI388" s="388"/>
      <c r="AJ388" s="442" t="s">
        <v>1577</v>
      </c>
      <c r="AK388" s="350" t="s">
        <v>1578</v>
      </c>
      <c r="AL388" s="350" t="s">
        <v>1578</v>
      </c>
      <c r="AM388" s="350"/>
      <c r="AN388" s="440"/>
      <c r="AO388" s="440"/>
      <c r="AP388" s="442" t="s">
        <v>1579</v>
      </c>
      <c r="AQ388" s="439" t="s">
        <v>1575</v>
      </c>
      <c r="AR388" s="442" t="s">
        <v>1602</v>
      </c>
      <c r="AS388" s="440" t="s">
        <v>64</v>
      </c>
      <c r="AT388" s="440" t="s">
        <v>95</v>
      </c>
      <c r="AU388" s="364" t="s">
        <v>1586</v>
      </c>
    </row>
    <row r="389" spans="2:48">
      <c r="B389" s="440">
        <v>60</v>
      </c>
      <c r="C389" s="379" t="str">
        <f>NIK!$B$110</f>
        <v>9919120062</v>
      </c>
      <c r="D389" s="437" t="s">
        <v>1070</v>
      </c>
      <c r="E389" s="440" t="s">
        <v>1071</v>
      </c>
      <c r="F389" s="590" t="s">
        <v>391</v>
      </c>
      <c r="G389" s="441">
        <v>43813</v>
      </c>
      <c r="H389" s="441">
        <v>43813</v>
      </c>
      <c r="I389" s="441"/>
      <c r="J389" s="416"/>
      <c r="K389" s="347">
        <f t="shared" ca="1" si="53"/>
        <v>1</v>
      </c>
      <c r="L389" s="347">
        <f t="shared" ca="1" si="54"/>
        <v>0</v>
      </c>
      <c r="M389" s="441"/>
      <c r="N389" s="441"/>
      <c r="O389" s="440" t="s">
        <v>76</v>
      </c>
      <c r="P389" s="440" t="s">
        <v>36</v>
      </c>
      <c r="Q389" s="440" t="s">
        <v>41</v>
      </c>
      <c r="R389" s="441">
        <v>34875</v>
      </c>
      <c r="S389" s="438">
        <f t="shared" ca="1" si="63"/>
        <v>25</v>
      </c>
      <c r="T389" s="438">
        <f t="shared" ca="1" si="64"/>
        <v>6</v>
      </c>
      <c r="U389" s="440" t="s">
        <v>130</v>
      </c>
      <c r="V389" s="440" t="s">
        <v>1072</v>
      </c>
      <c r="W389" s="440" t="s">
        <v>105</v>
      </c>
      <c r="X389" s="440" t="s">
        <v>59</v>
      </c>
      <c r="Y389" s="440"/>
      <c r="Z389" s="440"/>
      <c r="AA389" s="440"/>
      <c r="AB389" s="440"/>
      <c r="AC389" s="440"/>
      <c r="AD389" s="440"/>
      <c r="AE389" s="440"/>
      <c r="AF389" s="440"/>
      <c r="AG389" s="388"/>
      <c r="AH389" s="388"/>
      <c r="AI389" s="388"/>
      <c r="AJ389" s="442" t="s">
        <v>1073</v>
      </c>
      <c r="AK389" s="350" t="s">
        <v>1074</v>
      </c>
      <c r="AL389" s="350" t="s">
        <v>1074</v>
      </c>
      <c r="AM389" s="350"/>
      <c r="AN389" s="440"/>
      <c r="AO389" s="440"/>
      <c r="AP389" s="442" t="s">
        <v>1075</v>
      </c>
      <c r="AQ389" s="439" t="s">
        <v>1070</v>
      </c>
      <c r="AR389" s="442" t="s">
        <v>1127</v>
      </c>
      <c r="AS389" s="440" t="s">
        <v>64</v>
      </c>
      <c r="AT389" s="440" t="s">
        <v>95</v>
      </c>
      <c r="AU389" s="364" t="s">
        <v>1076</v>
      </c>
    </row>
    <row r="390" spans="2:48">
      <c r="B390" s="440">
        <v>61</v>
      </c>
      <c r="C390" s="398" t="s">
        <v>1567</v>
      </c>
      <c r="D390" s="437" t="s">
        <v>1491</v>
      </c>
      <c r="E390" s="440" t="s">
        <v>89</v>
      </c>
      <c r="F390" s="590" t="s">
        <v>344</v>
      </c>
      <c r="G390" s="441">
        <v>44013</v>
      </c>
      <c r="H390" s="441">
        <v>44013</v>
      </c>
      <c r="I390" s="441"/>
      <c r="J390" s="416"/>
      <c r="K390" s="347">
        <f t="shared" ca="1" si="53"/>
        <v>0</v>
      </c>
      <c r="L390" s="347">
        <f t="shared" ca="1" si="54"/>
        <v>6</v>
      </c>
      <c r="M390" s="441"/>
      <c r="N390" s="441"/>
      <c r="O390" s="440" t="s">
        <v>76</v>
      </c>
      <c r="P390" s="440" t="s">
        <v>36</v>
      </c>
      <c r="Q390" s="440" t="s">
        <v>41</v>
      </c>
      <c r="R390" s="441">
        <v>36878</v>
      </c>
      <c r="S390" s="438">
        <f t="shared" ca="1" si="63"/>
        <v>20</v>
      </c>
      <c r="T390" s="438">
        <f t="shared" ca="1" si="64"/>
        <v>0</v>
      </c>
      <c r="U390" s="440"/>
      <c r="V390" s="440"/>
      <c r="W390" s="440"/>
      <c r="X390" s="440" t="s">
        <v>59</v>
      </c>
      <c r="Y390" s="440"/>
      <c r="Z390" s="440"/>
      <c r="AA390" s="440"/>
      <c r="AB390" s="440"/>
      <c r="AC390" s="440"/>
      <c r="AD390" s="440"/>
      <c r="AE390" s="440"/>
      <c r="AF390" s="440"/>
      <c r="AG390" s="388"/>
      <c r="AH390" s="388"/>
      <c r="AI390" s="388"/>
      <c r="AJ390" s="442" t="s">
        <v>1492</v>
      </c>
      <c r="AK390" s="350" t="s">
        <v>1493</v>
      </c>
      <c r="AL390" s="350" t="s">
        <v>1493</v>
      </c>
      <c r="AM390" s="350"/>
      <c r="AN390" s="440"/>
      <c r="AO390" s="440"/>
      <c r="AP390" s="442" t="s">
        <v>1494</v>
      </c>
      <c r="AQ390" s="439" t="s">
        <v>1491</v>
      </c>
      <c r="AR390" s="442" t="s">
        <v>1535</v>
      </c>
      <c r="AS390" s="440" t="s">
        <v>64</v>
      </c>
      <c r="AT390" s="440" t="s">
        <v>95</v>
      </c>
      <c r="AU390" s="364"/>
    </row>
    <row r="391" spans="2:48">
      <c r="B391" s="440">
        <v>62</v>
      </c>
      <c r="C391" s="355">
        <v>9919030015</v>
      </c>
      <c r="D391" s="377" t="s">
        <v>570</v>
      </c>
      <c r="E391" s="440" t="s">
        <v>442</v>
      </c>
      <c r="F391" s="590" t="s">
        <v>344</v>
      </c>
      <c r="G391" s="441">
        <v>43535</v>
      </c>
      <c r="H391" s="357">
        <v>43535</v>
      </c>
      <c r="I391" s="357">
        <v>43901</v>
      </c>
      <c r="J391" s="441"/>
      <c r="K391" s="347">
        <f t="shared" ca="1" si="53"/>
        <v>1</v>
      </c>
      <c r="L391" s="347">
        <f t="shared" ca="1" si="54"/>
        <v>9</v>
      </c>
      <c r="M391" s="378"/>
      <c r="N391" s="378"/>
      <c r="O391" s="440" t="s">
        <v>76</v>
      </c>
      <c r="P391" s="440" t="s">
        <v>36</v>
      </c>
      <c r="Q391" s="440" t="s">
        <v>41</v>
      </c>
      <c r="R391" s="441">
        <v>34251</v>
      </c>
      <c r="S391" s="438">
        <f t="shared" ca="1" si="63"/>
        <v>27</v>
      </c>
      <c r="T391" s="438">
        <f t="shared" ca="1" si="64"/>
        <v>2</v>
      </c>
      <c r="U391" s="378" t="s">
        <v>130</v>
      </c>
      <c r="V391" s="378" t="s">
        <v>571</v>
      </c>
      <c r="W391" s="378" t="s">
        <v>44</v>
      </c>
      <c r="X391" s="440" t="s">
        <v>59</v>
      </c>
      <c r="Y391" s="440" t="s">
        <v>48</v>
      </c>
      <c r="Z391" s="440" t="s">
        <v>48</v>
      </c>
      <c r="AA391" s="440" t="s">
        <v>48</v>
      </c>
      <c r="AB391" s="440" t="s">
        <v>48</v>
      </c>
      <c r="AC391" s="440" t="s">
        <v>48</v>
      </c>
      <c r="AD391" s="440" t="s">
        <v>48</v>
      </c>
      <c r="AE391" s="440" t="s">
        <v>48</v>
      </c>
      <c r="AF391" s="440" t="s">
        <v>48</v>
      </c>
      <c r="AG391" s="378"/>
      <c r="AH391" s="378"/>
      <c r="AI391" s="378"/>
      <c r="AJ391" s="379" t="s">
        <v>572</v>
      </c>
      <c r="AK391" s="350" t="s">
        <v>575</v>
      </c>
      <c r="AL391" s="350" t="s">
        <v>575</v>
      </c>
      <c r="AM391" s="378"/>
      <c r="AN391" s="378"/>
      <c r="AO391" s="440" t="s">
        <v>48</v>
      </c>
      <c r="AP391" s="379" t="s">
        <v>573</v>
      </c>
      <c r="AQ391" s="378" t="s">
        <v>570</v>
      </c>
      <c r="AR391" s="378" t="s">
        <v>588</v>
      </c>
      <c r="AS391" s="440" t="s">
        <v>64</v>
      </c>
      <c r="AT391" s="440" t="s">
        <v>95</v>
      </c>
      <c r="AU391" s="380" t="s">
        <v>574</v>
      </c>
    </row>
    <row r="392" spans="2:48">
      <c r="B392" s="440">
        <v>63</v>
      </c>
      <c r="C392" s="398" t="s">
        <v>2167</v>
      </c>
      <c r="D392" s="437" t="s">
        <v>2156</v>
      </c>
      <c r="E392" s="440" t="s">
        <v>1863</v>
      </c>
      <c r="F392" s="590" t="s">
        <v>344</v>
      </c>
      <c r="G392" s="441">
        <v>44175</v>
      </c>
      <c r="H392" s="441">
        <v>44175</v>
      </c>
      <c r="I392" s="441"/>
      <c r="J392" s="416"/>
      <c r="K392" s="347">
        <f t="shared" ca="1" si="53"/>
        <v>0</v>
      </c>
      <c r="L392" s="347">
        <f t="shared" ca="1" si="54"/>
        <v>0</v>
      </c>
      <c r="M392" s="441"/>
      <c r="N392" s="441"/>
      <c r="O392" s="440" t="s">
        <v>35</v>
      </c>
      <c r="P392" s="440" t="s">
        <v>36</v>
      </c>
      <c r="Q392" s="440" t="s">
        <v>819</v>
      </c>
      <c r="R392" s="441">
        <v>31020</v>
      </c>
      <c r="S392" s="438">
        <f t="shared" ca="1" si="63"/>
        <v>36</v>
      </c>
      <c r="T392" s="438">
        <f t="shared" ca="1" si="64"/>
        <v>1</v>
      </c>
      <c r="U392" s="440" t="s">
        <v>130</v>
      </c>
      <c r="V392" s="440" t="s">
        <v>2157</v>
      </c>
      <c r="W392" s="440"/>
      <c r="X392" s="440" t="s">
        <v>59</v>
      </c>
      <c r="Y392" s="440" t="s">
        <v>2158</v>
      </c>
      <c r="Z392" s="440">
        <v>32551</v>
      </c>
      <c r="AA392" s="440" t="s">
        <v>2159</v>
      </c>
      <c r="AB392" s="440">
        <v>42547</v>
      </c>
      <c r="AC392" s="440"/>
      <c r="AD392" s="440"/>
      <c r="AE392" s="440"/>
      <c r="AF392" s="440"/>
      <c r="AG392" s="388"/>
      <c r="AH392" s="388"/>
      <c r="AI392" s="388"/>
      <c r="AJ392" s="442" t="s">
        <v>2160</v>
      </c>
      <c r="AK392" s="350" t="s">
        <v>2161</v>
      </c>
      <c r="AL392" s="350" t="s">
        <v>2162</v>
      </c>
      <c r="AM392" s="350"/>
      <c r="AN392" s="440"/>
      <c r="AO392" s="440"/>
      <c r="AP392" s="442" t="s">
        <v>2163</v>
      </c>
      <c r="AQ392" s="439" t="s">
        <v>2156</v>
      </c>
      <c r="AR392" s="442" t="s">
        <v>2164</v>
      </c>
      <c r="AS392" s="440" t="s">
        <v>64</v>
      </c>
      <c r="AT392" s="440" t="s">
        <v>2165</v>
      </c>
      <c r="AU392" s="364" t="s">
        <v>2166</v>
      </c>
    </row>
    <row r="393" spans="2:48">
      <c r="B393" s="440">
        <v>64</v>
      </c>
      <c r="C393" s="440" t="s">
        <v>327</v>
      </c>
      <c r="D393" s="437" t="s">
        <v>191</v>
      </c>
      <c r="E393" s="440" t="s">
        <v>144</v>
      </c>
      <c r="F393" s="590" t="s">
        <v>391</v>
      </c>
      <c r="G393" s="441">
        <v>43202</v>
      </c>
      <c r="H393" s="441">
        <v>43202</v>
      </c>
      <c r="I393" s="441"/>
      <c r="J393" s="441"/>
      <c r="K393" s="440">
        <f ca="1">DATEDIF(G393,$B$1,"Y")</f>
        <v>2</v>
      </c>
      <c r="L393" s="440">
        <f ca="1">DATEDIF(G393,$B$1,"YM")</f>
        <v>8</v>
      </c>
      <c r="M393" s="441"/>
      <c r="N393" s="441"/>
      <c r="O393" s="440" t="s">
        <v>76</v>
      </c>
      <c r="P393" s="440" t="s">
        <v>36</v>
      </c>
      <c r="Q393" s="440" t="s">
        <v>41</v>
      </c>
      <c r="R393" s="441">
        <v>31305</v>
      </c>
      <c r="S393" s="438">
        <f t="shared" ca="1" si="63"/>
        <v>35</v>
      </c>
      <c r="T393" s="438">
        <f t="shared" ca="1" si="64"/>
        <v>3</v>
      </c>
      <c r="U393" s="440" t="s">
        <v>152</v>
      </c>
      <c r="V393" s="440" t="s">
        <v>153</v>
      </c>
      <c r="W393" s="440" t="s">
        <v>105</v>
      </c>
      <c r="X393" s="440" t="s">
        <v>192</v>
      </c>
      <c r="Y393" s="439" t="s">
        <v>196</v>
      </c>
      <c r="Z393" s="441">
        <v>28085</v>
      </c>
      <c r="AA393" s="440" t="s">
        <v>193</v>
      </c>
      <c r="AB393" s="441">
        <v>39614</v>
      </c>
      <c r="AC393" s="438">
        <f ca="1">DATEDIF(AB393,$B$1,"Y")</f>
        <v>12</v>
      </c>
      <c r="AD393" s="440" t="s">
        <v>48</v>
      </c>
      <c r="AE393" s="440" t="s">
        <v>48</v>
      </c>
      <c r="AF393" s="440" t="s">
        <v>48</v>
      </c>
      <c r="AG393" s="365"/>
      <c r="AH393" s="365"/>
      <c r="AI393" s="365"/>
      <c r="AJ393" s="439" t="s">
        <v>194</v>
      </c>
      <c r="AK393" s="350" t="s">
        <v>181</v>
      </c>
      <c r="AL393" s="350" t="s">
        <v>181</v>
      </c>
      <c r="AM393" s="350"/>
      <c r="AN393" s="440"/>
      <c r="AO393" s="440" t="s">
        <v>48</v>
      </c>
      <c r="AP393" s="439" t="s">
        <v>195</v>
      </c>
      <c r="AQ393" s="439" t="s">
        <v>191</v>
      </c>
      <c r="AR393" s="347" t="s">
        <v>941</v>
      </c>
      <c r="AS393" s="440" t="s">
        <v>64</v>
      </c>
      <c r="AT393" s="440" t="s">
        <v>95</v>
      </c>
      <c r="AU393" s="395" t="s">
        <v>48</v>
      </c>
      <c r="AV393" s="436" t="s">
        <v>1869</v>
      </c>
    </row>
    <row r="394" spans="2:48">
      <c r="B394" s="443">
        <v>40</v>
      </c>
      <c r="C394" s="402"/>
      <c r="D394" s="603" t="s">
        <v>2312</v>
      </c>
      <c r="E394" s="440" t="s">
        <v>1863</v>
      </c>
      <c r="F394" s="590" t="s">
        <v>391</v>
      </c>
      <c r="G394" s="441">
        <v>44191</v>
      </c>
      <c r="H394" s="441">
        <v>44191</v>
      </c>
      <c r="I394" s="441"/>
      <c r="J394" s="441"/>
      <c r="K394" s="372">
        <f ca="1">DATEDIF(G394,$B$1,"Y")</f>
        <v>0</v>
      </c>
      <c r="L394" s="372">
        <f ca="1">DATEDIF(G394,$B$1,"YM")</f>
        <v>0</v>
      </c>
      <c r="M394" s="441"/>
      <c r="N394" s="441"/>
      <c r="O394" s="372" t="s">
        <v>35</v>
      </c>
      <c r="P394" s="345" t="s">
        <v>36</v>
      </c>
      <c r="Q394" s="372" t="s">
        <v>2313</v>
      </c>
      <c r="R394" s="389">
        <v>32873</v>
      </c>
      <c r="S394" s="452">
        <f ca="1">DATEDIF(R394,$B$1,"Y")</f>
        <v>31</v>
      </c>
      <c r="T394" s="452">
        <f ca="1">DATEDIF(R394,$B$1,"YM")</f>
        <v>0</v>
      </c>
      <c r="U394" s="440" t="s">
        <v>68</v>
      </c>
      <c r="V394" s="399" t="s">
        <v>364</v>
      </c>
      <c r="W394" s="372" t="s">
        <v>44</v>
      </c>
      <c r="X394" s="372" t="s">
        <v>59</v>
      </c>
      <c r="Y394" s="372" t="s">
        <v>2314</v>
      </c>
      <c r="Z394" s="389">
        <v>33633</v>
      </c>
      <c r="AA394" s="372" t="s">
        <v>2315</v>
      </c>
      <c r="AB394" s="346">
        <v>42068</v>
      </c>
      <c r="AC394" s="438">
        <f ca="1">DATEDIF(AB394,$B$1,"Y")</f>
        <v>5</v>
      </c>
      <c r="AD394" s="345"/>
      <c r="AE394" s="345"/>
      <c r="AF394" s="345"/>
      <c r="AG394" s="345"/>
      <c r="AH394" s="345"/>
      <c r="AI394" s="345"/>
      <c r="AJ394" s="442" t="s">
        <v>2316</v>
      </c>
      <c r="AK394" s="350" t="s">
        <v>2317</v>
      </c>
      <c r="AL394" s="350" t="s">
        <v>2317</v>
      </c>
      <c r="AM394" s="350"/>
      <c r="AN394" s="350"/>
      <c r="AO394" s="350"/>
      <c r="AP394" s="442" t="s">
        <v>2318</v>
      </c>
      <c r="AQ394" s="439" t="s">
        <v>2312</v>
      </c>
      <c r="AR394" s="586"/>
      <c r="AS394" s="440" t="s">
        <v>64</v>
      </c>
      <c r="AT394" s="345" t="s">
        <v>95</v>
      </c>
      <c r="AU394" s="386" t="s">
        <v>2319</v>
      </c>
    </row>
    <row r="395" spans="2:48">
      <c r="B395" s="443">
        <v>10</v>
      </c>
      <c r="C395" s="440" t="s">
        <v>326</v>
      </c>
      <c r="D395" s="437" t="s">
        <v>183</v>
      </c>
      <c r="E395" s="440" t="s">
        <v>144</v>
      </c>
      <c r="F395" s="590" t="s">
        <v>391</v>
      </c>
      <c r="G395" s="441">
        <v>43202</v>
      </c>
      <c r="H395" s="441">
        <v>43202</v>
      </c>
      <c r="I395" s="441">
        <v>43567</v>
      </c>
      <c r="J395" s="441"/>
      <c r="K395" s="440">
        <f ca="1">DATEDIF(G395,$B$1,"Y")</f>
        <v>2</v>
      </c>
      <c r="L395" s="440">
        <f ca="1">DATEDIF(G395,$B$1,"YM")</f>
        <v>8</v>
      </c>
      <c r="M395" s="441"/>
      <c r="N395" s="441"/>
      <c r="O395" s="440" t="s">
        <v>76</v>
      </c>
      <c r="P395" s="440" t="s">
        <v>36</v>
      </c>
      <c r="Q395" s="440" t="s">
        <v>41</v>
      </c>
      <c r="R395" s="441">
        <v>34105</v>
      </c>
      <c r="S395" s="438">
        <f ca="1">DATEDIF(R395,$B$1,"Y")</f>
        <v>27</v>
      </c>
      <c r="T395" s="438">
        <f ca="1">DATEDIF(R395,$B$1,"YM")</f>
        <v>7</v>
      </c>
      <c r="U395" s="440" t="s">
        <v>184</v>
      </c>
      <c r="V395" s="440" t="s">
        <v>48</v>
      </c>
      <c r="W395" s="440" t="s">
        <v>105</v>
      </c>
      <c r="X395" s="440" t="s">
        <v>45</v>
      </c>
      <c r="Y395" s="440" t="s">
        <v>185</v>
      </c>
      <c r="Z395" s="441">
        <v>31029</v>
      </c>
      <c r="AA395" s="440" t="s">
        <v>186</v>
      </c>
      <c r="AB395" s="441">
        <v>40959</v>
      </c>
      <c r="AC395" s="438">
        <f ca="1">DATEDIF(AB395,$B$1,"Y")</f>
        <v>8</v>
      </c>
      <c r="AD395" s="440" t="s">
        <v>48</v>
      </c>
      <c r="AE395" s="440" t="s">
        <v>48</v>
      </c>
      <c r="AF395" s="440" t="s">
        <v>48</v>
      </c>
      <c r="AG395" s="365"/>
      <c r="AH395" s="365"/>
      <c r="AI395" s="365"/>
      <c r="AJ395" s="439" t="s">
        <v>187</v>
      </c>
      <c r="AK395" s="350" t="s">
        <v>188</v>
      </c>
      <c r="AL395" s="350" t="s">
        <v>189</v>
      </c>
      <c r="AM395" s="350"/>
      <c r="AN395" s="440"/>
      <c r="AO395" s="440" t="s">
        <v>48</v>
      </c>
      <c r="AP395" s="439" t="s">
        <v>190</v>
      </c>
      <c r="AQ395" s="439" t="s">
        <v>183</v>
      </c>
      <c r="AR395" s="347" t="s">
        <v>940</v>
      </c>
      <c r="AS395" s="440" t="s">
        <v>64</v>
      </c>
      <c r="AT395" s="440" t="s">
        <v>95</v>
      </c>
      <c r="AU395" s="395" t="s">
        <v>48</v>
      </c>
      <c r="AV395" s="436" t="s">
        <v>1869</v>
      </c>
    </row>
  </sheetData>
  <autoFilter ref="B190:I190">
    <filterColumn colId="0" showButton="0"/>
    <sortState ref="B179:I289">
      <sortCondition ref="D178"/>
    </sortState>
  </autoFilter>
  <mergeCells count="68">
    <mergeCell ref="B6:D6"/>
    <mergeCell ref="B169:C169"/>
    <mergeCell ref="B18:D18"/>
    <mergeCell ref="B31:D31"/>
    <mergeCell ref="B9:D9"/>
    <mergeCell ref="B61:D61"/>
    <mergeCell ref="B102:D102"/>
    <mergeCell ref="C7:C8"/>
    <mergeCell ref="B43:D43"/>
    <mergeCell ref="W3:W5"/>
    <mergeCell ref="X3:X5"/>
    <mergeCell ref="AJ4:AJ5"/>
    <mergeCell ref="AK4:AK5"/>
    <mergeCell ref="AD4:AD5"/>
    <mergeCell ref="AJ3:AK3"/>
    <mergeCell ref="AS4:AS5"/>
    <mergeCell ref="AC4:AC5"/>
    <mergeCell ref="AQ3:AT3"/>
    <mergeCell ref="AR4:AR5"/>
    <mergeCell ref="AM3:AM5"/>
    <mergeCell ref="AN3:AN5"/>
    <mergeCell ref="AO3:AO5"/>
    <mergeCell ref="AP3:AP5"/>
    <mergeCell ref="AQ4:AQ5"/>
    <mergeCell ref="AI4:AI5"/>
    <mergeCell ref="AE4:AE5"/>
    <mergeCell ref="AF4:AF5"/>
    <mergeCell ref="AG4:AG5"/>
    <mergeCell ref="AH4:AH5"/>
    <mergeCell ref="AD3:AF3"/>
    <mergeCell ref="AG3:AI3"/>
    <mergeCell ref="AL3:AL5"/>
    <mergeCell ref="Y4:Y5"/>
    <mergeCell ref="Z4:Z5"/>
    <mergeCell ref="AA4:AA5"/>
    <mergeCell ref="AB4:AB5"/>
    <mergeCell ref="O3:O5"/>
    <mergeCell ref="P3:P5"/>
    <mergeCell ref="U4:U5"/>
    <mergeCell ref="V4:V5"/>
    <mergeCell ref="K4:L4"/>
    <mergeCell ref="M4:M5"/>
    <mergeCell ref="N4:N5"/>
    <mergeCell ref="S3:T4"/>
    <mergeCell ref="U3:V3"/>
    <mergeCell ref="K3:L3"/>
    <mergeCell ref="M3:N3"/>
    <mergeCell ref="B190:C190"/>
    <mergeCell ref="B176:C176"/>
    <mergeCell ref="B313:C313"/>
    <mergeCell ref="B120:D120"/>
    <mergeCell ref="B128:D128"/>
    <mergeCell ref="B330:D330"/>
    <mergeCell ref="B1:D1"/>
    <mergeCell ref="B3:B5"/>
    <mergeCell ref="C3:C5"/>
    <mergeCell ref="D3:D5"/>
    <mergeCell ref="B2:AU2"/>
    <mergeCell ref="H3:J4"/>
    <mergeCell ref="F3:F5"/>
    <mergeCell ref="G3:G5"/>
    <mergeCell ref="AU3:AU5"/>
    <mergeCell ref="AT4:AT5"/>
    <mergeCell ref="Y3:Z3"/>
    <mergeCell ref="AA3:AC3"/>
    <mergeCell ref="E3:E5"/>
    <mergeCell ref="Q3:Q5"/>
    <mergeCell ref="R3:R4"/>
  </mergeCells>
  <phoneticPr fontId="101" type="noConversion"/>
  <conditionalFormatting sqref="E7:E8">
    <cfRule type="expression" dxfId="31" priority="28" stopIfTrue="1">
      <formula>$E$9</formula>
    </cfRule>
  </conditionalFormatting>
  <conditionalFormatting sqref="E315:E318 E265:E293 E320">
    <cfRule type="duplicateValues" dxfId="30" priority="17"/>
  </conditionalFormatting>
  <conditionalFormatting sqref="E314 E191:E192 E194:E263 E327">
    <cfRule type="duplicateValues" dxfId="29" priority="23"/>
  </conditionalFormatting>
  <conditionalFormatting sqref="E294">
    <cfRule type="duplicateValues" dxfId="28" priority="22"/>
  </conditionalFormatting>
  <conditionalFormatting sqref="E295">
    <cfRule type="duplicateValues" dxfId="27" priority="21"/>
  </conditionalFormatting>
  <conditionalFormatting sqref="E296">
    <cfRule type="duplicateValues" dxfId="26" priority="20"/>
  </conditionalFormatting>
  <conditionalFormatting sqref="E297">
    <cfRule type="duplicateValues" dxfId="25" priority="19"/>
  </conditionalFormatting>
  <conditionalFormatting sqref="E298">
    <cfRule type="duplicateValues" dxfId="24" priority="18"/>
  </conditionalFormatting>
  <conditionalFormatting sqref="D284">
    <cfRule type="duplicateValues" dxfId="23" priority="29"/>
  </conditionalFormatting>
  <conditionalFormatting sqref="D291">
    <cfRule type="duplicateValues" dxfId="22" priority="16"/>
  </conditionalFormatting>
  <conditionalFormatting sqref="E299 E193">
    <cfRule type="duplicateValues" dxfId="21" priority="35"/>
  </conditionalFormatting>
  <conditionalFormatting sqref="E328">
    <cfRule type="duplicateValues" dxfId="20" priority="14"/>
  </conditionalFormatting>
  <conditionalFormatting sqref="E300">
    <cfRule type="duplicateValues" dxfId="19" priority="13"/>
  </conditionalFormatting>
  <conditionalFormatting sqref="E323:E324">
    <cfRule type="duplicateValues" dxfId="18" priority="41"/>
  </conditionalFormatting>
  <conditionalFormatting sqref="E301">
    <cfRule type="duplicateValues" dxfId="17" priority="11"/>
  </conditionalFormatting>
  <conditionalFormatting sqref="E326">
    <cfRule type="duplicateValues" dxfId="16" priority="10"/>
  </conditionalFormatting>
  <conditionalFormatting sqref="E303:E305">
    <cfRule type="duplicateValues" dxfId="15" priority="9"/>
  </conditionalFormatting>
  <conditionalFormatting sqref="E302">
    <cfRule type="duplicateValues" dxfId="14" priority="8"/>
  </conditionalFormatting>
  <conditionalFormatting sqref="E306">
    <cfRule type="duplicateValues" dxfId="13" priority="5"/>
  </conditionalFormatting>
  <conditionalFormatting sqref="E307:E309">
    <cfRule type="duplicateValues" dxfId="12" priority="4"/>
  </conditionalFormatting>
  <conditionalFormatting sqref="E310">
    <cfRule type="duplicateValues" dxfId="11" priority="3"/>
  </conditionalFormatting>
  <conditionalFormatting sqref="E311 E325">
    <cfRule type="duplicateValues" dxfId="10" priority="2"/>
  </conditionalFormatting>
  <conditionalFormatting sqref="E321:E322">
    <cfRule type="duplicateValues" dxfId="9" priority="1"/>
  </conditionalFormatting>
  <hyperlinks>
    <hyperlink ref="AU12" r:id="rId1"/>
    <hyperlink ref="AU384" r:id="rId2"/>
    <hyperlink ref="AU380" r:id="rId3"/>
    <hyperlink ref="AU63" r:id="rId4"/>
    <hyperlink ref="AU130" r:id="rId5"/>
    <hyperlink ref="AU68" r:id="rId6"/>
    <hyperlink ref="AU11" r:id="rId7"/>
    <hyperlink ref="AU20" r:id="rId8"/>
    <hyperlink ref="AU64" r:id="rId9"/>
    <hyperlink ref="AU45" r:id="rId10"/>
    <hyperlink ref="AU33" r:id="rId11"/>
    <hyperlink ref="AU13" r:id="rId12"/>
    <hyperlink ref="AU103" r:id="rId13"/>
    <hyperlink ref="AU44" r:id="rId14"/>
    <hyperlink ref="AU117" r:id="rId15"/>
    <hyperlink ref="AU391" r:id="rId16"/>
    <hyperlink ref="AU80" r:id="rId17"/>
    <hyperlink ref="AU107" r:id="rId18"/>
    <hyperlink ref="AU123" r:id="rId19"/>
    <hyperlink ref="AU34" r:id="rId20"/>
    <hyperlink ref="AU14" r:id="rId21"/>
    <hyperlink ref="AU389" r:id="rId22"/>
    <hyperlink ref="AU52" r:id="rId23"/>
    <hyperlink ref="AU66" r:id="rId24"/>
    <hyperlink ref="AU53" r:id="rId25"/>
    <hyperlink ref="AU383" r:id="rId26"/>
    <hyperlink ref="AU182" r:id="rId27"/>
    <hyperlink ref="AU377" r:id="rId28"/>
    <hyperlink ref="AU49" r:id="rId29"/>
    <hyperlink ref="AU19" r:id="rId30"/>
    <hyperlink ref="AU370" r:id="rId31"/>
    <hyperlink ref="AU48" r:id="rId32"/>
    <hyperlink ref="AU46" r:id="rId33"/>
    <hyperlink ref="AU122" r:id="rId34"/>
    <hyperlink ref="AU371" r:id="rId35"/>
    <hyperlink ref="AU372" r:id="rId36"/>
    <hyperlink ref="AU373" r:id="rId37"/>
    <hyperlink ref="AU374" r:id="rId38"/>
    <hyperlink ref="AU121" r:id="rId39"/>
    <hyperlink ref="AU25" r:id="rId40"/>
    <hyperlink ref="AU54" r:id="rId41"/>
    <hyperlink ref="AU376" r:id="rId42"/>
    <hyperlink ref="AU378" r:id="rId43"/>
    <hyperlink ref="AU340" r:id="rId44"/>
    <hyperlink ref="AU345" r:id="rId45"/>
    <hyperlink ref="AU336" r:id="rId46"/>
    <hyperlink ref="AU349" r:id="rId47"/>
    <hyperlink ref="AU356" r:id="rId48"/>
    <hyperlink ref="AU171" r:id="rId49"/>
    <hyperlink ref="AU388" r:id="rId50"/>
    <hyperlink ref="AU55" r:id="rId51"/>
    <hyperlink ref="AU56" r:id="rId52"/>
    <hyperlink ref="AU36" r:id="rId53"/>
    <hyperlink ref="AU10" r:id="rId54"/>
    <hyperlink ref="AU124" r:id="rId55"/>
    <hyperlink ref="AU39" r:id="rId56"/>
    <hyperlink ref="AU38" r:id="rId57"/>
    <hyperlink ref="AU40" r:id="rId58"/>
    <hyperlink ref="AU41" r:id="rId59"/>
    <hyperlink ref="AU28" r:id="rId60"/>
    <hyperlink ref="AU58" r:id="rId61"/>
    <hyperlink ref="AU173" r:id="rId62"/>
    <hyperlink ref="AU59" r:id="rId63"/>
    <hyperlink ref="AU392" r:id="rId64"/>
    <hyperlink ref="AU26" r:id="rId65"/>
    <hyperlink ref="AU27" r:id="rId66"/>
    <hyperlink ref="AU394" r:id="rId67"/>
    <hyperlink ref="AU99" r:id="rId68"/>
    <hyperlink ref="AU100" r:id="rId69"/>
    <hyperlink ref="AU126" r:id="rId70"/>
    <hyperlink ref="AU29" r:id="rId71"/>
    <hyperlink ref="AU174" r:id="rId72"/>
  </hyperlinks>
  <pageMargins left="0.32" right="0.12" top="0.19" bottom="0.14000000000000001" header="0.14000000000000001" footer="0.31496062992125984"/>
  <pageSetup paperSize="9" scale="95" orientation="portrait" horizontalDpi="300" verticalDpi="300" r:id="rId73"/>
  <legacyDrawing r:id="rId7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1"/>
  <sheetViews>
    <sheetView workbookViewId="0">
      <selection activeCell="P7" sqref="P7"/>
    </sheetView>
  </sheetViews>
  <sheetFormatPr defaultRowHeight="15"/>
  <sheetData>
    <row r="2" spans="2:14">
      <c r="B2" s="864" t="s">
        <v>2334</v>
      </c>
      <c r="C2" s="864"/>
      <c r="D2" s="864"/>
      <c r="E2" s="864"/>
      <c r="F2" s="864"/>
      <c r="G2" s="864"/>
      <c r="H2" s="864"/>
      <c r="I2" s="864"/>
      <c r="J2" s="864"/>
      <c r="K2" s="864"/>
      <c r="L2" s="864"/>
      <c r="M2" s="864"/>
      <c r="N2" s="864"/>
    </row>
    <row r="3" spans="2:14">
      <c r="B3" s="864"/>
      <c r="C3" s="864"/>
      <c r="D3" s="864"/>
      <c r="E3" s="864"/>
      <c r="F3" s="864"/>
      <c r="G3" s="864"/>
      <c r="H3" s="864"/>
      <c r="I3" s="864"/>
      <c r="J3" s="864"/>
      <c r="K3" s="864"/>
      <c r="L3" s="864"/>
      <c r="M3" s="864"/>
      <c r="N3" s="864"/>
    </row>
    <row r="4" spans="2:14">
      <c r="B4" s="864"/>
      <c r="C4" s="864"/>
      <c r="D4" s="864"/>
      <c r="E4" s="864"/>
      <c r="F4" s="864"/>
      <c r="G4" s="864"/>
      <c r="H4" s="864"/>
      <c r="I4" s="864"/>
      <c r="J4" s="864"/>
      <c r="K4" s="864"/>
      <c r="L4" s="864"/>
      <c r="M4" s="864"/>
      <c r="N4" s="864"/>
    </row>
    <row r="5" spans="2:14">
      <c r="B5" s="864"/>
      <c r="C5" s="864"/>
      <c r="D5" s="864"/>
      <c r="E5" s="864"/>
      <c r="F5" s="864"/>
      <c r="G5" s="864"/>
      <c r="H5" s="864"/>
      <c r="I5" s="864"/>
      <c r="J5" s="864"/>
      <c r="K5" s="864"/>
      <c r="L5" s="864"/>
      <c r="M5" s="864"/>
      <c r="N5" s="864"/>
    </row>
    <row r="6" spans="2:14">
      <c r="B6" s="864"/>
      <c r="C6" s="864"/>
      <c r="D6" s="864"/>
      <c r="E6" s="864"/>
      <c r="F6" s="864"/>
      <c r="G6" s="864"/>
      <c r="H6" s="864"/>
      <c r="I6" s="864"/>
      <c r="J6" s="864"/>
      <c r="K6" s="864"/>
      <c r="L6" s="864"/>
      <c r="M6" s="864"/>
      <c r="N6" s="864"/>
    </row>
    <row r="7" spans="2:14">
      <c r="B7" s="864"/>
      <c r="C7" s="864"/>
      <c r="D7" s="864"/>
      <c r="E7" s="864"/>
      <c r="F7" s="864"/>
      <c r="G7" s="864"/>
      <c r="H7" s="864"/>
      <c r="I7" s="864"/>
      <c r="J7" s="864"/>
      <c r="K7" s="864"/>
      <c r="L7" s="864"/>
      <c r="M7" s="864"/>
      <c r="N7" s="864"/>
    </row>
    <row r="8" spans="2:14">
      <c r="B8" s="864"/>
      <c r="C8" s="864"/>
      <c r="D8" s="864"/>
      <c r="E8" s="864"/>
      <c r="F8" s="864"/>
      <c r="G8" s="864"/>
      <c r="H8" s="864"/>
      <c r="I8" s="864"/>
      <c r="J8" s="864"/>
      <c r="K8" s="864"/>
      <c r="L8" s="864"/>
      <c r="M8" s="864"/>
      <c r="N8" s="864"/>
    </row>
    <row r="9" spans="2:14">
      <c r="B9" s="864"/>
      <c r="C9" s="864"/>
      <c r="D9" s="864"/>
      <c r="E9" s="864"/>
      <c r="F9" s="864"/>
      <c r="G9" s="864"/>
      <c r="H9" s="864"/>
      <c r="I9" s="864"/>
      <c r="J9" s="864"/>
      <c r="K9" s="864"/>
      <c r="L9" s="864"/>
      <c r="M9" s="864"/>
      <c r="N9" s="864"/>
    </row>
    <row r="10" spans="2:14">
      <c r="B10" s="864"/>
      <c r="C10" s="864"/>
      <c r="D10" s="864"/>
      <c r="E10" s="864"/>
      <c r="F10" s="864"/>
      <c r="G10" s="864"/>
      <c r="H10" s="864"/>
      <c r="I10" s="864"/>
      <c r="J10" s="864"/>
      <c r="K10" s="864"/>
      <c r="L10" s="864"/>
      <c r="M10" s="864"/>
      <c r="N10" s="864"/>
    </row>
    <row r="11" spans="2:14">
      <c r="B11" s="864"/>
      <c r="C11" s="864"/>
      <c r="D11" s="864"/>
      <c r="E11" s="864"/>
      <c r="F11" s="864"/>
      <c r="G11" s="864"/>
      <c r="H11" s="864"/>
      <c r="I11" s="864"/>
      <c r="J11" s="864"/>
      <c r="K11" s="864"/>
      <c r="L11" s="864"/>
      <c r="M11" s="864"/>
      <c r="N11" s="864"/>
    </row>
    <row r="12" spans="2:14">
      <c r="B12" s="864"/>
      <c r="C12" s="864"/>
      <c r="D12" s="864"/>
      <c r="E12" s="864"/>
      <c r="F12" s="864"/>
      <c r="G12" s="864"/>
      <c r="H12" s="864"/>
      <c r="I12" s="864"/>
      <c r="J12" s="864"/>
      <c r="K12" s="864"/>
      <c r="L12" s="864"/>
      <c r="M12" s="864"/>
      <c r="N12" s="864"/>
    </row>
    <row r="13" spans="2:14">
      <c r="B13" s="864"/>
      <c r="C13" s="864"/>
      <c r="D13" s="864"/>
      <c r="E13" s="864"/>
      <c r="F13" s="864"/>
      <c r="G13" s="864"/>
      <c r="H13" s="864"/>
      <c r="I13" s="864"/>
      <c r="J13" s="864"/>
      <c r="K13" s="864"/>
      <c r="L13" s="864"/>
      <c r="M13" s="864"/>
      <c r="N13" s="864"/>
    </row>
    <row r="14" spans="2:14">
      <c r="B14" s="864"/>
      <c r="C14" s="864"/>
      <c r="D14" s="864"/>
      <c r="E14" s="864"/>
      <c r="F14" s="864"/>
      <c r="G14" s="864"/>
      <c r="H14" s="864"/>
      <c r="I14" s="864"/>
      <c r="J14" s="864"/>
      <c r="K14" s="864"/>
      <c r="L14" s="864"/>
      <c r="M14" s="864"/>
      <c r="N14" s="864"/>
    </row>
    <row r="15" spans="2:14">
      <c r="B15" s="864"/>
      <c r="C15" s="864"/>
      <c r="D15" s="864"/>
      <c r="E15" s="864"/>
      <c r="F15" s="864"/>
      <c r="G15" s="864"/>
      <c r="H15" s="864"/>
      <c r="I15" s="864"/>
      <c r="J15" s="864"/>
      <c r="K15" s="864"/>
      <c r="L15" s="864"/>
      <c r="M15" s="864"/>
      <c r="N15" s="864"/>
    </row>
    <row r="16" spans="2:14">
      <c r="B16" s="864"/>
      <c r="C16" s="864"/>
      <c r="D16" s="864"/>
      <c r="E16" s="864"/>
      <c r="F16" s="864"/>
      <c r="G16" s="864"/>
      <c r="H16" s="864"/>
      <c r="I16" s="864"/>
      <c r="J16" s="864"/>
      <c r="K16" s="864"/>
      <c r="L16" s="864"/>
      <c r="M16" s="864"/>
      <c r="N16" s="864"/>
    </row>
    <row r="17" spans="2:14">
      <c r="B17" s="864"/>
      <c r="C17" s="864"/>
      <c r="D17" s="864"/>
      <c r="E17" s="864"/>
      <c r="F17" s="864"/>
      <c r="G17" s="864"/>
      <c r="H17" s="864"/>
      <c r="I17" s="864"/>
      <c r="J17" s="864"/>
      <c r="K17" s="864"/>
      <c r="L17" s="864"/>
      <c r="M17" s="864"/>
      <c r="N17" s="864"/>
    </row>
    <row r="18" spans="2:14">
      <c r="B18" s="864"/>
      <c r="C18" s="864"/>
      <c r="D18" s="864"/>
      <c r="E18" s="864"/>
      <c r="F18" s="864"/>
      <c r="G18" s="864"/>
      <c r="H18" s="864"/>
      <c r="I18" s="864"/>
      <c r="J18" s="864"/>
      <c r="K18" s="864"/>
      <c r="L18" s="864"/>
      <c r="M18" s="864"/>
      <c r="N18" s="864"/>
    </row>
    <row r="19" spans="2:14">
      <c r="B19" s="864"/>
      <c r="C19" s="864"/>
      <c r="D19" s="864"/>
      <c r="E19" s="864"/>
      <c r="F19" s="864"/>
      <c r="G19" s="864"/>
      <c r="H19" s="864"/>
      <c r="I19" s="864"/>
      <c r="J19" s="864"/>
      <c r="K19" s="864"/>
      <c r="L19" s="864"/>
      <c r="M19" s="864"/>
      <c r="N19" s="864"/>
    </row>
    <row r="20" spans="2:14">
      <c r="B20" s="864"/>
      <c r="C20" s="864"/>
      <c r="D20" s="864"/>
      <c r="E20" s="864"/>
      <c r="F20" s="864"/>
      <c r="G20" s="864"/>
      <c r="H20" s="864"/>
      <c r="I20" s="864"/>
      <c r="J20" s="864"/>
      <c r="K20" s="864"/>
      <c r="L20" s="864"/>
      <c r="M20" s="864"/>
      <c r="N20" s="864"/>
    </row>
    <row r="21" spans="2:14">
      <c r="B21" s="864"/>
      <c r="C21" s="864"/>
      <c r="D21" s="864"/>
      <c r="E21" s="864"/>
      <c r="F21" s="864"/>
      <c r="G21" s="864"/>
      <c r="H21" s="864"/>
      <c r="I21" s="864"/>
      <c r="J21" s="864"/>
      <c r="K21" s="864"/>
      <c r="L21" s="864"/>
      <c r="M21" s="864"/>
      <c r="N21" s="864"/>
    </row>
  </sheetData>
  <mergeCells count="1">
    <mergeCell ref="B2:N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9"/>
  <sheetViews>
    <sheetView showGridLines="0" topLeftCell="A3" zoomScale="85" zoomScaleNormal="85" zoomScaleSheetLayoutView="70" workbookViewId="0">
      <pane xSplit="3" ySplit="5" topLeftCell="D206" activePane="bottomRight" state="frozen"/>
      <selection activeCell="A3" sqref="A3"/>
      <selection pane="topRight" activeCell="F3" sqref="F3"/>
      <selection pane="bottomLeft" activeCell="A8" sqref="A8"/>
      <selection pane="bottomRight" activeCell="B214" sqref="B214"/>
    </sheetView>
  </sheetViews>
  <sheetFormatPr defaultColWidth="9.140625" defaultRowHeight="15.75"/>
  <cols>
    <col min="1" max="1" width="5.7109375" style="2" customWidth="1"/>
    <col min="2" max="2" width="16" style="3" customWidth="1"/>
    <col min="3" max="3" width="32" style="4" customWidth="1"/>
    <col min="4" max="4" width="22.28515625" style="2" bestFit="1" customWidth="1"/>
    <col min="5" max="5" width="20" style="2" customWidth="1"/>
    <col min="6" max="6" width="10" style="2" customWidth="1"/>
    <col min="7" max="7" width="9.7109375" style="2" customWidth="1"/>
    <col min="8" max="8" width="7.42578125" style="2" customWidth="1"/>
    <col min="9" max="9" width="9.140625" style="17"/>
    <col min="10" max="10" width="14.28515625" style="17" bestFit="1" customWidth="1"/>
    <col min="11" max="11" width="12.85546875" style="17" bestFit="1" customWidth="1"/>
    <col min="12" max="16384" width="9.140625" style="17"/>
  </cols>
  <sheetData>
    <row r="1" spans="1:8" ht="23.25">
      <c r="A1" s="550" t="s">
        <v>0</v>
      </c>
      <c r="D1" s="429"/>
    </row>
    <row r="2" spans="1:8" ht="23.25">
      <c r="A2" s="550"/>
      <c r="D2" s="429"/>
    </row>
    <row r="3" spans="1:8" s="31" customFormat="1" ht="21">
      <c r="A3" s="714">
        <f ca="1">+NOW()</f>
        <v>44202.498721064818</v>
      </c>
      <c r="B3" s="714"/>
      <c r="C3" s="714"/>
      <c r="D3" s="21"/>
      <c r="E3" s="21"/>
      <c r="F3" s="21"/>
      <c r="G3" s="21"/>
      <c r="H3" s="21"/>
    </row>
    <row r="4" spans="1:8" s="31" customFormat="1" ht="16.5" thickBot="1">
      <c r="A4" s="21"/>
      <c r="B4" s="89"/>
      <c r="C4" s="19"/>
      <c r="D4" s="21"/>
      <c r="E4" s="21"/>
      <c r="F4" s="21"/>
      <c r="G4" s="21"/>
      <c r="H4" s="21"/>
    </row>
    <row r="5" spans="1:8" s="33" customFormat="1" ht="39" customHeight="1">
      <c r="A5" s="870" t="s">
        <v>1</v>
      </c>
      <c r="B5" s="872" t="s">
        <v>297</v>
      </c>
      <c r="C5" s="873" t="s">
        <v>110</v>
      </c>
      <c r="D5" s="872" t="s">
        <v>296</v>
      </c>
      <c r="E5" s="869" t="s">
        <v>261</v>
      </c>
      <c r="F5" s="865" t="s">
        <v>264</v>
      </c>
      <c r="G5" s="865" t="s">
        <v>265</v>
      </c>
      <c r="H5" s="867" t="s">
        <v>267</v>
      </c>
    </row>
    <row r="6" spans="1:8" s="33" customFormat="1" ht="15.75" customHeight="1">
      <c r="A6" s="871"/>
      <c r="B6" s="692"/>
      <c r="C6" s="699"/>
      <c r="D6" s="692"/>
      <c r="E6" s="726"/>
      <c r="F6" s="866"/>
      <c r="G6" s="866"/>
      <c r="H6" s="868"/>
    </row>
    <row r="7" spans="1:8" s="33" customFormat="1" ht="19.5" customHeight="1" thickBot="1">
      <c r="A7" s="871"/>
      <c r="B7" s="692"/>
      <c r="C7" s="699"/>
      <c r="D7" s="692"/>
      <c r="E7" s="726"/>
      <c r="F7" s="866"/>
      <c r="G7" s="866"/>
      <c r="H7" s="868"/>
    </row>
    <row r="8" spans="1:8" s="65" customFormat="1" ht="18.75" customHeight="1">
      <c r="A8" s="94">
        <v>1</v>
      </c>
      <c r="B8" s="95" t="str">
        <f>CONCATENATE("99",F8,G8,CONCATENATE("0",H8))</f>
        <v>9918040001</v>
      </c>
      <c r="C8" s="96" t="s">
        <v>74</v>
      </c>
      <c r="D8" s="430" t="s">
        <v>56</v>
      </c>
      <c r="E8" s="97">
        <v>43202</v>
      </c>
      <c r="F8" s="98" t="s">
        <v>263</v>
      </c>
      <c r="G8" s="99" t="s">
        <v>262</v>
      </c>
      <c r="H8" s="100" t="s">
        <v>266</v>
      </c>
    </row>
    <row r="9" spans="1:8" s="65" customFormat="1" ht="18" customHeight="1">
      <c r="A9" s="90">
        <f>A8+1</f>
        <v>2</v>
      </c>
      <c r="B9" s="434" t="str">
        <f t="shared" ref="B9:B36" si="0">CONCATENATE("99",F9,G9,CONCATENATE("0",H9))</f>
        <v>9918040002</v>
      </c>
      <c r="C9" s="53" t="s">
        <v>39</v>
      </c>
      <c r="D9" s="51" t="s">
        <v>40</v>
      </c>
      <c r="E9" s="58">
        <v>43202</v>
      </c>
      <c r="F9" s="92" t="s">
        <v>263</v>
      </c>
      <c r="G9" s="93" t="s">
        <v>262</v>
      </c>
      <c r="H9" s="101" t="s">
        <v>268</v>
      </c>
    </row>
    <row r="10" spans="1:8" s="65" customFormat="1" ht="18.75" customHeight="1">
      <c r="A10" s="90">
        <f t="shared" ref="A10:A17" si="1">A9+1</f>
        <v>3</v>
      </c>
      <c r="B10" s="434" t="str">
        <f t="shared" si="0"/>
        <v>9918040003</v>
      </c>
      <c r="C10" s="53" t="s">
        <v>97</v>
      </c>
      <c r="D10" s="51" t="s">
        <v>378</v>
      </c>
      <c r="E10" s="58">
        <v>43202</v>
      </c>
      <c r="F10" s="92" t="s">
        <v>263</v>
      </c>
      <c r="G10" s="93" t="s">
        <v>262</v>
      </c>
      <c r="H10" s="101" t="s">
        <v>269</v>
      </c>
    </row>
    <row r="11" spans="1:8" s="65" customFormat="1" ht="18.75" customHeight="1">
      <c r="A11" s="90">
        <f t="shared" si="1"/>
        <v>4</v>
      </c>
      <c r="B11" s="434" t="str">
        <f t="shared" si="0"/>
        <v>9918040004</v>
      </c>
      <c r="C11" s="53" t="s">
        <v>66</v>
      </c>
      <c r="D11" s="51" t="s">
        <v>67</v>
      </c>
      <c r="E11" s="58">
        <v>43202</v>
      </c>
      <c r="F11" s="92" t="s">
        <v>263</v>
      </c>
      <c r="G11" s="93" t="s">
        <v>262</v>
      </c>
      <c r="H11" s="101" t="s">
        <v>270</v>
      </c>
    </row>
    <row r="12" spans="1:8" s="65" customFormat="1" ht="18.75" customHeight="1">
      <c r="A12" s="90">
        <f t="shared" si="1"/>
        <v>5</v>
      </c>
      <c r="B12" s="434" t="str">
        <f t="shared" si="0"/>
        <v>9918040005</v>
      </c>
      <c r="C12" s="53" t="s">
        <v>88</v>
      </c>
      <c r="D12" s="51" t="s">
        <v>67</v>
      </c>
      <c r="E12" s="58">
        <v>43202</v>
      </c>
      <c r="F12" s="92" t="s">
        <v>263</v>
      </c>
      <c r="G12" s="93" t="s">
        <v>262</v>
      </c>
      <c r="H12" s="101" t="s">
        <v>271</v>
      </c>
    </row>
    <row r="13" spans="1:8" s="65" customFormat="1" ht="18.75" customHeight="1">
      <c r="A13" s="90">
        <f t="shared" si="1"/>
        <v>6</v>
      </c>
      <c r="B13" s="434" t="str">
        <f t="shared" si="0"/>
        <v>9918040006</v>
      </c>
      <c r="C13" s="53" t="s">
        <v>98</v>
      </c>
      <c r="D13" s="51" t="s">
        <v>99</v>
      </c>
      <c r="E13" s="58">
        <v>43202</v>
      </c>
      <c r="F13" s="92" t="s">
        <v>263</v>
      </c>
      <c r="G13" s="93" t="s">
        <v>262</v>
      </c>
      <c r="H13" s="101" t="s">
        <v>272</v>
      </c>
    </row>
    <row r="14" spans="1:8" s="65" customFormat="1" ht="18.75" customHeight="1">
      <c r="A14" s="90">
        <f t="shared" si="1"/>
        <v>7</v>
      </c>
      <c r="B14" s="434" t="str">
        <f t="shared" si="0"/>
        <v>9918040007</v>
      </c>
      <c r="C14" s="53" t="s">
        <v>103</v>
      </c>
      <c r="D14" s="51" t="s">
        <v>99</v>
      </c>
      <c r="E14" s="58">
        <v>43202</v>
      </c>
      <c r="F14" s="92" t="s">
        <v>263</v>
      </c>
      <c r="G14" s="93" t="s">
        <v>262</v>
      </c>
      <c r="H14" s="101" t="s">
        <v>273</v>
      </c>
    </row>
    <row r="15" spans="1:8" s="65" customFormat="1" ht="18.75" customHeight="1">
      <c r="A15" s="90">
        <f t="shared" si="1"/>
        <v>8</v>
      </c>
      <c r="B15" s="434" t="str">
        <f t="shared" si="0"/>
        <v>9918040008</v>
      </c>
      <c r="C15" s="53" t="s">
        <v>204</v>
      </c>
      <c r="D15" s="51" t="s">
        <v>89</v>
      </c>
      <c r="E15" s="58">
        <v>43202</v>
      </c>
      <c r="F15" s="92" t="s">
        <v>263</v>
      </c>
      <c r="G15" s="93" t="s">
        <v>262</v>
      </c>
      <c r="H15" s="101" t="s">
        <v>274</v>
      </c>
    </row>
    <row r="16" spans="1:8" s="65" customFormat="1" ht="18.75" customHeight="1">
      <c r="A16" s="90">
        <f t="shared" si="1"/>
        <v>9</v>
      </c>
      <c r="B16" s="434" t="str">
        <f t="shared" si="0"/>
        <v>9918040009</v>
      </c>
      <c r="C16" s="53" t="s">
        <v>80</v>
      </c>
      <c r="D16" s="51" t="s">
        <v>81</v>
      </c>
      <c r="E16" s="58">
        <v>43202</v>
      </c>
      <c r="F16" s="92" t="s">
        <v>263</v>
      </c>
      <c r="G16" s="93" t="s">
        <v>262</v>
      </c>
      <c r="H16" s="101" t="s">
        <v>275</v>
      </c>
    </row>
    <row r="17" spans="1:8" s="65" customFormat="1" ht="18.75" customHeight="1">
      <c r="A17" s="90">
        <f t="shared" si="1"/>
        <v>10</v>
      </c>
      <c r="B17" s="434" t="str">
        <f t="shared" si="0"/>
        <v>9918040010</v>
      </c>
      <c r="C17" s="53" t="s">
        <v>208</v>
      </c>
      <c r="D17" s="51" t="s">
        <v>209</v>
      </c>
      <c r="E17" s="58">
        <v>43202</v>
      </c>
      <c r="F17" s="92" t="s">
        <v>263</v>
      </c>
      <c r="G17" s="93" t="s">
        <v>262</v>
      </c>
      <c r="H17" s="101" t="s">
        <v>276</v>
      </c>
    </row>
    <row r="18" spans="1:8" s="65" customFormat="1" ht="18.75" customHeight="1">
      <c r="A18" s="90">
        <f>A17+1</f>
        <v>11</v>
      </c>
      <c r="B18" s="434" t="str">
        <f t="shared" si="0"/>
        <v>9918040011</v>
      </c>
      <c r="C18" s="53" t="s">
        <v>134</v>
      </c>
      <c r="D18" s="51" t="s">
        <v>135</v>
      </c>
      <c r="E18" s="58">
        <v>43202</v>
      </c>
      <c r="F18" s="92" t="s">
        <v>263</v>
      </c>
      <c r="G18" s="93" t="s">
        <v>262</v>
      </c>
      <c r="H18" s="101" t="s">
        <v>277</v>
      </c>
    </row>
    <row r="19" spans="1:8" s="65" customFormat="1" ht="18.75" customHeight="1">
      <c r="A19" s="90">
        <f>A18+1</f>
        <v>12</v>
      </c>
      <c r="B19" s="434" t="str">
        <f t="shared" si="0"/>
        <v>9918040012</v>
      </c>
      <c r="C19" s="53" t="s">
        <v>143</v>
      </c>
      <c r="D19" s="51" t="s">
        <v>144</v>
      </c>
      <c r="E19" s="58">
        <v>43202</v>
      </c>
      <c r="F19" s="92" t="s">
        <v>263</v>
      </c>
      <c r="G19" s="93" t="s">
        <v>262</v>
      </c>
      <c r="H19" s="101" t="s">
        <v>278</v>
      </c>
    </row>
    <row r="20" spans="1:8" s="65" customFormat="1" ht="18.75" customHeight="1">
      <c r="A20" s="90">
        <f t="shared" ref="A20:A32" si="2">A19+1</f>
        <v>13</v>
      </c>
      <c r="B20" s="434" t="str">
        <f t="shared" si="0"/>
        <v>9918040013</v>
      </c>
      <c r="C20" s="53" t="s">
        <v>151</v>
      </c>
      <c r="D20" s="51" t="s">
        <v>144</v>
      </c>
      <c r="E20" s="58">
        <v>43202</v>
      </c>
      <c r="F20" s="92" t="s">
        <v>263</v>
      </c>
      <c r="G20" s="93" t="s">
        <v>262</v>
      </c>
      <c r="H20" s="101" t="s">
        <v>279</v>
      </c>
    </row>
    <row r="21" spans="1:8" s="65" customFormat="1" ht="18.75" customHeight="1">
      <c r="A21" s="90">
        <f t="shared" si="2"/>
        <v>14</v>
      </c>
      <c r="B21" s="434" t="str">
        <f t="shared" si="0"/>
        <v>9918040014</v>
      </c>
      <c r="C21" s="53" t="s">
        <v>159</v>
      </c>
      <c r="D21" s="51" t="s">
        <v>144</v>
      </c>
      <c r="E21" s="58">
        <v>43202</v>
      </c>
      <c r="F21" s="92" t="s">
        <v>263</v>
      </c>
      <c r="G21" s="93" t="s">
        <v>262</v>
      </c>
      <c r="H21" s="101" t="s">
        <v>280</v>
      </c>
    </row>
    <row r="22" spans="1:8" s="65" customFormat="1" ht="18.75" customHeight="1">
      <c r="A22" s="90">
        <f t="shared" si="2"/>
        <v>15</v>
      </c>
      <c r="B22" s="434" t="str">
        <f t="shared" si="0"/>
        <v>9918040015</v>
      </c>
      <c r="C22" s="53" t="s">
        <v>165</v>
      </c>
      <c r="D22" s="51" t="s">
        <v>144</v>
      </c>
      <c r="E22" s="58">
        <v>43202</v>
      </c>
      <c r="F22" s="92" t="s">
        <v>263</v>
      </c>
      <c r="G22" s="93" t="s">
        <v>262</v>
      </c>
      <c r="H22" s="101" t="s">
        <v>281</v>
      </c>
    </row>
    <row r="23" spans="1:8" s="65" customFormat="1" ht="18.75" customHeight="1">
      <c r="A23" s="90">
        <f t="shared" si="2"/>
        <v>16</v>
      </c>
      <c r="B23" s="434" t="str">
        <f t="shared" si="0"/>
        <v>9918040016</v>
      </c>
      <c r="C23" s="53" t="s">
        <v>171</v>
      </c>
      <c r="D23" s="51" t="s">
        <v>144</v>
      </c>
      <c r="E23" s="58">
        <v>43202</v>
      </c>
      <c r="F23" s="92" t="s">
        <v>263</v>
      </c>
      <c r="G23" s="93" t="s">
        <v>262</v>
      </c>
      <c r="H23" s="101" t="s">
        <v>282</v>
      </c>
    </row>
    <row r="24" spans="1:8" s="65" customFormat="1" ht="18.75" customHeight="1">
      <c r="A24" s="90">
        <f t="shared" si="2"/>
        <v>17</v>
      </c>
      <c r="B24" s="434" t="str">
        <f t="shared" si="0"/>
        <v>9918040017</v>
      </c>
      <c r="C24" s="53" t="s">
        <v>176</v>
      </c>
      <c r="D24" s="51" t="s">
        <v>144</v>
      </c>
      <c r="E24" s="58">
        <v>43202</v>
      </c>
      <c r="F24" s="92" t="s">
        <v>263</v>
      </c>
      <c r="G24" s="93" t="s">
        <v>262</v>
      </c>
      <c r="H24" s="101" t="s">
        <v>283</v>
      </c>
    </row>
    <row r="25" spans="1:8" s="65" customFormat="1" ht="18.75" customHeight="1">
      <c r="A25" s="90">
        <f t="shared" si="2"/>
        <v>18</v>
      </c>
      <c r="B25" s="434" t="str">
        <f t="shared" si="0"/>
        <v>9918040018</v>
      </c>
      <c r="C25" s="53" t="s">
        <v>183</v>
      </c>
      <c r="D25" s="51" t="s">
        <v>144</v>
      </c>
      <c r="E25" s="58">
        <v>43202</v>
      </c>
      <c r="F25" s="92" t="s">
        <v>263</v>
      </c>
      <c r="G25" s="93" t="s">
        <v>262</v>
      </c>
      <c r="H25" s="101" t="s">
        <v>284</v>
      </c>
    </row>
    <row r="26" spans="1:8" s="65" customFormat="1" ht="18.75" customHeight="1">
      <c r="A26" s="90">
        <f t="shared" si="2"/>
        <v>19</v>
      </c>
      <c r="B26" s="434" t="str">
        <f t="shared" si="0"/>
        <v>9918040019</v>
      </c>
      <c r="C26" s="53" t="s">
        <v>191</v>
      </c>
      <c r="D26" s="51" t="s">
        <v>144</v>
      </c>
      <c r="E26" s="58">
        <v>43202</v>
      </c>
      <c r="F26" s="92" t="s">
        <v>263</v>
      </c>
      <c r="G26" s="93" t="s">
        <v>262</v>
      </c>
      <c r="H26" s="101" t="s">
        <v>285</v>
      </c>
    </row>
    <row r="27" spans="1:8" s="65" customFormat="1" ht="18.75" customHeight="1">
      <c r="A27" s="90">
        <f t="shared" si="2"/>
        <v>20</v>
      </c>
      <c r="B27" s="434" t="str">
        <f t="shared" si="0"/>
        <v>9918040020</v>
      </c>
      <c r="C27" s="53" t="s">
        <v>211</v>
      </c>
      <c r="D27" s="51" t="s">
        <v>144</v>
      </c>
      <c r="E27" s="58">
        <v>43202</v>
      </c>
      <c r="F27" s="92" t="s">
        <v>263</v>
      </c>
      <c r="G27" s="93" t="s">
        <v>262</v>
      </c>
      <c r="H27" s="101" t="s">
        <v>286</v>
      </c>
    </row>
    <row r="28" spans="1:8" s="65" customFormat="1" ht="18.75" customHeight="1">
      <c r="A28" s="90">
        <f t="shared" si="2"/>
        <v>21</v>
      </c>
      <c r="B28" s="434" t="str">
        <f t="shared" si="0"/>
        <v>9918040021</v>
      </c>
      <c r="C28" s="53" t="s">
        <v>217</v>
      </c>
      <c r="D28" s="51" t="s">
        <v>144</v>
      </c>
      <c r="E28" s="58">
        <v>43202</v>
      </c>
      <c r="F28" s="92" t="s">
        <v>263</v>
      </c>
      <c r="G28" s="93" t="s">
        <v>262</v>
      </c>
      <c r="H28" s="101" t="s">
        <v>287</v>
      </c>
    </row>
    <row r="29" spans="1:8" s="65" customFormat="1" ht="18.75" customHeight="1">
      <c r="A29" s="90">
        <f t="shared" si="2"/>
        <v>22</v>
      </c>
      <c r="B29" s="434" t="str">
        <f t="shared" si="0"/>
        <v>9918040022</v>
      </c>
      <c r="C29" s="53" t="s">
        <v>218</v>
      </c>
      <c r="D29" s="51" t="s">
        <v>144</v>
      </c>
      <c r="E29" s="58">
        <v>43202</v>
      </c>
      <c r="F29" s="92" t="s">
        <v>263</v>
      </c>
      <c r="G29" s="93" t="s">
        <v>262</v>
      </c>
      <c r="H29" s="101" t="s">
        <v>288</v>
      </c>
    </row>
    <row r="30" spans="1:8" s="65" customFormat="1" ht="18.75" customHeight="1">
      <c r="A30" s="90">
        <f t="shared" si="2"/>
        <v>23</v>
      </c>
      <c r="B30" s="434" t="str">
        <f t="shared" si="0"/>
        <v>9918040023</v>
      </c>
      <c r="C30" s="53" t="s">
        <v>219</v>
      </c>
      <c r="D30" s="51" t="s">
        <v>144</v>
      </c>
      <c r="E30" s="58">
        <v>43202</v>
      </c>
      <c r="F30" s="92" t="s">
        <v>263</v>
      </c>
      <c r="G30" s="93" t="s">
        <v>262</v>
      </c>
      <c r="H30" s="101" t="s">
        <v>289</v>
      </c>
    </row>
    <row r="31" spans="1:8" s="65" customFormat="1" ht="18.75" customHeight="1">
      <c r="A31" s="90">
        <f t="shared" si="2"/>
        <v>24</v>
      </c>
      <c r="B31" s="434" t="str">
        <f t="shared" si="0"/>
        <v>9918040024</v>
      </c>
      <c r="C31" s="53" t="s">
        <v>220</v>
      </c>
      <c r="D31" s="51" t="s">
        <v>144</v>
      </c>
      <c r="E31" s="58">
        <v>43202</v>
      </c>
      <c r="F31" s="92" t="s">
        <v>263</v>
      </c>
      <c r="G31" s="93" t="s">
        <v>262</v>
      </c>
      <c r="H31" s="101" t="s">
        <v>290</v>
      </c>
    </row>
    <row r="32" spans="1:8" s="65" customFormat="1" ht="18.75" customHeight="1">
      <c r="A32" s="90">
        <f t="shared" si="2"/>
        <v>25</v>
      </c>
      <c r="B32" s="434" t="str">
        <f t="shared" si="0"/>
        <v>9918040025</v>
      </c>
      <c r="C32" s="53" t="s">
        <v>221</v>
      </c>
      <c r="D32" s="51" t="s">
        <v>144</v>
      </c>
      <c r="E32" s="58">
        <v>43202</v>
      </c>
      <c r="F32" s="92" t="s">
        <v>263</v>
      </c>
      <c r="G32" s="93" t="s">
        <v>262</v>
      </c>
      <c r="H32" s="101" t="s">
        <v>291</v>
      </c>
    </row>
    <row r="33" spans="1:8" s="65" customFormat="1" ht="18.75" customHeight="1">
      <c r="A33" s="90">
        <f>A32+1</f>
        <v>26</v>
      </c>
      <c r="B33" s="434" t="str">
        <f t="shared" si="0"/>
        <v>9918040026</v>
      </c>
      <c r="C33" s="53" t="s">
        <v>112</v>
      </c>
      <c r="D33" s="51" t="s">
        <v>113</v>
      </c>
      <c r="E33" s="58">
        <v>43202</v>
      </c>
      <c r="F33" s="92" t="s">
        <v>263</v>
      </c>
      <c r="G33" s="93" t="s">
        <v>262</v>
      </c>
      <c r="H33" s="101" t="s">
        <v>292</v>
      </c>
    </row>
    <row r="34" spans="1:8" s="65" customFormat="1" ht="18.75" customHeight="1">
      <c r="A34" s="90">
        <f>A33+1</f>
        <v>27</v>
      </c>
      <c r="B34" s="434" t="str">
        <f t="shared" si="0"/>
        <v>9918040027</v>
      </c>
      <c r="C34" s="53" t="s">
        <v>216</v>
      </c>
      <c r="D34" s="51" t="s">
        <v>113</v>
      </c>
      <c r="E34" s="58">
        <v>43202</v>
      </c>
      <c r="F34" s="92" t="s">
        <v>263</v>
      </c>
      <c r="G34" s="93" t="s">
        <v>262</v>
      </c>
      <c r="H34" s="101" t="s">
        <v>293</v>
      </c>
    </row>
    <row r="35" spans="1:8" s="65" customFormat="1" ht="18.75" customHeight="1">
      <c r="A35" s="90">
        <f t="shared" ref="A35" si="3">A34+1</f>
        <v>28</v>
      </c>
      <c r="B35" s="434" t="str">
        <f t="shared" si="0"/>
        <v>9918040028</v>
      </c>
      <c r="C35" s="53" t="s">
        <v>196</v>
      </c>
      <c r="D35" s="51" t="s">
        <v>113</v>
      </c>
      <c r="E35" s="58">
        <v>43202</v>
      </c>
      <c r="F35" s="92" t="s">
        <v>263</v>
      </c>
      <c r="G35" s="93" t="s">
        <v>262</v>
      </c>
      <c r="H35" s="101" t="s">
        <v>294</v>
      </c>
    </row>
    <row r="36" spans="1:8" s="65" customFormat="1" ht="18.75" customHeight="1">
      <c r="A36" s="90">
        <v>29</v>
      </c>
      <c r="B36" s="434" t="str">
        <f t="shared" si="0"/>
        <v>9918040029</v>
      </c>
      <c r="C36" s="53" t="s">
        <v>255</v>
      </c>
      <c r="D36" s="51" t="s">
        <v>254</v>
      </c>
      <c r="E36" s="58">
        <v>43202</v>
      </c>
      <c r="F36" s="92" t="s">
        <v>263</v>
      </c>
      <c r="G36" s="93" t="s">
        <v>262</v>
      </c>
      <c r="H36" s="101" t="s">
        <v>295</v>
      </c>
    </row>
    <row r="37" spans="1:8">
      <c r="A37" s="90">
        <v>30</v>
      </c>
      <c r="B37" s="434" t="str">
        <f t="shared" ref="B37:B44" si="4">CONCATENATE("99",F37,G37,CONCATENATE("0",H37))</f>
        <v>9918040030</v>
      </c>
      <c r="C37" s="53" t="s">
        <v>338</v>
      </c>
      <c r="D37" s="51" t="s">
        <v>144</v>
      </c>
      <c r="E37" s="58">
        <v>43202</v>
      </c>
      <c r="F37" s="92" t="s">
        <v>263</v>
      </c>
      <c r="G37" s="93" t="s">
        <v>262</v>
      </c>
      <c r="H37" s="101" t="s">
        <v>298</v>
      </c>
    </row>
    <row r="38" spans="1:8">
      <c r="A38" s="90">
        <v>31</v>
      </c>
      <c r="B38" s="434" t="str">
        <f t="shared" si="4"/>
        <v>9918040031</v>
      </c>
      <c r="C38" s="53" t="s">
        <v>345</v>
      </c>
      <c r="D38" s="51" t="s">
        <v>349</v>
      </c>
      <c r="E38" s="58">
        <v>43216</v>
      </c>
      <c r="F38" s="92" t="s">
        <v>263</v>
      </c>
      <c r="G38" s="93" t="s">
        <v>262</v>
      </c>
      <c r="H38" s="101" t="s">
        <v>299</v>
      </c>
    </row>
    <row r="39" spans="1:8">
      <c r="A39" s="90">
        <v>32</v>
      </c>
      <c r="B39" s="434" t="str">
        <f t="shared" si="4"/>
        <v>9918050032</v>
      </c>
      <c r="C39" s="53" t="s">
        <v>360</v>
      </c>
      <c r="D39" s="51" t="s">
        <v>113</v>
      </c>
      <c r="E39" s="58">
        <v>43222</v>
      </c>
      <c r="F39" s="92" t="s">
        <v>263</v>
      </c>
      <c r="G39" s="93" t="s">
        <v>361</v>
      </c>
      <c r="H39" s="101" t="s">
        <v>300</v>
      </c>
    </row>
    <row r="40" spans="1:8">
      <c r="A40" s="90">
        <v>33</v>
      </c>
      <c r="B40" s="434" t="str">
        <f t="shared" si="4"/>
        <v>9918050033</v>
      </c>
      <c r="C40" s="53" t="s">
        <v>362</v>
      </c>
      <c r="D40" s="51" t="s">
        <v>363</v>
      </c>
      <c r="E40" s="58">
        <v>43222</v>
      </c>
      <c r="F40" s="92" t="s">
        <v>263</v>
      </c>
      <c r="G40" s="93" t="s">
        <v>361</v>
      </c>
      <c r="H40" s="101" t="s">
        <v>301</v>
      </c>
    </row>
    <row r="41" spans="1:8">
      <c r="A41" s="90">
        <v>34</v>
      </c>
      <c r="B41" s="434" t="str">
        <f t="shared" si="4"/>
        <v>9918050034</v>
      </c>
      <c r="C41" s="53" t="s">
        <v>377</v>
      </c>
      <c r="D41" s="51" t="s">
        <v>378</v>
      </c>
      <c r="E41" s="58">
        <v>43234</v>
      </c>
      <c r="F41" s="92" t="s">
        <v>263</v>
      </c>
      <c r="G41" s="93" t="s">
        <v>361</v>
      </c>
      <c r="H41" s="101" t="s">
        <v>302</v>
      </c>
    </row>
    <row r="42" spans="1:8">
      <c r="A42" s="90">
        <v>35</v>
      </c>
      <c r="B42" s="434" t="str">
        <f t="shared" si="4"/>
        <v>9918070035</v>
      </c>
      <c r="C42" s="53" t="s">
        <v>382</v>
      </c>
      <c r="D42" s="51" t="s">
        <v>81</v>
      </c>
      <c r="E42" s="58">
        <v>43299</v>
      </c>
      <c r="F42" s="92" t="s">
        <v>263</v>
      </c>
      <c r="G42" s="93" t="s">
        <v>383</v>
      </c>
      <c r="H42" s="101" t="s">
        <v>303</v>
      </c>
    </row>
    <row r="43" spans="1:8">
      <c r="A43" s="90">
        <v>36</v>
      </c>
      <c r="B43" s="434" t="str">
        <f t="shared" si="4"/>
        <v>9918080036</v>
      </c>
      <c r="C43" s="53" t="s">
        <v>401</v>
      </c>
      <c r="D43" s="51" t="s">
        <v>144</v>
      </c>
      <c r="E43" s="58">
        <v>43330</v>
      </c>
      <c r="F43" s="92" t="s">
        <v>263</v>
      </c>
      <c r="G43" s="93" t="s">
        <v>403</v>
      </c>
      <c r="H43" s="101" t="s">
        <v>304</v>
      </c>
    </row>
    <row r="44" spans="1:8">
      <c r="A44" s="90">
        <v>37</v>
      </c>
      <c r="B44" s="434" t="str">
        <f t="shared" si="4"/>
        <v>9918080037</v>
      </c>
      <c r="C44" s="53" t="s">
        <v>398</v>
      </c>
      <c r="D44" s="51" t="s">
        <v>378</v>
      </c>
      <c r="E44" s="58">
        <v>43340</v>
      </c>
      <c r="F44" s="92" t="s">
        <v>263</v>
      </c>
      <c r="G44" s="93" t="s">
        <v>403</v>
      </c>
      <c r="H44" s="101" t="s">
        <v>305</v>
      </c>
    </row>
    <row r="45" spans="1:8">
      <c r="A45" s="90">
        <v>38</v>
      </c>
      <c r="B45" s="434" t="str">
        <f t="shared" ref="B45:B105" si="5">CONCATENATE("99",F45,G45,CONCATENATE("0",H45))</f>
        <v>9918090038</v>
      </c>
      <c r="C45" s="53" t="s">
        <v>412</v>
      </c>
      <c r="D45" s="51" t="s">
        <v>99</v>
      </c>
      <c r="E45" s="58">
        <v>43362</v>
      </c>
      <c r="F45" s="92" t="s">
        <v>263</v>
      </c>
      <c r="G45" s="93" t="s">
        <v>418</v>
      </c>
      <c r="H45" s="101" t="s">
        <v>306</v>
      </c>
    </row>
    <row r="46" spans="1:8">
      <c r="A46" s="90">
        <v>39</v>
      </c>
      <c r="B46" s="434" t="str">
        <f>CONCATENATE("99",F46,G46,CONCATENATE("0",H46))</f>
        <v>9918100039</v>
      </c>
      <c r="C46" s="53" t="s">
        <v>400</v>
      </c>
      <c r="D46" s="51" t="s">
        <v>144</v>
      </c>
      <c r="E46" s="58">
        <v>43398</v>
      </c>
      <c r="F46" s="92" t="s">
        <v>263</v>
      </c>
      <c r="G46" s="93" t="s">
        <v>429</v>
      </c>
      <c r="H46" s="101" t="s">
        <v>307</v>
      </c>
    </row>
    <row r="47" spans="1:8">
      <c r="A47" s="90">
        <v>40</v>
      </c>
      <c r="B47" s="434" t="str">
        <f t="shared" si="5"/>
        <v>9918110040</v>
      </c>
      <c r="C47" s="53" t="s">
        <v>396</v>
      </c>
      <c r="D47" s="51" t="s">
        <v>378</v>
      </c>
      <c r="E47" s="58">
        <v>43407</v>
      </c>
      <c r="F47" s="92" t="s">
        <v>263</v>
      </c>
      <c r="G47" s="93" t="s">
        <v>402</v>
      </c>
      <c r="H47" s="101" t="s">
        <v>308</v>
      </c>
    </row>
    <row r="48" spans="1:8">
      <c r="A48" s="90">
        <v>41</v>
      </c>
      <c r="B48" s="434" t="str">
        <f t="shared" si="5"/>
        <v>9918120041</v>
      </c>
      <c r="C48" s="53" t="s">
        <v>427</v>
      </c>
      <c r="D48" s="51" t="s">
        <v>144</v>
      </c>
      <c r="E48" s="58">
        <v>43435</v>
      </c>
      <c r="F48" s="92" t="s">
        <v>263</v>
      </c>
      <c r="G48" s="93" t="s">
        <v>431</v>
      </c>
      <c r="H48" s="101" t="s">
        <v>309</v>
      </c>
    </row>
    <row r="49" spans="1:11">
      <c r="A49" s="90">
        <v>42</v>
      </c>
      <c r="B49" s="434" t="str">
        <f t="shared" si="5"/>
        <v>9919010001</v>
      </c>
      <c r="C49" s="72" t="s">
        <v>445</v>
      </c>
      <c r="D49" s="52" t="s">
        <v>446</v>
      </c>
      <c r="E49" s="58">
        <v>43467</v>
      </c>
      <c r="F49" s="125" t="s">
        <v>447</v>
      </c>
      <c r="G49" s="126" t="s">
        <v>448</v>
      </c>
      <c r="H49" s="127" t="s">
        <v>266</v>
      </c>
    </row>
    <row r="50" spans="1:11">
      <c r="A50" s="90">
        <v>43</v>
      </c>
      <c r="B50" s="434" t="str">
        <f t="shared" si="5"/>
        <v>9919010002</v>
      </c>
      <c r="C50" s="72" t="s">
        <v>438</v>
      </c>
      <c r="D50" s="52" t="s">
        <v>449</v>
      </c>
      <c r="E50" s="58">
        <v>43467</v>
      </c>
      <c r="F50" s="125" t="s">
        <v>447</v>
      </c>
      <c r="G50" s="126" t="s">
        <v>448</v>
      </c>
      <c r="H50" s="127" t="s">
        <v>268</v>
      </c>
    </row>
    <row r="51" spans="1:11">
      <c r="A51" s="90">
        <v>44</v>
      </c>
      <c r="B51" s="434" t="str">
        <f t="shared" si="5"/>
        <v>9919010003</v>
      </c>
      <c r="C51" s="72" t="s">
        <v>436</v>
      </c>
      <c r="D51" s="52" t="s">
        <v>67</v>
      </c>
      <c r="E51" s="58">
        <v>43467</v>
      </c>
      <c r="F51" s="125" t="s">
        <v>447</v>
      </c>
      <c r="G51" s="126" t="s">
        <v>448</v>
      </c>
      <c r="H51" s="127" t="s">
        <v>269</v>
      </c>
    </row>
    <row r="52" spans="1:11">
      <c r="A52" s="90">
        <v>45</v>
      </c>
      <c r="B52" s="434" t="str">
        <f t="shared" si="5"/>
        <v>9919010004</v>
      </c>
      <c r="C52" s="72" t="s">
        <v>443</v>
      </c>
      <c r="D52" s="51" t="s">
        <v>144</v>
      </c>
      <c r="E52" s="58">
        <v>43468</v>
      </c>
      <c r="F52" s="125" t="s">
        <v>447</v>
      </c>
      <c r="G52" s="126" t="s">
        <v>448</v>
      </c>
      <c r="H52" s="127" t="s">
        <v>270</v>
      </c>
    </row>
    <row r="53" spans="1:11">
      <c r="A53" s="90">
        <v>46</v>
      </c>
      <c r="B53" s="434" t="str">
        <f t="shared" si="5"/>
        <v>9919010005</v>
      </c>
      <c r="C53" s="72" t="s">
        <v>444</v>
      </c>
      <c r="D53" s="51" t="s">
        <v>144</v>
      </c>
      <c r="E53" s="58">
        <v>43468</v>
      </c>
      <c r="F53" s="125" t="s">
        <v>447</v>
      </c>
      <c r="G53" s="126" t="s">
        <v>448</v>
      </c>
      <c r="H53" s="127" t="s">
        <v>271</v>
      </c>
    </row>
    <row r="54" spans="1:11">
      <c r="A54" s="90">
        <v>47</v>
      </c>
      <c r="B54" s="434" t="str">
        <f t="shared" si="5"/>
        <v>9919010006</v>
      </c>
      <c r="C54" s="72" t="s">
        <v>437</v>
      </c>
      <c r="D54" s="52" t="s">
        <v>378</v>
      </c>
      <c r="E54" s="58">
        <v>43469</v>
      </c>
      <c r="F54" s="125" t="s">
        <v>447</v>
      </c>
      <c r="G54" s="126" t="s">
        <v>448</v>
      </c>
      <c r="H54" s="127" t="s">
        <v>272</v>
      </c>
    </row>
    <row r="55" spans="1:11">
      <c r="A55" s="90">
        <v>48</v>
      </c>
      <c r="B55" s="434" t="str">
        <f t="shared" si="5"/>
        <v>9919010007</v>
      </c>
      <c r="C55" s="72" t="s">
        <v>473</v>
      </c>
      <c r="D55" s="52" t="s">
        <v>144</v>
      </c>
      <c r="E55" s="58">
        <v>43474</v>
      </c>
      <c r="F55" s="125" t="s">
        <v>447</v>
      </c>
      <c r="G55" s="126" t="s">
        <v>448</v>
      </c>
      <c r="H55" s="127" t="s">
        <v>273</v>
      </c>
    </row>
    <row r="56" spans="1:11">
      <c r="A56" s="90">
        <v>49</v>
      </c>
      <c r="B56" s="434" t="str">
        <f t="shared" si="5"/>
        <v>9919010008</v>
      </c>
      <c r="C56" s="72" t="s">
        <v>478</v>
      </c>
      <c r="D56" s="52" t="s">
        <v>144</v>
      </c>
      <c r="E56" s="58">
        <v>43475</v>
      </c>
      <c r="F56" s="125" t="s">
        <v>447</v>
      </c>
      <c r="G56" s="126" t="s">
        <v>448</v>
      </c>
      <c r="H56" s="127" t="s">
        <v>274</v>
      </c>
    </row>
    <row r="57" spans="1:11">
      <c r="A57" s="90">
        <v>50</v>
      </c>
      <c r="B57" s="434" t="str">
        <f t="shared" si="5"/>
        <v>9919010009</v>
      </c>
      <c r="C57" s="72" t="s">
        <v>492</v>
      </c>
      <c r="D57" s="52" t="s">
        <v>144</v>
      </c>
      <c r="E57" s="124">
        <v>35716</v>
      </c>
      <c r="F57" s="125" t="s">
        <v>447</v>
      </c>
      <c r="G57" s="126" t="s">
        <v>448</v>
      </c>
      <c r="H57" s="127" t="s">
        <v>275</v>
      </c>
    </row>
    <row r="58" spans="1:11">
      <c r="A58" s="90">
        <v>51</v>
      </c>
      <c r="B58" s="434" t="str">
        <f t="shared" si="5"/>
        <v>9919010010</v>
      </c>
      <c r="C58" s="72" t="s">
        <v>503</v>
      </c>
      <c r="D58" s="52" t="s">
        <v>209</v>
      </c>
      <c r="E58" s="58">
        <v>43496</v>
      </c>
      <c r="F58" s="125" t="s">
        <v>447</v>
      </c>
      <c r="G58" s="126" t="s">
        <v>448</v>
      </c>
      <c r="H58" s="127" t="s">
        <v>276</v>
      </c>
    </row>
    <row r="59" spans="1:11">
      <c r="A59" s="90">
        <v>52</v>
      </c>
      <c r="B59" s="434" t="str">
        <f t="shared" si="5"/>
        <v>9919020011</v>
      </c>
      <c r="C59" s="72" t="s">
        <v>505</v>
      </c>
      <c r="D59" s="52" t="s">
        <v>40</v>
      </c>
      <c r="E59" s="124">
        <v>43497</v>
      </c>
      <c r="F59" s="125" t="s">
        <v>447</v>
      </c>
      <c r="G59" s="126" t="s">
        <v>522</v>
      </c>
      <c r="H59" s="127" t="s">
        <v>277</v>
      </c>
    </row>
    <row r="60" spans="1:11">
      <c r="A60" s="90">
        <v>53</v>
      </c>
      <c r="B60" s="434" t="str">
        <f t="shared" si="5"/>
        <v>9919020012</v>
      </c>
      <c r="C60" s="72" t="s">
        <v>514</v>
      </c>
      <c r="D60" s="52" t="s">
        <v>502</v>
      </c>
      <c r="E60" s="124">
        <v>43497</v>
      </c>
      <c r="F60" s="125" t="s">
        <v>447</v>
      </c>
      <c r="G60" s="126" t="s">
        <v>522</v>
      </c>
      <c r="H60" s="127" t="s">
        <v>278</v>
      </c>
    </row>
    <row r="61" spans="1:11">
      <c r="A61" s="90">
        <v>54</v>
      </c>
      <c r="B61" s="434" t="str">
        <f t="shared" si="5"/>
        <v>9919020013</v>
      </c>
      <c r="C61" s="72" t="s">
        <v>538</v>
      </c>
      <c r="D61" s="51" t="s">
        <v>378</v>
      </c>
      <c r="E61" s="124">
        <v>43511</v>
      </c>
      <c r="F61" s="125" t="s">
        <v>447</v>
      </c>
      <c r="G61" s="126" t="s">
        <v>522</v>
      </c>
      <c r="H61" s="127" t="s">
        <v>279</v>
      </c>
    </row>
    <row r="62" spans="1:11">
      <c r="A62" s="90">
        <v>55</v>
      </c>
      <c r="B62" s="434" t="str">
        <f t="shared" si="5"/>
        <v>9919030014</v>
      </c>
      <c r="C62" s="72" t="s">
        <v>554</v>
      </c>
      <c r="D62" s="52" t="s">
        <v>558</v>
      </c>
      <c r="E62" s="124">
        <v>43525</v>
      </c>
      <c r="F62" s="125" t="s">
        <v>447</v>
      </c>
      <c r="G62" s="126" t="s">
        <v>559</v>
      </c>
      <c r="H62" s="127" t="s">
        <v>280</v>
      </c>
    </row>
    <row r="63" spans="1:11">
      <c r="A63" s="90">
        <v>56</v>
      </c>
      <c r="B63" s="434" t="str">
        <f t="shared" si="5"/>
        <v>9919030015</v>
      </c>
      <c r="C63" s="171" t="s">
        <v>570</v>
      </c>
      <c r="D63" s="52" t="s">
        <v>558</v>
      </c>
      <c r="E63" s="56">
        <v>43535</v>
      </c>
      <c r="F63" s="125" t="s">
        <v>447</v>
      </c>
      <c r="G63" s="126" t="s">
        <v>559</v>
      </c>
      <c r="H63" s="127" t="s">
        <v>281</v>
      </c>
    </row>
    <row r="64" spans="1:11">
      <c r="A64" s="90">
        <v>57</v>
      </c>
      <c r="B64" s="434" t="str">
        <f t="shared" si="5"/>
        <v>9919030016</v>
      </c>
      <c r="C64" s="72" t="s">
        <v>578</v>
      </c>
      <c r="D64" s="52" t="s">
        <v>587</v>
      </c>
      <c r="E64" s="56">
        <v>43544</v>
      </c>
      <c r="F64" s="125" t="s">
        <v>447</v>
      </c>
      <c r="G64" s="126" t="s">
        <v>559</v>
      </c>
      <c r="H64" s="127" t="s">
        <v>282</v>
      </c>
      <c r="K64" s="17">
        <v>9919060023</v>
      </c>
    </row>
    <row r="65" spans="1:10">
      <c r="A65" s="90">
        <v>58</v>
      </c>
      <c r="B65" s="434" t="str">
        <f t="shared" si="5"/>
        <v>9919040017</v>
      </c>
      <c r="C65" s="72" t="s">
        <v>590</v>
      </c>
      <c r="D65" s="52" t="s">
        <v>144</v>
      </c>
      <c r="E65" s="56">
        <v>43556</v>
      </c>
      <c r="F65" s="125" t="s">
        <v>447</v>
      </c>
      <c r="G65" s="126" t="s">
        <v>262</v>
      </c>
      <c r="H65" s="127" t="s">
        <v>283</v>
      </c>
    </row>
    <row r="66" spans="1:10">
      <c r="A66" s="90">
        <v>59</v>
      </c>
      <c r="B66" s="434" t="str">
        <f t="shared" si="5"/>
        <v>9919040018</v>
      </c>
      <c r="C66" s="72" t="s">
        <v>595</v>
      </c>
      <c r="D66" s="52" t="s">
        <v>144</v>
      </c>
      <c r="E66" s="56">
        <v>43559</v>
      </c>
      <c r="F66" s="125" t="s">
        <v>447</v>
      </c>
      <c r="G66" s="126" t="s">
        <v>262</v>
      </c>
      <c r="H66" s="127" t="s">
        <v>284</v>
      </c>
    </row>
    <row r="67" spans="1:10">
      <c r="A67" s="90">
        <v>60</v>
      </c>
      <c r="B67" s="434" t="str">
        <f t="shared" si="5"/>
        <v>9919050019</v>
      </c>
      <c r="C67" s="72" t="s">
        <v>615</v>
      </c>
      <c r="D67" s="52" t="s">
        <v>144</v>
      </c>
      <c r="E67" s="56">
        <v>43591</v>
      </c>
      <c r="F67" s="125" t="s">
        <v>447</v>
      </c>
      <c r="G67" s="126" t="s">
        <v>361</v>
      </c>
      <c r="H67" s="127" t="s">
        <v>285</v>
      </c>
    </row>
    <row r="68" spans="1:10">
      <c r="A68" s="181">
        <v>61</v>
      </c>
      <c r="B68" s="182" t="str">
        <f t="shared" si="5"/>
        <v>9919050020</v>
      </c>
      <c r="C68" s="72" t="s">
        <v>629</v>
      </c>
      <c r="D68" s="52" t="s">
        <v>113</v>
      </c>
      <c r="E68" s="56">
        <v>43594</v>
      </c>
      <c r="F68" s="125" t="s">
        <v>447</v>
      </c>
      <c r="G68" s="126" t="s">
        <v>361</v>
      </c>
      <c r="H68" s="127" t="s">
        <v>286</v>
      </c>
    </row>
    <row r="69" spans="1:10">
      <c r="A69" s="90">
        <v>62</v>
      </c>
      <c r="B69" s="182" t="str">
        <f t="shared" si="5"/>
        <v>9919060021</v>
      </c>
      <c r="C69" s="72" t="s">
        <v>651</v>
      </c>
      <c r="D69" s="52" t="s">
        <v>144</v>
      </c>
      <c r="E69" s="56">
        <v>43633</v>
      </c>
      <c r="F69" s="125" t="s">
        <v>447</v>
      </c>
      <c r="G69" s="126" t="s">
        <v>652</v>
      </c>
      <c r="H69" s="127" t="s">
        <v>287</v>
      </c>
    </row>
    <row r="70" spans="1:10">
      <c r="A70" s="181">
        <v>63</v>
      </c>
      <c r="B70" s="182" t="str">
        <f t="shared" si="5"/>
        <v>9919060022</v>
      </c>
      <c r="C70" s="72" t="s">
        <v>659</v>
      </c>
      <c r="D70" s="52" t="s">
        <v>144</v>
      </c>
      <c r="E70" s="56">
        <v>43633</v>
      </c>
      <c r="F70" s="125" t="s">
        <v>447</v>
      </c>
      <c r="G70" s="126" t="s">
        <v>652</v>
      </c>
      <c r="H70" s="127" t="s">
        <v>288</v>
      </c>
    </row>
    <row r="71" spans="1:10">
      <c r="A71" s="181">
        <v>64</v>
      </c>
      <c r="B71" s="182" t="str">
        <f t="shared" si="5"/>
        <v>9919060023</v>
      </c>
      <c r="C71" s="72" t="s">
        <v>672</v>
      </c>
      <c r="D71" s="52" t="s">
        <v>144</v>
      </c>
      <c r="E71" s="56">
        <v>43637</v>
      </c>
      <c r="F71" s="125" t="s">
        <v>447</v>
      </c>
      <c r="G71" s="126" t="s">
        <v>652</v>
      </c>
      <c r="H71" s="127" t="s">
        <v>289</v>
      </c>
    </row>
    <row r="72" spans="1:10">
      <c r="A72" s="181">
        <v>65</v>
      </c>
      <c r="B72" s="434" t="str">
        <f t="shared" si="5"/>
        <v>9919060024</v>
      </c>
      <c r="C72" s="172" t="s">
        <v>678</v>
      </c>
      <c r="D72" s="52" t="s">
        <v>144</v>
      </c>
      <c r="E72" s="56">
        <v>43637</v>
      </c>
      <c r="F72" s="125" t="s">
        <v>447</v>
      </c>
      <c r="G72" s="126" t="s">
        <v>652</v>
      </c>
      <c r="H72" s="127" t="s">
        <v>290</v>
      </c>
    </row>
    <row r="73" spans="1:10">
      <c r="A73" s="181">
        <v>66</v>
      </c>
      <c r="B73" s="434" t="str">
        <f t="shared" si="5"/>
        <v>9919060025</v>
      </c>
      <c r="C73" s="53" t="s">
        <v>686</v>
      </c>
      <c r="D73" s="52" t="s">
        <v>144</v>
      </c>
      <c r="E73" s="56">
        <v>43643</v>
      </c>
      <c r="F73" s="125" t="s">
        <v>447</v>
      </c>
      <c r="G73" s="126" t="s">
        <v>652</v>
      </c>
      <c r="H73" s="127" t="s">
        <v>291</v>
      </c>
    </row>
    <row r="74" spans="1:10">
      <c r="A74" s="181">
        <v>67</v>
      </c>
      <c r="B74" s="434" t="str">
        <f t="shared" si="5"/>
        <v>9919060026</v>
      </c>
      <c r="C74" s="53" t="s">
        <v>687</v>
      </c>
      <c r="D74" s="52" t="s">
        <v>144</v>
      </c>
      <c r="E74" s="56">
        <v>43643</v>
      </c>
      <c r="F74" s="125" t="s">
        <v>447</v>
      </c>
      <c r="G74" s="126" t="s">
        <v>652</v>
      </c>
      <c r="H74" s="127" t="s">
        <v>292</v>
      </c>
    </row>
    <row r="75" spans="1:10">
      <c r="A75" s="181">
        <v>68</v>
      </c>
      <c r="B75" s="434" t="str">
        <f t="shared" si="5"/>
        <v>9919060027</v>
      </c>
      <c r="C75" s="53" t="s">
        <v>688</v>
      </c>
      <c r="D75" s="52" t="s">
        <v>144</v>
      </c>
      <c r="E75" s="56">
        <v>43643</v>
      </c>
      <c r="F75" s="125" t="s">
        <v>447</v>
      </c>
      <c r="G75" s="126" t="s">
        <v>652</v>
      </c>
      <c r="H75" s="127" t="s">
        <v>293</v>
      </c>
    </row>
    <row r="76" spans="1:10">
      <c r="A76" s="199">
        <v>69</v>
      </c>
      <c r="B76" s="434" t="str">
        <f t="shared" si="5"/>
        <v>9919070028</v>
      </c>
      <c r="C76" s="53" t="s">
        <v>705</v>
      </c>
      <c r="D76" s="52" t="s">
        <v>113</v>
      </c>
      <c r="E76" s="56">
        <v>43647</v>
      </c>
      <c r="F76" s="125" t="s">
        <v>447</v>
      </c>
      <c r="G76" s="126" t="s">
        <v>383</v>
      </c>
      <c r="H76" s="127" t="s">
        <v>294</v>
      </c>
    </row>
    <row r="77" spans="1:10">
      <c r="A77" s="199">
        <v>70</v>
      </c>
      <c r="B77" s="434" t="str">
        <f t="shared" si="5"/>
        <v>9919070029</v>
      </c>
      <c r="C77" s="53" t="s">
        <v>715</v>
      </c>
      <c r="D77" s="52" t="s">
        <v>144</v>
      </c>
      <c r="E77" s="56">
        <v>43651</v>
      </c>
      <c r="F77" s="125" t="s">
        <v>447</v>
      </c>
      <c r="G77" s="126" t="s">
        <v>383</v>
      </c>
      <c r="H77" s="127" t="s">
        <v>295</v>
      </c>
    </row>
    <row r="78" spans="1:10">
      <c r="A78" s="199">
        <v>71</v>
      </c>
      <c r="B78" s="434" t="str">
        <f t="shared" si="5"/>
        <v>9919070030</v>
      </c>
      <c r="C78" s="53" t="s">
        <v>720</v>
      </c>
      <c r="D78" s="52" t="s">
        <v>721</v>
      </c>
      <c r="E78" s="56">
        <v>43656</v>
      </c>
      <c r="F78" s="125" t="s">
        <v>447</v>
      </c>
      <c r="G78" s="126" t="s">
        <v>383</v>
      </c>
      <c r="H78" s="127" t="s">
        <v>298</v>
      </c>
      <c r="J78" s="17">
        <v>9919090045</v>
      </c>
    </row>
    <row r="79" spans="1:10">
      <c r="A79" s="199">
        <v>72</v>
      </c>
      <c r="B79" s="434" t="str">
        <f t="shared" si="5"/>
        <v>9919070031</v>
      </c>
      <c r="C79" s="53" t="s">
        <v>722</v>
      </c>
      <c r="D79" s="52" t="s">
        <v>721</v>
      </c>
      <c r="E79" s="56">
        <v>43656</v>
      </c>
      <c r="F79" s="125" t="s">
        <v>447</v>
      </c>
      <c r="G79" s="126" t="s">
        <v>383</v>
      </c>
      <c r="H79" s="127" t="s">
        <v>299</v>
      </c>
    </row>
    <row r="80" spans="1:10">
      <c r="A80" s="199">
        <v>73</v>
      </c>
      <c r="B80" s="434" t="str">
        <f t="shared" si="5"/>
        <v>9919070032</v>
      </c>
      <c r="C80" s="53" t="s">
        <v>723</v>
      </c>
      <c r="D80" s="52" t="s">
        <v>721</v>
      </c>
      <c r="E80" s="56">
        <v>43656</v>
      </c>
      <c r="F80" s="125" t="s">
        <v>447</v>
      </c>
      <c r="G80" s="126" t="s">
        <v>383</v>
      </c>
      <c r="H80" s="127" t="s">
        <v>300</v>
      </c>
    </row>
    <row r="81" spans="1:10">
      <c r="A81" s="199">
        <v>74</v>
      </c>
      <c r="B81" s="434" t="str">
        <f t="shared" si="5"/>
        <v>9919070033</v>
      </c>
      <c r="C81" s="53" t="s">
        <v>724</v>
      </c>
      <c r="D81" s="52" t="s">
        <v>721</v>
      </c>
      <c r="E81" s="56">
        <v>43656</v>
      </c>
      <c r="F81" s="125" t="s">
        <v>447</v>
      </c>
      <c r="G81" s="126" t="s">
        <v>383</v>
      </c>
      <c r="H81" s="127" t="s">
        <v>301</v>
      </c>
    </row>
    <row r="82" spans="1:10">
      <c r="A82" s="199">
        <v>75</v>
      </c>
      <c r="B82" s="434" t="str">
        <f t="shared" si="5"/>
        <v>9919070034</v>
      </c>
      <c r="C82" s="53" t="s">
        <v>725</v>
      </c>
      <c r="D82" s="52" t="s">
        <v>144</v>
      </c>
      <c r="E82" s="56">
        <v>43656</v>
      </c>
      <c r="F82" s="125" t="s">
        <v>447</v>
      </c>
      <c r="G82" s="126" t="s">
        <v>383</v>
      </c>
      <c r="H82" s="127" t="s">
        <v>302</v>
      </c>
    </row>
    <row r="83" spans="1:10">
      <c r="A83" s="199">
        <v>76</v>
      </c>
      <c r="B83" s="434" t="str">
        <f t="shared" si="5"/>
        <v>9919070035</v>
      </c>
      <c r="C83" s="53" t="s">
        <v>763</v>
      </c>
      <c r="D83" s="52" t="s">
        <v>721</v>
      </c>
      <c r="E83" s="56">
        <v>43668</v>
      </c>
      <c r="F83" s="125" t="s">
        <v>447</v>
      </c>
      <c r="G83" s="126" t="s">
        <v>383</v>
      </c>
      <c r="H83" s="127" t="s">
        <v>303</v>
      </c>
    </row>
    <row r="84" spans="1:10">
      <c r="A84" s="199">
        <v>77</v>
      </c>
      <c r="B84" s="434" t="str">
        <f t="shared" si="5"/>
        <v>9919070036</v>
      </c>
      <c r="C84" s="53" t="s">
        <v>768</v>
      </c>
      <c r="D84" s="52" t="s">
        <v>113</v>
      </c>
      <c r="E84" s="56">
        <v>43668</v>
      </c>
      <c r="F84" s="125" t="s">
        <v>447</v>
      </c>
      <c r="G84" s="126" t="s">
        <v>383</v>
      </c>
      <c r="H84" s="127" t="s">
        <v>304</v>
      </c>
    </row>
    <row r="85" spans="1:10">
      <c r="A85" s="199">
        <v>78</v>
      </c>
      <c r="B85" s="434" t="str">
        <f t="shared" si="5"/>
        <v>9919070037</v>
      </c>
      <c r="C85" s="53" t="s">
        <v>787</v>
      </c>
      <c r="D85" s="52" t="s">
        <v>788</v>
      </c>
      <c r="E85" s="56">
        <v>43675</v>
      </c>
      <c r="F85" s="125" t="s">
        <v>447</v>
      </c>
      <c r="G85" s="126" t="s">
        <v>383</v>
      </c>
      <c r="H85" s="127" t="s">
        <v>305</v>
      </c>
    </row>
    <row r="86" spans="1:10">
      <c r="A86" s="199">
        <v>79</v>
      </c>
      <c r="B86" s="434" t="str">
        <f t="shared" si="5"/>
        <v>9919070038</v>
      </c>
      <c r="C86" s="53" t="s">
        <v>793</v>
      </c>
      <c r="D86" s="52" t="s">
        <v>794</v>
      </c>
      <c r="E86" s="56">
        <v>43676</v>
      </c>
      <c r="F86" s="125" t="s">
        <v>447</v>
      </c>
      <c r="G86" s="126" t="s">
        <v>383</v>
      </c>
      <c r="H86" s="127" t="s">
        <v>306</v>
      </c>
    </row>
    <row r="87" spans="1:10">
      <c r="A87" s="199">
        <v>80</v>
      </c>
      <c r="B87" s="434" t="str">
        <f t="shared" si="5"/>
        <v>9919080039</v>
      </c>
      <c r="C87" s="53" t="s">
        <v>809</v>
      </c>
      <c r="D87" s="52" t="s">
        <v>144</v>
      </c>
      <c r="E87" s="56">
        <v>43680</v>
      </c>
      <c r="F87" s="125" t="s">
        <v>447</v>
      </c>
      <c r="G87" s="126" t="s">
        <v>403</v>
      </c>
      <c r="H87" s="127" t="s">
        <v>307</v>
      </c>
      <c r="J87" s="17">
        <v>9919110052</v>
      </c>
    </row>
    <row r="88" spans="1:10">
      <c r="A88" s="199">
        <v>81</v>
      </c>
      <c r="B88" s="434" t="str">
        <f t="shared" si="5"/>
        <v>9919080040</v>
      </c>
      <c r="C88" s="53" t="s">
        <v>813</v>
      </c>
      <c r="D88" s="52" t="s">
        <v>144</v>
      </c>
      <c r="E88" s="56">
        <v>43684</v>
      </c>
      <c r="F88" s="125" t="s">
        <v>447</v>
      </c>
      <c r="G88" s="126" t="s">
        <v>403</v>
      </c>
      <c r="H88" s="127" t="s">
        <v>308</v>
      </c>
    </row>
    <row r="89" spans="1:10">
      <c r="A89" s="199">
        <v>82</v>
      </c>
      <c r="B89" s="434" t="str">
        <f t="shared" si="5"/>
        <v>9919080041</v>
      </c>
      <c r="C89" s="53" t="s">
        <v>820</v>
      </c>
      <c r="D89" s="52" t="s">
        <v>821</v>
      </c>
      <c r="E89" s="56">
        <v>43689</v>
      </c>
      <c r="F89" s="125" t="s">
        <v>447</v>
      </c>
      <c r="G89" s="126" t="s">
        <v>403</v>
      </c>
      <c r="H89" s="127" t="s">
        <v>309</v>
      </c>
    </row>
    <row r="90" spans="1:10">
      <c r="A90" s="199">
        <v>83</v>
      </c>
      <c r="B90" s="434" t="str">
        <f t="shared" si="5"/>
        <v>9919080042</v>
      </c>
      <c r="C90" s="53" t="s">
        <v>831</v>
      </c>
      <c r="D90" s="52" t="s">
        <v>832</v>
      </c>
      <c r="E90" s="56">
        <v>43699</v>
      </c>
      <c r="F90" s="125" t="s">
        <v>447</v>
      </c>
      <c r="G90" s="126" t="s">
        <v>403</v>
      </c>
      <c r="H90" s="127" t="s">
        <v>833</v>
      </c>
    </row>
    <row r="91" spans="1:10">
      <c r="A91" s="433">
        <v>84</v>
      </c>
      <c r="B91" s="434" t="str">
        <f t="shared" si="5"/>
        <v>9919090043</v>
      </c>
      <c r="C91" s="53" t="s">
        <v>846</v>
      </c>
      <c r="D91" s="51" t="s">
        <v>794</v>
      </c>
      <c r="E91" s="56">
        <v>43715</v>
      </c>
      <c r="F91" s="125" t="s">
        <v>447</v>
      </c>
      <c r="G91" s="126" t="s">
        <v>418</v>
      </c>
      <c r="H91" s="127" t="s">
        <v>852</v>
      </c>
    </row>
    <row r="92" spans="1:10">
      <c r="A92" s="199">
        <v>85</v>
      </c>
      <c r="B92" s="434" t="str">
        <f t="shared" si="5"/>
        <v>9919090044</v>
      </c>
      <c r="C92" s="53" t="s">
        <v>854</v>
      </c>
      <c r="D92" s="51" t="s">
        <v>855</v>
      </c>
      <c r="E92" s="56">
        <v>43724</v>
      </c>
      <c r="F92" s="125" t="s">
        <v>447</v>
      </c>
      <c r="G92" s="126" t="s">
        <v>418</v>
      </c>
      <c r="H92" s="127" t="s">
        <v>856</v>
      </c>
    </row>
    <row r="93" spans="1:10">
      <c r="A93" s="433">
        <v>86</v>
      </c>
      <c r="B93" s="434" t="str">
        <f t="shared" si="5"/>
        <v>9919090045</v>
      </c>
      <c r="C93" s="53" t="s">
        <v>535</v>
      </c>
      <c r="D93" s="51"/>
      <c r="E93" s="56">
        <v>43709</v>
      </c>
      <c r="F93" s="125" t="s">
        <v>447</v>
      </c>
      <c r="G93" s="126" t="s">
        <v>418</v>
      </c>
      <c r="H93" s="127" t="s">
        <v>863</v>
      </c>
    </row>
    <row r="94" spans="1:10">
      <c r="A94" s="199">
        <v>87</v>
      </c>
      <c r="B94" s="434" t="str">
        <f t="shared" si="5"/>
        <v>9919090046</v>
      </c>
      <c r="C94" s="53" t="s">
        <v>862</v>
      </c>
      <c r="D94" s="51" t="s">
        <v>523</v>
      </c>
      <c r="E94" s="56">
        <v>43724</v>
      </c>
      <c r="F94" s="125" t="s">
        <v>447</v>
      </c>
      <c r="G94" s="126" t="s">
        <v>418</v>
      </c>
      <c r="H94" s="127" t="s">
        <v>864</v>
      </c>
    </row>
    <row r="95" spans="1:10">
      <c r="A95" s="199">
        <v>88</v>
      </c>
      <c r="B95" s="434" t="str">
        <f t="shared" si="5"/>
        <v>9919090047</v>
      </c>
      <c r="C95" s="53" t="s">
        <v>873</v>
      </c>
      <c r="D95" s="51" t="s">
        <v>832</v>
      </c>
      <c r="E95" s="56">
        <v>43733</v>
      </c>
      <c r="F95" s="125" t="s">
        <v>447</v>
      </c>
      <c r="G95" s="126" t="s">
        <v>418</v>
      </c>
      <c r="H95" s="127" t="s">
        <v>874</v>
      </c>
    </row>
    <row r="96" spans="1:10">
      <c r="A96" s="199">
        <v>89</v>
      </c>
      <c r="B96" s="434" t="str">
        <f t="shared" si="5"/>
        <v>9919100048</v>
      </c>
      <c r="C96" s="53" t="s">
        <v>885</v>
      </c>
      <c r="D96" s="51" t="s">
        <v>855</v>
      </c>
      <c r="E96" s="56">
        <v>43741</v>
      </c>
      <c r="F96" s="125" t="s">
        <v>447</v>
      </c>
      <c r="G96" s="126" t="s">
        <v>429</v>
      </c>
      <c r="H96" s="127" t="s">
        <v>886</v>
      </c>
    </row>
    <row r="97" spans="1:11">
      <c r="A97" s="199">
        <v>90</v>
      </c>
      <c r="B97" s="434" t="str">
        <f t="shared" si="5"/>
        <v>9919100049</v>
      </c>
      <c r="C97" s="53" t="s">
        <v>892</v>
      </c>
      <c r="D97" s="51" t="s">
        <v>893</v>
      </c>
      <c r="E97" s="56">
        <v>43750</v>
      </c>
      <c r="F97" s="125" t="s">
        <v>447</v>
      </c>
      <c r="G97" s="126" t="s">
        <v>429</v>
      </c>
      <c r="H97" s="127" t="s">
        <v>894</v>
      </c>
    </row>
    <row r="98" spans="1:11">
      <c r="A98" s="199">
        <v>91</v>
      </c>
      <c r="B98" s="434" t="str">
        <f t="shared" si="5"/>
        <v>9919110050</v>
      </c>
      <c r="C98" s="53" t="s">
        <v>920</v>
      </c>
      <c r="D98" s="51" t="s">
        <v>922</v>
      </c>
      <c r="E98" s="56">
        <v>43770</v>
      </c>
      <c r="F98" s="125" t="s">
        <v>447</v>
      </c>
      <c r="G98" s="126" t="s">
        <v>402</v>
      </c>
      <c r="H98" s="127" t="s">
        <v>923</v>
      </c>
    </row>
    <row r="99" spans="1:11">
      <c r="A99" s="199">
        <v>92</v>
      </c>
      <c r="B99" s="434" t="str">
        <f t="shared" si="5"/>
        <v>9919110051</v>
      </c>
      <c r="C99" s="53" t="s">
        <v>925</v>
      </c>
      <c r="D99" s="51" t="s">
        <v>113</v>
      </c>
      <c r="E99" s="56">
        <v>43774</v>
      </c>
      <c r="F99" s="125" t="s">
        <v>447</v>
      </c>
      <c r="G99" s="126">
        <v>11</v>
      </c>
      <c r="H99" s="249" t="s">
        <v>973</v>
      </c>
      <c r="K99" s="17">
        <v>9919120059</v>
      </c>
    </row>
    <row r="100" spans="1:11">
      <c r="A100" s="199">
        <v>93</v>
      </c>
      <c r="B100" s="434" t="str">
        <f t="shared" si="5"/>
        <v>9919110052</v>
      </c>
      <c r="C100" s="53" t="s">
        <v>965</v>
      </c>
      <c r="D100" s="51" t="s">
        <v>966</v>
      </c>
      <c r="E100" s="56">
        <v>43794</v>
      </c>
      <c r="F100" s="125" t="s">
        <v>447</v>
      </c>
      <c r="G100" s="126">
        <v>11</v>
      </c>
      <c r="H100" s="249" t="s">
        <v>974</v>
      </c>
    </row>
    <row r="101" spans="1:11">
      <c r="A101" s="199">
        <v>94</v>
      </c>
      <c r="B101" s="434" t="str">
        <f>CONCATENATE("99",F101,G101,CONCATENATE("0",H101))</f>
        <v>9919110053</v>
      </c>
      <c r="C101" s="53" t="s">
        <v>976</v>
      </c>
      <c r="D101" s="51" t="s">
        <v>446</v>
      </c>
      <c r="E101" s="56">
        <v>43795</v>
      </c>
      <c r="F101" s="125" t="s">
        <v>447</v>
      </c>
      <c r="G101" s="126">
        <v>11</v>
      </c>
      <c r="H101" s="249" t="s">
        <v>975</v>
      </c>
    </row>
    <row r="102" spans="1:11">
      <c r="A102" s="199">
        <v>95</v>
      </c>
      <c r="B102" s="434" t="str">
        <f t="shared" si="5"/>
        <v>9919120054</v>
      </c>
      <c r="C102" s="53" t="s">
        <v>1003</v>
      </c>
      <c r="D102" s="51" t="s">
        <v>1004</v>
      </c>
      <c r="E102" s="56">
        <v>43801</v>
      </c>
      <c r="F102" s="125" t="s">
        <v>447</v>
      </c>
      <c r="G102" s="93">
        <v>12</v>
      </c>
      <c r="H102" s="249" t="s">
        <v>1028</v>
      </c>
    </row>
    <row r="103" spans="1:11">
      <c r="A103" s="199">
        <v>96</v>
      </c>
      <c r="B103" s="434" t="str">
        <f t="shared" si="5"/>
        <v>9919120055</v>
      </c>
      <c r="C103" s="53" t="s">
        <v>1008</v>
      </c>
      <c r="D103" s="51" t="s">
        <v>1009</v>
      </c>
      <c r="E103" s="56">
        <v>43801</v>
      </c>
      <c r="F103" s="125" t="s">
        <v>447</v>
      </c>
      <c r="G103" s="93">
        <v>12</v>
      </c>
      <c r="H103" s="249" t="s">
        <v>1029</v>
      </c>
    </row>
    <row r="104" spans="1:11">
      <c r="A104" s="199">
        <v>97</v>
      </c>
      <c r="B104" s="434" t="str">
        <f t="shared" si="5"/>
        <v>9919120056</v>
      </c>
      <c r="C104" s="53" t="s">
        <v>1013</v>
      </c>
      <c r="D104" s="51" t="s">
        <v>1009</v>
      </c>
      <c r="E104" s="56">
        <v>43801</v>
      </c>
      <c r="F104" s="125" t="s">
        <v>447</v>
      </c>
      <c r="G104" s="93">
        <v>12</v>
      </c>
      <c r="H104" s="249" t="s">
        <v>1030</v>
      </c>
    </row>
    <row r="105" spans="1:11">
      <c r="A105" s="199">
        <v>98</v>
      </c>
      <c r="B105" s="434" t="str">
        <f t="shared" si="5"/>
        <v>9919120057</v>
      </c>
      <c r="C105" s="53" t="s">
        <v>1017</v>
      </c>
      <c r="D105" s="431" t="s">
        <v>995</v>
      </c>
      <c r="E105" s="56">
        <v>43801</v>
      </c>
      <c r="F105" s="125" t="s">
        <v>447</v>
      </c>
      <c r="G105" s="93">
        <v>12</v>
      </c>
      <c r="H105" s="249" t="s">
        <v>1031</v>
      </c>
    </row>
    <row r="106" spans="1:11">
      <c r="A106" s="199">
        <v>99</v>
      </c>
      <c r="B106" s="434" t="str">
        <f t="shared" ref="B106:B107" si="6">CONCATENATE("99",F106,G106,CONCATENATE("0",H106))</f>
        <v>9919120058</v>
      </c>
      <c r="C106" s="53" t="s">
        <v>506</v>
      </c>
      <c r="D106" s="51" t="s">
        <v>1022</v>
      </c>
      <c r="E106" s="56">
        <v>43801</v>
      </c>
      <c r="F106" s="125" t="s">
        <v>447</v>
      </c>
      <c r="G106" s="93">
        <v>12</v>
      </c>
      <c r="H106" s="249" t="s">
        <v>1032</v>
      </c>
    </row>
    <row r="107" spans="1:11">
      <c r="A107" s="199">
        <v>100</v>
      </c>
      <c r="B107" s="434" t="str">
        <f t="shared" si="6"/>
        <v>9919120059</v>
      </c>
      <c r="C107" s="53" t="s">
        <v>1034</v>
      </c>
      <c r="D107" s="431" t="s">
        <v>133</v>
      </c>
      <c r="E107" s="56">
        <v>43809</v>
      </c>
      <c r="F107" s="125" t="s">
        <v>447</v>
      </c>
      <c r="G107" s="93">
        <v>12</v>
      </c>
      <c r="H107" s="249" t="s">
        <v>1035</v>
      </c>
    </row>
    <row r="108" spans="1:11">
      <c r="A108" s="433">
        <v>101</v>
      </c>
      <c r="B108" s="434" t="str">
        <f>CONCATENATE("99",F108,G108,CONCATENATE("0",H108))</f>
        <v>9919120060</v>
      </c>
      <c r="C108" s="53" t="s">
        <v>1045</v>
      </c>
      <c r="D108" s="51" t="s">
        <v>523</v>
      </c>
      <c r="E108" s="58">
        <v>43811</v>
      </c>
      <c r="F108" s="92" t="s">
        <v>447</v>
      </c>
      <c r="G108" s="93">
        <v>12</v>
      </c>
      <c r="H108" s="249" t="s">
        <v>1044</v>
      </c>
    </row>
    <row r="109" spans="1:11">
      <c r="A109" s="433">
        <v>102</v>
      </c>
      <c r="B109" s="434" t="str">
        <f>CONCATENATE("99",F109,G109,CONCATENATE("0",H109))</f>
        <v>9919120061</v>
      </c>
      <c r="C109" s="53" t="s">
        <v>1046</v>
      </c>
      <c r="D109" s="51" t="s">
        <v>133</v>
      </c>
      <c r="E109" s="58">
        <v>43811</v>
      </c>
      <c r="F109" s="92" t="s">
        <v>447</v>
      </c>
      <c r="G109" s="93">
        <v>12</v>
      </c>
      <c r="H109" s="249" t="s">
        <v>1047</v>
      </c>
    </row>
    <row r="110" spans="1:11">
      <c r="A110" s="433">
        <v>103</v>
      </c>
      <c r="B110" s="434" t="str">
        <f>CONCATENATE("99",F110,G110,CONCATENATE("0",H110))</f>
        <v>9919120062</v>
      </c>
      <c r="C110" s="53" t="s">
        <v>1070</v>
      </c>
      <c r="D110" s="51" t="s">
        <v>1071</v>
      </c>
      <c r="E110" s="58">
        <v>43813</v>
      </c>
      <c r="F110" s="92" t="s">
        <v>447</v>
      </c>
      <c r="G110" s="93">
        <v>12</v>
      </c>
      <c r="H110" s="249" t="s">
        <v>1077</v>
      </c>
    </row>
    <row r="111" spans="1:11">
      <c r="A111" s="433">
        <v>104</v>
      </c>
      <c r="B111" s="434" t="str">
        <f t="shared" ref="B111:B132" si="7">CONCATENATE("99",F111,G111,CONCATENATE("0",H111))</f>
        <v>9919120063</v>
      </c>
      <c r="C111" s="53" t="s">
        <v>1058</v>
      </c>
      <c r="D111" s="51" t="s">
        <v>144</v>
      </c>
      <c r="E111" s="58">
        <v>43812</v>
      </c>
      <c r="F111" s="92" t="s">
        <v>447</v>
      </c>
      <c r="G111" s="93">
        <v>12</v>
      </c>
      <c r="H111" s="249" t="s">
        <v>1083</v>
      </c>
    </row>
    <row r="112" spans="1:11">
      <c r="A112" s="433">
        <v>105</v>
      </c>
      <c r="B112" s="434" t="str">
        <f t="shared" si="7"/>
        <v>9919120064</v>
      </c>
      <c r="C112" s="53" t="s">
        <v>1064</v>
      </c>
      <c r="D112" s="51" t="s">
        <v>144</v>
      </c>
      <c r="E112" s="58">
        <v>43811</v>
      </c>
      <c r="F112" s="92" t="s">
        <v>447</v>
      </c>
      <c r="G112" s="93">
        <v>12</v>
      </c>
      <c r="H112" s="249" t="s">
        <v>1084</v>
      </c>
    </row>
    <row r="113" spans="1:8">
      <c r="A113" s="433">
        <v>106</v>
      </c>
      <c r="B113" s="434" t="str">
        <f t="shared" si="7"/>
        <v>9919120065</v>
      </c>
      <c r="C113" s="53" t="s">
        <v>1065</v>
      </c>
      <c r="D113" s="51" t="s">
        <v>144</v>
      </c>
      <c r="E113" s="58">
        <v>43811</v>
      </c>
      <c r="F113" s="92" t="s">
        <v>447</v>
      </c>
      <c r="G113" s="93">
        <v>12</v>
      </c>
      <c r="H113" s="249" t="s">
        <v>1085</v>
      </c>
    </row>
    <row r="114" spans="1:8">
      <c r="A114" s="433">
        <v>107</v>
      </c>
      <c r="B114" s="434" t="str">
        <f t="shared" si="7"/>
        <v>9919120066</v>
      </c>
      <c r="C114" s="53" t="s">
        <v>1066</v>
      </c>
      <c r="D114" s="51" t="s">
        <v>144</v>
      </c>
      <c r="E114" s="58">
        <v>43813</v>
      </c>
      <c r="F114" s="92" t="s">
        <v>447</v>
      </c>
      <c r="G114" s="93">
        <v>12</v>
      </c>
      <c r="H114" s="249" t="s">
        <v>1086</v>
      </c>
    </row>
    <row r="115" spans="1:8">
      <c r="A115" s="433">
        <v>108</v>
      </c>
      <c r="B115" s="434" t="str">
        <f t="shared" si="7"/>
        <v>9919120067</v>
      </c>
      <c r="C115" s="134" t="s">
        <v>1078</v>
      </c>
      <c r="D115" s="51" t="s">
        <v>113</v>
      </c>
      <c r="E115" s="58">
        <v>43815</v>
      </c>
      <c r="F115" s="92" t="s">
        <v>447</v>
      </c>
      <c r="G115" s="93">
        <v>12</v>
      </c>
      <c r="H115" s="249" t="s">
        <v>1087</v>
      </c>
    </row>
    <row r="116" spans="1:8">
      <c r="A116" s="433">
        <v>109</v>
      </c>
      <c r="B116" s="434" t="str">
        <f t="shared" si="7"/>
        <v>9919120068</v>
      </c>
      <c r="C116" s="53" t="s">
        <v>1099</v>
      </c>
      <c r="D116" s="428" t="s">
        <v>144</v>
      </c>
      <c r="E116" s="58">
        <v>43819</v>
      </c>
      <c r="F116" s="92" t="s">
        <v>447</v>
      </c>
      <c r="G116" s="93">
        <v>12</v>
      </c>
      <c r="H116" s="249" t="s">
        <v>1105</v>
      </c>
    </row>
    <row r="117" spans="1:8">
      <c r="A117" s="433">
        <v>110</v>
      </c>
      <c r="B117" s="434" t="str">
        <f t="shared" si="7"/>
        <v>9919120069</v>
      </c>
      <c r="C117" s="72" t="s">
        <v>1106</v>
      </c>
      <c r="D117" s="51" t="s">
        <v>1071</v>
      </c>
      <c r="E117" s="124">
        <v>43820</v>
      </c>
      <c r="F117" s="92" t="s">
        <v>447</v>
      </c>
      <c r="G117" s="93">
        <v>12</v>
      </c>
      <c r="H117" s="249" t="s">
        <v>1124</v>
      </c>
    </row>
    <row r="118" spans="1:8">
      <c r="A118" s="433">
        <v>111</v>
      </c>
      <c r="B118" s="434" t="str">
        <f t="shared" si="7"/>
        <v>9919120070</v>
      </c>
      <c r="C118" s="53" t="s">
        <v>1113</v>
      </c>
      <c r="D118" s="51" t="s">
        <v>1071</v>
      </c>
      <c r="E118" s="124">
        <v>43820</v>
      </c>
      <c r="F118" s="92" t="s">
        <v>447</v>
      </c>
      <c r="G118" s="93">
        <v>12</v>
      </c>
      <c r="H118" s="249" t="s">
        <v>1125</v>
      </c>
    </row>
    <row r="119" spans="1:8">
      <c r="A119" s="433">
        <v>112</v>
      </c>
      <c r="B119" s="434" t="str">
        <f t="shared" si="7"/>
        <v>9919120071</v>
      </c>
      <c r="C119" s="53" t="s">
        <v>1118</v>
      </c>
      <c r="D119" s="51" t="s">
        <v>1071</v>
      </c>
      <c r="E119" s="124">
        <v>43820</v>
      </c>
      <c r="F119" s="92" t="s">
        <v>447</v>
      </c>
      <c r="G119" s="93">
        <v>12</v>
      </c>
      <c r="H119" s="249" t="s">
        <v>1126</v>
      </c>
    </row>
    <row r="120" spans="1:8">
      <c r="A120" s="433">
        <v>113</v>
      </c>
      <c r="B120" s="434" t="str">
        <f t="shared" si="7"/>
        <v>9919120072</v>
      </c>
      <c r="C120" s="53" t="s">
        <v>1128</v>
      </c>
      <c r="D120" s="428" t="s">
        <v>446</v>
      </c>
      <c r="E120" s="58">
        <v>43823</v>
      </c>
      <c r="F120" s="92" t="s">
        <v>447</v>
      </c>
      <c r="G120" s="93">
        <v>12</v>
      </c>
      <c r="H120" s="249" t="s">
        <v>1162</v>
      </c>
    </row>
    <row r="121" spans="1:8">
      <c r="A121" s="433">
        <v>114</v>
      </c>
      <c r="B121" s="434" t="str">
        <f t="shared" si="7"/>
        <v>9919120073</v>
      </c>
      <c r="C121" s="53" t="s">
        <v>1134</v>
      </c>
      <c r="D121" s="428" t="s">
        <v>502</v>
      </c>
      <c r="E121" s="58">
        <v>43823</v>
      </c>
      <c r="F121" s="92" t="s">
        <v>447</v>
      </c>
      <c r="G121" s="93">
        <v>12</v>
      </c>
      <c r="H121" s="249" t="s">
        <v>1163</v>
      </c>
    </row>
    <row r="122" spans="1:8">
      <c r="A122" s="433">
        <v>115</v>
      </c>
      <c r="B122" s="434" t="str">
        <f t="shared" si="7"/>
        <v>9919120074</v>
      </c>
      <c r="C122" s="53" t="s">
        <v>1140</v>
      </c>
      <c r="D122" s="428" t="s">
        <v>209</v>
      </c>
      <c r="E122" s="58">
        <v>43823</v>
      </c>
      <c r="F122" s="92" t="s">
        <v>447</v>
      </c>
      <c r="G122" s="93">
        <v>12</v>
      </c>
      <c r="H122" s="249" t="s">
        <v>1164</v>
      </c>
    </row>
    <row r="123" spans="1:8">
      <c r="A123" s="433">
        <v>116</v>
      </c>
      <c r="B123" s="434" t="str">
        <f t="shared" si="7"/>
        <v>9919120075</v>
      </c>
      <c r="C123" s="53" t="s">
        <v>1145</v>
      </c>
      <c r="D123" s="428" t="s">
        <v>209</v>
      </c>
      <c r="E123" s="58">
        <v>43823</v>
      </c>
      <c r="F123" s="92" t="s">
        <v>447</v>
      </c>
      <c r="G123" s="93">
        <v>12</v>
      </c>
      <c r="H123" s="249" t="s">
        <v>1165</v>
      </c>
    </row>
    <row r="124" spans="1:8">
      <c r="A124" s="433">
        <v>117</v>
      </c>
      <c r="B124" s="434" t="str">
        <f t="shared" si="7"/>
        <v>9919120076</v>
      </c>
      <c r="C124" s="53" t="s">
        <v>1149</v>
      </c>
      <c r="D124" s="51" t="s">
        <v>1150</v>
      </c>
      <c r="E124" s="58">
        <v>43824</v>
      </c>
      <c r="F124" s="92" t="s">
        <v>447</v>
      </c>
      <c r="G124" s="93">
        <v>12</v>
      </c>
      <c r="H124" s="249" t="s">
        <v>1166</v>
      </c>
    </row>
    <row r="125" spans="1:8">
      <c r="A125" s="433">
        <v>118</v>
      </c>
      <c r="B125" s="434" t="str">
        <f t="shared" si="7"/>
        <v>9919120082</v>
      </c>
      <c r="C125" s="53" t="s">
        <v>1159</v>
      </c>
      <c r="D125" s="428" t="s">
        <v>144</v>
      </c>
      <c r="E125" s="58">
        <v>43822</v>
      </c>
      <c r="F125" s="92" t="s">
        <v>447</v>
      </c>
      <c r="G125" s="93">
        <v>12</v>
      </c>
      <c r="H125" s="249" t="s">
        <v>1167</v>
      </c>
    </row>
    <row r="126" spans="1:8">
      <c r="A126" s="433">
        <v>119</v>
      </c>
      <c r="B126" s="434" t="str">
        <f t="shared" si="7"/>
        <v>9919120083</v>
      </c>
      <c r="C126" s="53" t="s">
        <v>1156</v>
      </c>
      <c r="D126" s="428" t="s">
        <v>144</v>
      </c>
      <c r="E126" s="58">
        <v>43823</v>
      </c>
      <c r="F126" s="92" t="s">
        <v>447</v>
      </c>
      <c r="G126" s="93">
        <v>12</v>
      </c>
      <c r="H126" s="249" t="s">
        <v>1168</v>
      </c>
    </row>
    <row r="127" spans="1:8">
      <c r="A127" s="433">
        <v>120</v>
      </c>
      <c r="B127" s="434" t="str">
        <f t="shared" si="7"/>
        <v>9919120084</v>
      </c>
      <c r="C127" s="53" t="s">
        <v>1158</v>
      </c>
      <c r="D127" s="428" t="s">
        <v>144</v>
      </c>
      <c r="E127" s="58">
        <v>43823</v>
      </c>
      <c r="F127" s="92" t="s">
        <v>447</v>
      </c>
      <c r="G127" s="93">
        <v>12</v>
      </c>
      <c r="H127" s="249" t="s">
        <v>1169</v>
      </c>
    </row>
    <row r="128" spans="1:8">
      <c r="A128" s="433">
        <v>121</v>
      </c>
      <c r="B128" s="434" t="str">
        <f t="shared" si="7"/>
        <v>9919120085</v>
      </c>
      <c r="C128" s="53" t="s">
        <v>1157</v>
      </c>
      <c r="D128" s="428" t="s">
        <v>144</v>
      </c>
      <c r="E128" s="58">
        <v>43823</v>
      </c>
      <c r="F128" s="92" t="s">
        <v>447</v>
      </c>
      <c r="G128" s="93">
        <v>12</v>
      </c>
      <c r="H128" s="249" t="s">
        <v>1170</v>
      </c>
    </row>
    <row r="129" spans="1:8">
      <c r="A129" s="433">
        <v>122</v>
      </c>
      <c r="B129" s="434" t="str">
        <f t="shared" si="7"/>
        <v>9919120086</v>
      </c>
      <c r="C129" s="53" t="s">
        <v>1160</v>
      </c>
      <c r="D129" s="428" t="s">
        <v>144</v>
      </c>
      <c r="E129" s="58">
        <v>43823</v>
      </c>
      <c r="F129" s="92" t="s">
        <v>447</v>
      </c>
      <c r="G129" s="93">
        <v>12</v>
      </c>
      <c r="H129" s="249" t="s">
        <v>1171</v>
      </c>
    </row>
    <row r="130" spans="1:8">
      <c r="A130" s="433">
        <v>123</v>
      </c>
      <c r="B130" s="434" t="str">
        <f t="shared" si="7"/>
        <v>9919120087</v>
      </c>
      <c r="C130" s="134" t="s">
        <v>1173</v>
      </c>
      <c r="D130" s="428" t="s">
        <v>1161</v>
      </c>
      <c r="E130" s="58">
        <v>43823</v>
      </c>
      <c r="F130" s="92" t="s">
        <v>447</v>
      </c>
      <c r="G130" s="93">
        <v>12</v>
      </c>
      <c r="H130" s="249" t="s">
        <v>1172</v>
      </c>
    </row>
    <row r="131" spans="1:8">
      <c r="A131" s="433">
        <v>124</v>
      </c>
      <c r="B131" s="434" t="str">
        <f t="shared" si="7"/>
        <v>9919120088</v>
      </c>
      <c r="C131" s="333" t="s">
        <v>1178</v>
      </c>
      <c r="D131" s="344" t="s">
        <v>144</v>
      </c>
      <c r="E131" s="348">
        <v>43836</v>
      </c>
      <c r="F131" s="92" t="s">
        <v>447</v>
      </c>
      <c r="G131" s="93">
        <v>12</v>
      </c>
      <c r="H131" s="249" t="s">
        <v>1181</v>
      </c>
    </row>
    <row r="132" spans="1:8">
      <c r="A132" s="433">
        <v>125</v>
      </c>
      <c r="B132" s="434" t="str">
        <f t="shared" si="7"/>
        <v>9919120089</v>
      </c>
      <c r="C132" s="333" t="s">
        <v>1179</v>
      </c>
      <c r="D132" s="344" t="s">
        <v>144</v>
      </c>
      <c r="E132" s="348">
        <v>43836</v>
      </c>
      <c r="F132" s="92" t="s">
        <v>447</v>
      </c>
      <c r="G132" s="93">
        <v>12</v>
      </c>
      <c r="H132" s="249" t="s">
        <v>1182</v>
      </c>
    </row>
    <row r="133" spans="1:8">
      <c r="A133" s="433">
        <v>126</v>
      </c>
      <c r="B133" s="434" t="str">
        <f t="shared" ref="B133:B144" si="8">CONCATENATE("99",F133,G133,CONCATENATE("0",H133))</f>
        <v>9919120090</v>
      </c>
      <c r="C133" s="333" t="s">
        <v>1186</v>
      </c>
      <c r="D133" s="344" t="s">
        <v>144</v>
      </c>
      <c r="E133" s="348">
        <v>43837</v>
      </c>
      <c r="F133" s="92" t="s">
        <v>447</v>
      </c>
      <c r="G133" s="93">
        <v>12</v>
      </c>
      <c r="H133" s="249" t="s">
        <v>1216</v>
      </c>
    </row>
    <row r="134" spans="1:8">
      <c r="A134" s="433">
        <v>127</v>
      </c>
      <c r="B134" s="434" t="str">
        <f>CONCATENATE("99",F134,G134,CONCATENATE("0",H134))</f>
        <v>9919120091</v>
      </c>
      <c r="C134" s="333" t="s">
        <v>1190</v>
      </c>
      <c r="D134" s="344" t="s">
        <v>144</v>
      </c>
      <c r="E134" s="348">
        <v>43836</v>
      </c>
      <c r="F134" s="92" t="s">
        <v>447</v>
      </c>
      <c r="G134" s="93">
        <v>12</v>
      </c>
      <c r="H134" s="249" t="s">
        <v>1217</v>
      </c>
    </row>
    <row r="135" spans="1:8">
      <c r="A135" s="433">
        <v>128</v>
      </c>
      <c r="B135" s="434" t="str">
        <f t="shared" si="8"/>
        <v>9919120092</v>
      </c>
      <c r="C135" s="333" t="s">
        <v>1195</v>
      </c>
      <c r="D135" s="344" t="s">
        <v>144</v>
      </c>
      <c r="E135" s="348">
        <v>43838</v>
      </c>
      <c r="F135" s="92" t="s">
        <v>447</v>
      </c>
      <c r="G135" s="93">
        <v>12</v>
      </c>
      <c r="H135" s="249" t="s">
        <v>1218</v>
      </c>
    </row>
    <row r="136" spans="1:8">
      <c r="A136" s="433">
        <v>129</v>
      </c>
      <c r="B136" s="434" t="str">
        <f t="shared" si="8"/>
        <v>9919120093</v>
      </c>
      <c r="C136" s="333" t="s">
        <v>1198</v>
      </c>
      <c r="D136" s="344" t="s">
        <v>144</v>
      </c>
      <c r="E136" s="348">
        <v>43838</v>
      </c>
      <c r="F136" s="92" t="s">
        <v>447</v>
      </c>
      <c r="G136" s="93">
        <v>12</v>
      </c>
      <c r="H136" s="249" t="s">
        <v>1219</v>
      </c>
    </row>
    <row r="137" spans="1:8">
      <c r="A137" s="433">
        <v>130</v>
      </c>
      <c r="B137" s="434" t="str">
        <f t="shared" si="8"/>
        <v>9919120094</v>
      </c>
      <c r="C137" s="333" t="s">
        <v>1202</v>
      </c>
      <c r="D137" s="344" t="s">
        <v>144</v>
      </c>
      <c r="E137" s="348">
        <v>43838</v>
      </c>
      <c r="F137" s="92" t="s">
        <v>447</v>
      </c>
      <c r="G137" s="93">
        <v>12</v>
      </c>
      <c r="H137" s="249" t="s">
        <v>1220</v>
      </c>
    </row>
    <row r="138" spans="1:8">
      <c r="A138" s="433">
        <v>131</v>
      </c>
      <c r="B138" s="434" t="str">
        <f t="shared" si="8"/>
        <v>9919120095</v>
      </c>
      <c r="C138" s="333" t="s">
        <v>1209</v>
      </c>
      <c r="D138" s="344" t="s">
        <v>144</v>
      </c>
      <c r="E138" s="348">
        <v>43838</v>
      </c>
      <c r="F138" s="92" t="s">
        <v>447</v>
      </c>
      <c r="G138" s="93">
        <v>12</v>
      </c>
      <c r="H138" s="249" t="s">
        <v>1221</v>
      </c>
    </row>
    <row r="139" spans="1:8">
      <c r="A139" s="433">
        <v>132</v>
      </c>
      <c r="B139" s="434" t="str">
        <f t="shared" si="8"/>
        <v>9919120096</v>
      </c>
      <c r="C139" s="333" t="s">
        <v>1212</v>
      </c>
      <c r="D139" s="344" t="s">
        <v>144</v>
      </c>
      <c r="E139" s="348">
        <v>43838</v>
      </c>
      <c r="F139" s="92" t="s">
        <v>447</v>
      </c>
      <c r="G139" s="93">
        <v>12</v>
      </c>
      <c r="H139" s="249" t="s">
        <v>1222</v>
      </c>
    </row>
    <row r="140" spans="1:8">
      <c r="A140" s="433">
        <v>133</v>
      </c>
      <c r="B140" s="434" t="str">
        <f t="shared" si="8"/>
        <v>992010097</v>
      </c>
      <c r="C140" s="333" t="s">
        <v>1282</v>
      </c>
      <c r="D140" s="344" t="s">
        <v>144</v>
      </c>
      <c r="E140" s="348">
        <v>43846</v>
      </c>
      <c r="F140" s="93" t="s">
        <v>1180</v>
      </c>
      <c r="G140" s="93">
        <v>1</v>
      </c>
      <c r="H140" s="93" t="s">
        <v>1292</v>
      </c>
    </row>
    <row r="141" spans="1:8">
      <c r="A141" s="433">
        <v>134</v>
      </c>
      <c r="B141" s="434" t="str">
        <f t="shared" si="8"/>
        <v>992010098</v>
      </c>
      <c r="C141" s="333" t="s">
        <v>1286</v>
      </c>
      <c r="D141" s="344" t="s">
        <v>144</v>
      </c>
      <c r="E141" s="348">
        <v>43846</v>
      </c>
      <c r="F141" s="93" t="s">
        <v>1180</v>
      </c>
      <c r="G141" s="93">
        <v>1</v>
      </c>
      <c r="H141" s="93" t="s">
        <v>1293</v>
      </c>
    </row>
    <row r="142" spans="1:8">
      <c r="A142" s="433">
        <v>135</v>
      </c>
      <c r="B142" s="434" t="str">
        <f t="shared" si="8"/>
        <v>992010099</v>
      </c>
      <c r="C142" s="333" t="s">
        <v>1294</v>
      </c>
      <c r="D142" s="344" t="s">
        <v>1295</v>
      </c>
      <c r="E142" s="348">
        <v>43850</v>
      </c>
      <c r="F142" s="435">
        <v>20</v>
      </c>
      <c r="G142" s="435">
        <v>1</v>
      </c>
      <c r="H142" s="93" t="s">
        <v>1296</v>
      </c>
    </row>
    <row r="143" spans="1:8">
      <c r="A143" s="433">
        <v>136</v>
      </c>
      <c r="B143" s="434" t="str">
        <f t="shared" si="8"/>
        <v>992010100</v>
      </c>
      <c r="C143" s="437" t="s">
        <v>1308</v>
      </c>
      <c r="D143" s="439" t="s">
        <v>1310</v>
      </c>
      <c r="E143" s="441">
        <v>43851</v>
      </c>
      <c r="F143" s="435">
        <v>20</v>
      </c>
      <c r="G143" s="435">
        <v>1</v>
      </c>
      <c r="H143" s="435" t="s">
        <v>1324</v>
      </c>
    </row>
    <row r="144" spans="1:8">
      <c r="A144" s="433">
        <v>137</v>
      </c>
      <c r="B144" s="434" t="str">
        <f t="shared" si="8"/>
        <v>992010101</v>
      </c>
      <c r="C144" s="437" t="s">
        <v>1309</v>
      </c>
      <c r="D144" s="439" t="s">
        <v>1311</v>
      </c>
      <c r="E144" s="441">
        <v>43851</v>
      </c>
      <c r="F144" s="435">
        <v>20</v>
      </c>
      <c r="G144" s="435">
        <v>1</v>
      </c>
      <c r="H144" s="435" t="s">
        <v>1325</v>
      </c>
    </row>
    <row r="145" spans="1:8">
      <c r="A145" s="433">
        <v>138</v>
      </c>
      <c r="B145" s="434" t="str">
        <f t="shared" ref="B145:B152" si="9">CONCATENATE("99",F145,G145,CONCATENATE("0",H145))</f>
        <v>992010102</v>
      </c>
      <c r="C145" s="437" t="s">
        <v>1312</v>
      </c>
      <c r="D145" s="439" t="s">
        <v>1310</v>
      </c>
      <c r="E145" s="441">
        <v>43851</v>
      </c>
      <c r="F145" s="435">
        <v>20</v>
      </c>
      <c r="G145" s="435">
        <v>1</v>
      </c>
      <c r="H145" s="435" t="s">
        <v>1326</v>
      </c>
    </row>
    <row r="146" spans="1:8">
      <c r="A146" s="433">
        <v>139</v>
      </c>
      <c r="B146" s="434" t="str">
        <f t="shared" si="9"/>
        <v>992030103</v>
      </c>
      <c r="C146" s="437" t="s">
        <v>1339</v>
      </c>
      <c r="D146" s="439" t="s">
        <v>1338</v>
      </c>
      <c r="E146" s="441">
        <v>43903</v>
      </c>
      <c r="F146" s="435">
        <v>20</v>
      </c>
      <c r="G146" s="435">
        <v>3</v>
      </c>
      <c r="H146" s="435" t="s">
        <v>1337</v>
      </c>
    </row>
    <row r="147" spans="1:8">
      <c r="A147" s="433">
        <v>140</v>
      </c>
      <c r="B147" s="434" t="str">
        <f t="shared" si="9"/>
        <v>992030104</v>
      </c>
      <c r="C147" s="437" t="s">
        <v>1349</v>
      </c>
      <c r="D147" s="440" t="s">
        <v>450</v>
      </c>
      <c r="E147" s="389">
        <v>43904</v>
      </c>
      <c r="F147" s="435">
        <v>20</v>
      </c>
      <c r="G147" s="435">
        <v>3</v>
      </c>
      <c r="H147" s="435" t="s">
        <v>1350</v>
      </c>
    </row>
    <row r="148" spans="1:8">
      <c r="A148" s="433">
        <v>141</v>
      </c>
      <c r="B148" s="434" t="str">
        <f t="shared" si="9"/>
        <v>992030105</v>
      </c>
      <c r="C148" s="437" t="s">
        <v>1362</v>
      </c>
      <c r="D148" s="440" t="s">
        <v>1363</v>
      </c>
      <c r="E148" s="389">
        <v>43904</v>
      </c>
      <c r="F148" s="435">
        <v>20</v>
      </c>
      <c r="G148" s="435">
        <v>3</v>
      </c>
      <c r="H148" s="435">
        <v>105</v>
      </c>
    </row>
    <row r="149" spans="1:8">
      <c r="A149" s="433">
        <v>141</v>
      </c>
      <c r="B149" s="434" t="str">
        <f t="shared" si="9"/>
        <v>992030106</v>
      </c>
      <c r="C149" s="437" t="s">
        <v>1354</v>
      </c>
      <c r="D149" s="440" t="s">
        <v>450</v>
      </c>
      <c r="E149" s="441">
        <v>43906</v>
      </c>
      <c r="F149" s="435">
        <v>20</v>
      </c>
      <c r="G149" s="435">
        <v>3</v>
      </c>
      <c r="H149" s="435">
        <v>106</v>
      </c>
    </row>
    <row r="150" spans="1:8">
      <c r="A150" s="433">
        <v>142</v>
      </c>
      <c r="B150" s="434" t="str">
        <f t="shared" si="9"/>
        <v>992040107</v>
      </c>
      <c r="C150" s="437" t="s">
        <v>1376</v>
      </c>
      <c r="D150" s="440" t="s">
        <v>1377</v>
      </c>
      <c r="E150" s="441">
        <v>43922</v>
      </c>
      <c r="F150" s="435">
        <v>20</v>
      </c>
      <c r="G150" s="435">
        <v>4</v>
      </c>
      <c r="H150" s="435">
        <v>107</v>
      </c>
    </row>
    <row r="151" spans="1:8">
      <c r="A151" s="433">
        <v>143</v>
      </c>
      <c r="B151" s="434" t="str">
        <f t="shared" si="9"/>
        <v>992040108</v>
      </c>
      <c r="C151" s="437" t="s">
        <v>1378</v>
      </c>
      <c r="D151" s="440" t="s">
        <v>855</v>
      </c>
      <c r="E151" s="441">
        <v>43922</v>
      </c>
      <c r="F151" s="435">
        <v>20</v>
      </c>
      <c r="G151" s="435">
        <v>4</v>
      </c>
      <c r="H151" s="435">
        <v>108</v>
      </c>
    </row>
    <row r="152" spans="1:8">
      <c r="A152" s="433">
        <v>144</v>
      </c>
      <c r="B152" s="434" t="str">
        <f t="shared" si="9"/>
        <v>992040109</v>
      </c>
      <c r="C152" s="373" t="s">
        <v>1382</v>
      </c>
      <c r="D152" s="440" t="s">
        <v>446</v>
      </c>
      <c r="E152" s="441">
        <v>43922</v>
      </c>
      <c r="F152" s="435">
        <v>20</v>
      </c>
      <c r="G152" s="435">
        <v>4</v>
      </c>
      <c r="H152" s="435">
        <v>109</v>
      </c>
    </row>
    <row r="153" spans="1:8">
      <c r="A153" s="433">
        <v>145</v>
      </c>
      <c r="B153" s="434" t="str">
        <f>CONCATENATE("99",F153,G153,CONCATENATE("0",H153))</f>
        <v>992040110</v>
      </c>
      <c r="C153" s="437" t="s">
        <v>1404</v>
      </c>
      <c r="D153" s="440" t="s">
        <v>995</v>
      </c>
      <c r="E153" s="441">
        <v>43927</v>
      </c>
      <c r="F153" s="435">
        <v>20</v>
      </c>
      <c r="G153" s="435">
        <v>4</v>
      </c>
      <c r="H153" s="435">
        <v>110</v>
      </c>
    </row>
    <row r="154" spans="1:8">
      <c r="A154" s="433">
        <v>146</v>
      </c>
      <c r="B154" s="434" t="str">
        <f>CONCATENATE("99",F154,G154,CONCATENATE("0",H154))</f>
        <v>992040111</v>
      </c>
      <c r="C154" s="437" t="s">
        <v>1410</v>
      </c>
      <c r="D154" s="440" t="s">
        <v>1411</v>
      </c>
      <c r="E154" s="441">
        <v>43936</v>
      </c>
      <c r="F154" s="435">
        <v>20</v>
      </c>
      <c r="G154" s="435">
        <v>4</v>
      </c>
      <c r="H154" s="435">
        <v>111</v>
      </c>
    </row>
    <row r="155" spans="1:8">
      <c r="A155" s="433">
        <v>147</v>
      </c>
      <c r="B155" s="434" t="str">
        <f>CONCATENATE("99",F155,G155,CONCATENATE("0",H155))</f>
        <v>992040112</v>
      </c>
      <c r="C155" s="350" t="s">
        <v>1412</v>
      </c>
      <c r="D155" s="439" t="s">
        <v>1048</v>
      </c>
      <c r="E155" s="441">
        <v>43939</v>
      </c>
      <c r="F155" s="435">
        <v>20</v>
      </c>
      <c r="G155" s="440">
        <v>4</v>
      </c>
      <c r="H155" s="440">
        <v>112</v>
      </c>
    </row>
    <row r="156" spans="1:8">
      <c r="A156" s="433">
        <v>148</v>
      </c>
      <c r="B156" s="434" t="str">
        <f>CONCATENATE("99",F156,G156,CONCATENATE("0",H156))</f>
        <v>991970113</v>
      </c>
      <c r="C156" s="350" t="s">
        <v>840</v>
      </c>
      <c r="D156" s="439" t="s">
        <v>133</v>
      </c>
      <c r="E156" s="441">
        <v>43647</v>
      </c>
      <c r="F156" s="435">
        <v>19</v>
      </c>
      <c r="G156" s="440">
        <v>7</v>
      </c>
      <c r="H156" s="440">
        <v>113</v>
      </c>
    </row>
    <row r="157" spans="1:8">
      <c r="A157" s="440">
        <v>149</v>
      </c>
      <c r="B157" s="440" t="str">
        <f>CONCATENATE("99",F157,G157,CONCATENATE("0",H157))</f>
        <v>991240114</v>
      </c>
      <c r="C157" s="350" t="s">
        <v>553</v>
      </c>
      <c r="D157" s="439" t="s">
        <v>133</v>
      </c>
      <c r="E157" s="441">
        <v>43202</v>
      </c>
      <c r="F157" s="440">
        <v>12</v>
      </c>
      <c r="G157" s="440">
        <v>4</v>
      </c>
      <c r="H157" s="440">
        <v>114</v>
      </c>
    </row>
    <row r="158" spans="1:8">
      <c r="A158" s="433">
        <v>150</v>
      </c>
      <c r="B158" s="440" t="str">
        <f t="shared" ref="B158:B160" si="10">CONCATENATE("99",F158,G158,CONCATENATE("0",H158))</f>
        <v>991240115</v>
      </c>
      <c r="C158" s="406" t="s">
        <v>550</v>
      </c>
      <c r="D158" s="439" t="s">
        <v>133</v>
      </c>
      <c r="E158" s="441">
        <v>43202</v>
      </c>
      <c r="F158" s="440">
        <v>12</v>
      </c>
      <c r="G158" s="440">
        <v>4</v>
      </c>
      <c r="H158" s="440">
        <v>115</v>
      </c>
    </row>
    <row r="159" spans="1:8">
      <c r="A159" s="440">
        <v>151</v>
      </c>
      <c r="B159" s="440" t="str">
        <f t="shared" si="10"/>
        <v>991770116</v>
      </c>
      <c r="C159" s="437" t="s">
        <v>781</v>
      </c>
      <c r="D159" s="439" t="s">
        <v>133</v>
      </c>
      <c r="E159" s="441">
        <v>43663</v>
      </c>
      <c r="F159" s="440">
        <v>17</v>
      </c>
      <c r="G159" s="440">
        <v>7</v>
      </c>
      <c r="H159" s="440">
        <v>116</v>
      </c>
    </row>
    <row r="160" spans="1:8">
      <c r="A160" s="433">
        <v>152</v>
      </c>
      <c r="B160" s="440" t="str">
        <f t="shared" si="10"/>
        <v>9914120117</v>
      </c>
      <c r="C160" s="437" t="s">
        <v>1066</v>
      </c>
      <c r="D160" s="439" t="s">
        <v>133</v>
      </c>
      <c r="E160" s="441">
        <v>43813</v>
      </c>
      <c r="F160" s="440">
        <v>14</v>
      </c>
      <c r="G160" s="440">
        <v>12</v>
      </c>
      <c r="H160" s="440">
        <v>117</v>
      </c>
    </row>
    <row r="161" spans="1:8">
      <c r="A161" s="433">
        <v>153</v>
      </c>
      <c r="B161" s="440" t="str">
        <f t="shared" ref="B161:B167" si="11">CONCATENATE("99",F161,G161,CONCATENATE("0",H161))</f>
        <v>9914100118</v>
      </c>
      <c r="C161" s="437" t="s">
        <v>900</v>
      </c>
      <c r="D161" s="439" t="s">
        <v>133</v>
      </c>
      <c r="E161" s="441">
        <v>43752</v>
      </c>
      <c r="F161" s="440">
        <v>14</v>
      </c>
      <c r="G161" s="440">
        <v>10</v>
      </c>
      <c r="H161" s="440">
        <v>118</v>
      </c>
    </row>
    <row r="162" spans="1:8">
      <c r="A162" s="433">
        <v>154</v>
      </c>
      <c r="B162" s="440" t="str">
        <f t="shared" si="11"/>
        <v>992060119</v>
      </c>
      <c r="C162" s="437" t="s">
        <v>1440</v>
      </c>
      <c r="D162" s="440" t="s">
        <v>1441</v>
      </c>
      <c r="E162" s="441">
        <v>43991</v>
      </c>
      <c r="F162" s="440">
        <v>20</v>
      </c>
      <c r="G162" s="440">
        <v>6</v>
      </c>
      <c r="H162" s="440">
        <v>119</v>
      </c>
    </row>
    <row r="163" spans="1:8">
      <c r="A163" s="433">
        <v>155</v>
      </c>
      <c r="B163" s="440" t="str">
        <f t="shared" si="11"/>
        <v>992060120</v>
      </c>
      <c r="C163" s="437" t="s">
        <v>1446</v>
      </c>
      <c r="D163" s="439" t="s">
        <v>1453</v>
      </c>
      <c r="E163" s="441">
        <v>43991</v>
      </c>
      <c r="F163" s="440">
        <v>20</v>
      </c>
      <c r="G163" s="440">
        <v>6</v>
      </c>
      <c r="H163" s="440">
        <v>120</v>
      </c>
    </row>
    <row r="164" spans="1:8">
      <c r="A164" s="439">
        <v>156</v>
      </c>
      <c r="B164" s="439" t="str">
        <f t="shared" si="11"/>
        <v>992060121</v>
      </c>
      <c r="C164" s="437" t="s">
        <v>1456</v>
      </c>
      <c r="D164" s="439" t="s">
        <v>209</v>
      </c>
      <c r="E164" s="441">
        <v>43994</v>
      </c>
      <c r="F164" s="439">
        <v>20</v>
      </c>
      <c r="G164" s="439">
        <v>6</v>
      </c>
      <c r="H164" s="439">
        <v>121</v>
      </c>
    </row>
    <row r="165" spans="1:8">
      <c r="A165" s="439">
        <v>157</v>
      </c>
      <c r="B165" s="439" t="str">
        <f t="shared" si="11"/>
        <v>992060122</v>
      </c>
      <c r="C165" s="437" t="s">
        <v>1462</v>
      </c>
      <c r="D165" s="440" t="s">
        <v>1463</v>
      </c>
      <c r="E165" s="441">
        <v>44004</v>
      </c>
      <c r="F165" s="439">
        <v>20</v>
      </c>
      <c r="G165" s="439">
        <v>6</v>
      </c>
      <c r="H165" s="440">
        <v>122</v>
      </c>
    </row>
    <row r="166" spans="1:8">
      <c r="A166" s="439">
        <v>158</v>
      </c>
      <c r="B166" s="439" t="str">
        <f t="shared" si="11"/>
        <v>992060123</v>
      </c>
      <c r="C166" s="437" t="s">
        <v>1470</v>
      </c>
      <c r="D166" s="439" t="s">
        <v>133</v>
      </c>
      <c r="E166" s="441">
        <v>44000</v>
      </c>
      <c r="F166" s="439">
        <v>20</v>
      </c>
      <c r="G166" s="439">
        <v>6</v>
      </c>
      <c r="H166" s="439">
        <v>123</v>
      </c>
    </row>
    <row r="167" spans="1:8">
      <c r="A167" s="439">
        <v>159</v>
      </c>
      <c r="B167" s="439" t="str">
        <f t="shared" si="11"/>
        <v>992060124</v>
      </c>
      <c r="C167" s="437" t="s">
        <v>1474</v>
      </c>
      <c r="D167" s="439" t="s">
        <v>133</v>
      </c>
      <c r="E167" s="441">
        <v>44004</v>
      </c>
      <c r="F167" s="439">
        <v>20</v>
      </c>
      <c r="G167" s="439">
        <v>6</v>
      </c>
      <c r="H167" s="440">
        <v>124</v>
      </c>
    </row>
    <row r="168" spans="1:8">
      <c r="A168" s="439">
        <v>160</v>
      </c>
      <c r="B168" s="439" t="str">
        <f t="shared" ref="B168:B176" si="12">CONCATENATE("99",F168,G168,CONCATENATE("0",H168))</f>
        <v>992060125</v>
      </c>
      <c r="C168" s="437" t="s">
        <v>1481</v>
      </c>
      <c r="D168" s="439" t="s">
        <v>1489</v>
      </c>
      <c r="E168" s="441">
        <v>44008</v>
      </c>
      <c r="F168" s="439">
        <v>20</v>
      </c>
      <c r="G168" s="439">
        <v>6</v>
      </c>
      <c r="H168" s="440">
        <v>125</v>
      </c>
    </row>
    <row r="169" spans="1:8">
      <c r="A169" s="439">
        <v>161</v>
      </c>
      <c r="B169" s="439" t="str">
        <f t="shared" si="12"/>
        <v>992070126</v>
      </c>
      <c r="C169" s="437" t="s">
        <v>1491</v>
      </c>
      <c r="D169" s="439" t="s">
        <v>1497</v>
      </c>
      <c r="E169" s="441">
        <v>44013</v>
      </c>
      <c r="F169" s="439" t="s">
        <v>1180</v>
      </c>
      <c r="G169" s="439" t="s">
        <v>1498</v>
      </c>
      <c r="H169" s="440">
        <v>126</v>
      </c>
    </row>
    <row r="170" spans="1:8">
      <c r="A170" s="439">
        <v>162</v>
      </c>
      <c r="B170" s="439" t="str">
        <f t="shared" si="12"/>
        <v>992070127</v>
      </c>
      <c r="C170" s="437" t="s">
        <v>1499</v>
      </c>
      <c r="D170" s="439" t="s">
        <v>133</v>
      </c>
      <c r="E170" s="441">
        <v>44027</v>
      </c>
      <c r="F170" s="439" t="s">
        <v>1180</v>
      </c>
      <c r="G170" s="439" t="s">
        <v>1498</v>
      </c>
      <c r="H170" s="440">
        <v>127</v>
      </c>
    </row>
    <row r="171" spans="1:8">
      <c r="A171" s="439">
        <v>163</v>
      </c>
      <c r="B171" s="439" t="str">
        <f t="shared" si="12"/>
        <v>992070128</v>
      </c>
      <c r="C171" s="437" t="s">
        <v>1503</v>
      </c>
      <c r="D171" s="439" t="s">
        <v>133</v>
      </c>
      <c r="E171" s="441">
        <v>44027</v>
      </c>
      <c r="F171" s="439" t="s">
        <v>1180</v>
      </c>
      <c r="G171" s="439" t="s">
        <v>1498</v>
      </c>
      <c r="H171" s="440">
        <v>128</v>
      </c>
    </row>
    <row r="172" spans="1:8">
      <c r="A172" s="439">
        <v>164</v>
      </c>
      <c r="B172" s="439" t="str">
        <f t="shared" si="12"/>
        <v>992070129</v>
      </c>
      <c r="C172" s="437" t="s">
        <v>1159</v>
      </c>
      <c r="D172" s="439" t="s">
        <v>133</v>
      </c>
      <c r="E172" s="441">
        <v>44028</v>
      </c>
      <c r="F172" s="439" t="s">
        <v>1180</v>
      </c>
      <c r="G172" s="439" t="s">
        <v>1498</v>
      </c>
      <c r="H172" s="440">
        <v>129</v>
      </c>
    </row>
    <row r="173" spans="1:8">
      <c r="A173" s="439">
        <v>165</v>
      </c>
      <c r="B173" s="439" t="str">
        <f t="shared" si="12"/>
        <v>992070130</v>
      </c>
      <c r="C173" s="437" t="s">
        <v>1509</v>
      </c>
      <c r="D173" s="439" t="s">
        <v>133</v>
      </c>
      <c r="E173" s="441">
        <v>44028</v>
      </c>
      <c r="F173" s="439" t="s">
        <v>1180</v>
      </c>
      <c r="G173" s="439" t="s">
        <v>1498</v>
      </c>
      <c r="H173" s="440">
        <v>130</v>
      </c>
    </row>
    <row r="174" spans="1:8">
      <c r="A174" s="439">
        <v>166</v>
      </c>
      <c r="B174" s="439" t="str">
        <f t="shared" si="12"/>
        <v>992070131</v>
      </c>
      <c r="C174" s="437" t="s">
        <v>1514</v>
      </c>
      <c r="D174" s="439" t="s">
        <v>133</v>
      </c>
      <c r="E174" s="441">
        <v>44034</v>
      </c>
      <c r="F174" s="439" t="s">
        <v>1180</v>
      </c>
      <c r="G174" s="439" t="s">
        <v>1498</v>
      </c>
      <c r="H174" s="440">
        <v>131</v>
      </c>
    </row>
    <row r="175" spans="1:8">
      <c r="A175" s="439">
        <v>167</v>
      </c>
      <c r="B175" s="439" t="str">
        <f t="shared" si="12"/>
        <v>992070132</v>
      </c>
      <c r="C175" s="437" t="s">
        <v>1515</v>
      </c>
      <c r="D175" s="439" t="s">
        <v>133</v>
      </c>
      <c r="E175" s="441">
        <v>44034</v>
      </c>
      <c r="F175" s="439" t="s">
        <v>1180</v>
      </c>
      <c r="G175" s="439" t="s">
        <v>1498</v>
      </c>
      <c r="H175" s="440">
        <v>132</v>
      </c>
    </row>
    <row r="176" spans="1:8">
      <c r="A176" s="439">
        <v>168</v>
      </c>
      <c r="B176" s="439" t="str">
        <f t="shared" si="12"/>
        <v>992070133</v>
      </c>
      <c r="C176" s="437" t="s">
        <v>1516</v>
      </c>
      <c r="D176" s="439" t="s">
        <v>133</v>
      </c>
      <c r="E176" s="441">
        <v>44034</v>
      </c>
      <c r="F176" s="439" t="s">
        <v>1180</v>
      </c>
      <c r="G176" s="439" t="s">
        <v>1498</v>
      </c>
      <c r="H176" s="440">
        <v>133</v>
      </c>
    </row>
    <row r="177" spans="1:8">
      <c r="A177" s="439">
        <v>169</v>
      </c>
      <c r="B177" s="439" t="str">
        <f t="shared" ref="B177" si="13">CONCATENATE("99",F177,G177,CONCATENATE("0",H177))</f>
        <v>992070135</v>
      </c>
      <c r="C177" s="437" t="s">
        <v>1542</v>
      </c>
      <c r="D177" s="439" t="s">
        <v>992</v>
      </c>
      <c r="E177" s="441">
        <v>44038</v>
      </c>
      <c r="F177" s="439" t="s">
        <v>1180</v>
      </c>
      <c r="G177" s="439" t="s">
        <v>1498</v>
      </c>
      <c r="H177" s="440">
        <v>135</v>
      </c>
    </row>
    <row r="178" spans="1:8">
      <c r="A178" s="439">
        <v>170</v>
      </c>
      <c r="B178" s="439" t="str">
        <f t="shared" ref="B178:B187" si="14">CONCATENATE("99",F178,G178,CONCATENATE("0",H178))</f>
        <v>992080136</v>
      </c>
      <c r="C178" s="546" t="s">
        <v>1559</v>
      </c>
      <c r="D178" s="439" t="s">
        <v>209</v>
      </c>
      <c r="E178" s="441">
        <v>44054</v>
      </c>
      <c r="F178" s="439" t="s">
        <v>1180</v>
      </c>
      <c r="G178" s="439" t="s">
        <v>1565</v>
      </c>
      <c r="H178" s="440">
        <v>136</v>
      </c>
    </row>
    <row r="179" spans="1:8">
      <c r="A179" s="439">
        <v>171</v>
      </c>
      <c r="B179" s="439" t="str">
        <f t="shared" si="14"/>
        <v>992070137</v>
      </c>
      <c r="C179" s="437" t="s">
        <v>1491</v>
      </c>
      <c r="D179" s="439" t="s">
        <v>89</v>
      </c>
      <c r="E179" s="441">
        <v>44013</v>
      </c>
      <c r="F179" s="439" t="s">
        <v>1180</v>
      </c>
      <c r="G179" s="439" t="s">
        <v>1498</v>
      </c>
      <c r="H179" s="440">
        <v>137</v>
      </c>
    </row>
    <row r="180" spans="1:8">
      <c r="A180" s="439">
        <v>172</v>
      </c>
      <c r="B180" s="439" t="str">
        <f t="shared" si="14"/>
        <v>992080138</v>
      </c>
      <c r="C180" s="437" t="s">
        <v>1568</v>
      </c>
      <c r="D180" s="439" t="s">
        <v>1569</v>
      </c>
      <c r="E180" s="441">
        <v>44054</v>
      </c>
      <c r="F180" s="439" t="s">
        <v>1180</v>
      </c>
      <c r="G180" s="439" t="s">
        <v>1565</v>
      </c>
      <c r="H180" s="440">
        <v>138</v>
      </c>
    </row>
    <row r="181" spans="1:8">
      <c r="A181" s="439">
        <v>173</v>
      </c>
      <c r="B181" s="439" t="str">
        <f t="shared" si="14"/>
        <v>992080139</v>
      </c>
      <c r="C181" s="437" t="s">
        <v>1575</v>
      </c>
      <c r="D181" s="439" t="s">
        <v>1569</v>
      </c>
      <c r="E181" s="441">
        <v>44055</v>
      </c>
      <c r="F181" s="439" t="s">
        <v>1180</v>
      </c>
      <c r="G181" s="439" t="s">
        <v>1565</v>
      </c>
      <c r="H181" s="440">
        <v>139</v>
      </c>
    </row>
    <row r="182" spans="1:8">
      <c r="A182" s="439">
        <v>174</v>
      </c>
      <c r="B182" s="439" t="str">
        <f t="shared" si="14"/>
        <v>992080140</v>
      </c>
      <c r="C182" s="437" t="s">
        <v>1580</v>
      </c>
      <c r="D182" s="439" t="s">
        <v>1463</v>
      </c>
      <c r="E182" s="441">
        <v>44055</v>
      </c>
      <c r="F182" s="439" t="s">
        <v>1180</v>
      </c>
      <c r="G182" s="439" t="s">
        <v>1565</v>
      </c>
      <c r="H182" s="440">
        <v>140</v>
      </c>
    </row>
    <row r="183" spans="1:8">
      <c r="A183" s="439">
        <v>175</v>
      </c>
      <c r="B183" s="439" t="str">
        <f t="shared" si="14"/>
        <v>992080141</v>
      </c>
      <c r="C183" s="437" t="s">
        <v>1593</v>
      </c>
      <c r="D183" s="440" t="s">
        <v>1463</v>
      </c>
      <c r="E183" s="441">
        <v>44056</v>
      </c>
      <c r="F183" s="439" t="s">
        <v>1180</v>
      </c>
      <c r="G183" s="439" t="s">
        <v>1565</v>
      </c>
      <c r="H183" s="440">
        <v>141</v>
      </c>
    </row>
    <row r="184" spans="1:8">
      <c r="A184" s="439">
        <v>176</v>
      </c>
      <c r="B184" s="439" t="str">
        <f t="shared" si="14"/>
        <v>992090142</v>
      </c>
      <c r="C184" s="437" t="s">
        <v>1661</v>
      </c>
      <c r="D184" s="439" t="s">
        <v>133</v>
      </c>
      <c r="E184" s="441">
        <v>44082</v>
      </c>
      <c r="F184" s="439" t="s">
        <v>1180</v>
      </c>
      <c r="G184" s="439" t="s">
        <v>1684</v>
      </c>
      <c r="H184" s="440">
        <v>142</v>
      </c>
    </row>
    <row r="185" spans="1:8">
      <c r="A185" s="439">
        <v>177</v>
      </c>
      <c r="B185" s="439" t="str">
        <f t="shared" si="14"/>
        <v>992090143</v>
      </c>
      <c r="C185" s="437" t="s">
        <v>1667</v>
      </c>
      <c r="D185" s="439" t="s">
        <v>133</v>
      </c>
      <c r="E185" s="441">
        <v>44100</v>
      </c>
      <c r="F185" s="439" t="s">
        <v>1180</v>
      </c>
      <c r="G185" s="439" t="s">
        <v>1684</v>
      </c>
      <c r="H185" s="440">
        <v>143</v>
      </c>
    </row>
    <row r="186" spans="1:8">
      <c r="A186" s="439">
        <v>178</v>
      </c>
      <c r="B186" s="439" t="str">
        <f t="shared" si="14"/>
        <v>992090144</v>
      </c>
      <c r="C186" s="437" t="s">
        <v>1672</v>
      </c>
      <c r="D186" s="440" t="s">
        <v>1673</v>
      </c>
      <c r="E186" s="441">
        <v>44103</v>
      </c>
      <c r="F186" s="439" t="s">
        <v>1180</v>
      </c>
      <c r="G186" s="439" t="s">
        <v>1684</v>
      </c>
      <c r="H186" s="440">
        <v>144</v>
      </c>
    </row>
    <row r="187" spans="1:8">
      <c r="A187" s="439">
        <v>179</v>
      </c>
      <c r="B187" s="439" t="str">
        <f t="shared" si="14"/>
        <v>9920100145</v>
      </c>
      <c r="C187" s="437" t="s">
        <v>1680</v>
      </c>
      <c r="D187" s="440" t="s">
        <v>1681</v>
      </c>
      <c r="E187" s="441">
        <v>44105</v>
      </c>
      <c r="F187" s="439" t="s">
        <v>1180</v>
      </c>
      <c r="G187" s="439" t="s">
        <v>429</v>
      </c>
      <c r="H187" s="440">
        <v>145</v>
      </c>
    </row>
    <row r="188" spans="1:8">
      <c r="A188" s="439">
        <v>180</v>
      </c>
      <c r="B188" s="439" t="str">
        <f t="shared" ref="B188:B195" si="15">CONCATENATE("99",F188,G188,CONCATENATE("0",H188))</f>
        <v>9920100146</v>
      </c>
      <c r="C188" s="437" t="s">
        <v>1687</v>
      </c>
      <c r="D188" s="440" t="s">
        <v>1690</v>
      </c>
      <c r="E188" s="441">
        <v>44105</v>
      </c>
      <c r="F188" s="439" t="s">
        <v>1180</v>
      </c>
      <c r="G188" s="439" t="s">
        <v>429</v>
      </c>
      <c r="H188" s="440">
        <v>146</v>
      </c>
    </row>
    <row r="189" spans="1:8">
      <c r="A189" s="439">
        <v>181</v>
      </c>
      <c r="B189" s="439" t="str">
        <f t="shared" si="15"/>
        <v>9920100147</v>
      </c>
      <c r="C189" s="437" t="s">
        <v>1695</v>
      </c>
      <c r="D189" s="440" t="s">
        <v>1009</v>
      </c>
      <c r="E189" s="441">
        <v>44110</v>
      </c>
      <c r="F189" s="439" t="s">
        <v>1180</v>
      </c>
      <c r="G189" s="439" t="s">
        <v>429</v>
      </c>
      <c r="H189" s="440">
        <v>147</v>
      </c>
    </row>
    <row r="190" spans="1:8">
      <c r="A190" s="439">
        <v>182</v>
      </c>
      <c r="B190" s="439" t="str">
        <f t="shared" si="15"/>
        <v>9920100148</v>
      </c>
      <c r="C190" s="437" t="s">
        <v>1709</v>
      </c>
      <c r="D190" s="440" t="s">
        <v>1377</v>
      </c>
      <c r="E190" s="441">
        <v>44113</v>
      </c>
      <c r="F190" s="439" t="s">
        <v>1180</v>
      </c>
      <c r="G190" s="439" t="s">
        <v>429</v>
      </c>
      <c r="H190" s="440">
        <v>148</v>
      </c>
    </row>
    <row r="191" spans="1:8">
      <c r="A191" s="439">
        <v>183</v>
      </c>
      <c r="B191" s="439" t="str">
        <f t="shared" si="15"/>
        <v>9920100149</v>
      </c>
      <c r="C191" s="437" t="s">
        <v>1715</v>
      </c>
      <c r="D191" s="440" t="s">
        <v>144</v>
      </c>
      <c r="E191" s="441">
        <v>44114</v>
      </c>
      <c r="F191" s="439" t="s">
        <v>1180</v>
      </c>
      <c r="G191" s="439" t="s">
        <v>429</v>
      </c>
      <c r="H191" s="440">
        <v>149</v>
      </c>
    </row>
    <row r="192" spans="1:8">
      <c r="A192" s="439">
        <v>184</v>
      </c>
      <c r="B192" s="439" t="str">
        <f t="shared" si="15"/>
        <v>9920100150</v>
      </c>
      <c r="C192" s="437" t="s">
        <v>1723</v>
      </c>
      <c r="D192" s="440" t="s">
        <v>966</v>
      </c>
      <c r="E192" s="441">
        <v>44125</v>
      </c>
      <c r="F192" s="439" t="s">
        <v>1180</v>
      </c>
      <c r="G192" s="439" t="s">
        <v>429</v>
      </c>
      <c r="H192" s="440">
        <v>150</v>
      </c>
    </row>
    <row r="193" spans="1:8">
      <c r="A193" s="439">
        <v>185</v>
      </c>
      <c r="B193" s="439" t="str">
        <f t="shared" si="15"/>
        <v>9920100151</v>
      </c>
      <c r="C193" s="437" t="s">
        <v>1731</v>
      </c>
      <c r="D193" s="440" t="s">
        <v>1009</v>
      </c>
      <c r="E193" s="441">
        <v>44130</v>
      </c>
      <c r="F193" s="439" t="s">
        <v>1180</v>
      </c>
      <c r="G193" s="439" t="s">
        <v>429</v>
      </c>
      <c r="H193" s="440">
        <v>151</v>
      </c>
    </row>
    <row r="194" spans="1:8">
      <c r="A194" s="439">
        <v>186</v>
      </c>
      <c r="B194" s="439" t="str">
        <f t="shared" si="15"/>
        <v>9920100152</v>
      </c>
      <c r="C194" s="437" t="s">
        <v>1732</v>
      </c>
      <c r="D194" s="440" t="s">
        <v>1009</v>
      </c>
      <c r="E194" s="441">
        <v>44130</v>
      </c>
      <c r="F194" s="439" t="s">
        <v>1180</v>
      </c>
      <c r="G194" s="439" t="s">
        <v>429</v>
      </c>
      <c r="H194" s="440">
        <v>152</v>
      </c>
    </row>
    <row r="195" spans="1:8">
      <c r="A195" s="439">
        <v>187</v>
      </c>
      <c r="B195" s="439" t="str">
        <f t="shared" si="15"/>
        <v>9920100153</v>
      </c>
      <c r="C195" s="600" t="s">
        <v>1740</v>
      </c>
      <c r="D195" s="440" t="s">
        <v>1336</v>
      </c>
      <c r="E195" s="441">
        <v>44130</v>
      </c>
      <c r="F195" s="439" t="s">
        <v>1180</v>
      </c>
      <c r="G195" s="439" t="s">
        <v>429</v>
      </c>
      <c r="H195" s="440">
        <v>153</v>
      </c>
    </row>
    <row r="196" spans="1:8">
      <c r="A196" s="439">
        <v>188</v>
      </c>
      <c r="B196" s="439" t="str">
        <f t="shared" ref="B196:B210" si="16">CONCATENATE("99",F196,G196,CONCATENATE("0",H196))</f>
        <v>9920110154</v>
      </c>
      <c r="C196" s="437" t="s">
        <v>1748</v>
      </c>
      <c r="D196" s="440" t="s">
        <v>1749</v>
      </c>
      <c r="E196" s="441">
        <v>44137</v>
      </c>
      <c r="F196" s="439" t="s">
        <v>1180</v>
      </c>
      <c r="G196" s="439" t="s">
        <v>402</v>
      </c>
      <c r="H196" s="440">
        <v>154</v>
      </c>
    </row>
    <row r="197" spans="1:8">
      <c r="A197" s="439">
        <v>189</v>
      </c>
      <c r="B197" s="439" t="str">
        <f t="shared" si="16"/>
        <v>9920110155</v>
      </c>
      <c r="C197" s="437" t="s">
        <v>1753</v>
      </c>
      <c r="D197" s="440" t="s">
        <v>1754</v>
      </c>
      <c r="E197" s="441">
        <v>44136</v>
      </c>
      <c r="F197" s="439" t="s">
        <v>1180</v>
      </c>
      <c r="G197" s="439" t="s">
        <v>402</v>
      </c>
      <c r="H197" s="440">
        <v>155</v>
      </c>
    </row>
    <row r="198" spans="1:8">
      <c r="A198" s="439">
        <v>190</v>
      </c>
      <c r="B198" s="439" t="str">
        <f t="shared" si="16"/>
        <v>9920110156</v>
      </c>
      <c r="C198" s="437" t="s">
        <v>1759</v>
      </c>
      <c r="D198" s="440" t="s">
        <v>1724</v>
      </c>
      <c r="E198" s="441">
        <v>44140</v>
      </c>
      <c r="F198" s="439" t="s">
        <v>1180</v>
      </c>
      <c r="G198" s="439" t="s">
        <v>402</v>
      </c>
      <c r="H198" s="440">
        <v>156</v>
      </c>
    </row>
    <row r="199" spans="1:8">
      <c r="A199" s="439">
        <v>191</v>
      </c>
      <c r="B199" s="439" t="str">
        <f t="shared" si="16"/>
        <v>9920100157</v>
      </c>
      <c r="C199" s="437" t="s">
        <v>1702</v>
      </c>
      <c r="D199" s="440" t="s">
        <v>1769</v>
      </c>
      <c r="E199" s="441">
        <v>44111</v>
      </c>
      <c r="F199" s="439" t="s">
        <v>1180</v>
      </c>
      <c r="G199" s="439" t="s">
        <v>429</v>
      </c>
      <c r="H199" s="440">
        <v>157</v>
      </c>
    </row>
    <row r="200" spans="1:8">
      <c r="A200" s="439">
        <v>192</v>
      </c>
      <c r="B200" s="439" t="str">
        <f t="shared" si="16"/>
        <v>9920110158</v>
      </c>
      <c r="C200" s="437" t="s">
        <v>1854</v>
      </c>
      <c r="D200" s="440" t="s">
        <v>1009</v>
      </c>
      <c r="E200" s="441">
        <v>44151</v>
      </c>
      <c r="F200" s="439" t="s">
        <v>1180</v>
      </c>
      <c r="G200" s="439" t="s">
        <v>402</v>
      </c>
      <c r="H200" s="440">
        <v>158</v>
      </c>
    </row>
    <row r="201" spans="1:8">
      <c r="A201" s="439">
        <v>193</v>
      </c>
      <c r="B201" s="439" t="str">
        <f t="shared" si="16"/>
        <v>9920110159</v>
      </c>
      <c r="C201" s="437" t="s">
        <v>1848</v>
      </c>
      <c r="D201" s="440" t="s">
        <v>1048</v>
      </c>
      <c r="E201" s="441">
        <v>44151</v>
      </c>
      <c r="F201" s="439" t="s">
        <v>1180</v>
      </c>
      <c r="G201" s="439" t="s">
        <v>402</v>
      </c>
      <c r="H201" s="440">
        <v>159</v>
      </c>
    </row>
    <row r="202" spans="1:8">
      <c r="A202" s="439">
        <v>194</v>
      </c>
      <c r="B202" s="439" t="str">
        <f t="shared" si="16"/>
        <v>9920110160</v>
      </c>
      <c r="C202" s="437" t="s">
        <v>1862</v>
      </c>
      <c r="D202" s="440" t="s">
        <v>1863</v>
      </c>
      <c r="E202" s="441">
        <v>44151</v>
      </c>
      <c r="F202" s="439" t="s">
        <v>1180</v>
      </c>
      <c r="G202" s="439" t="s">
        <v>402</v>
      </c>
      <c r="H202" s="440">
        <v>160</v>
      </c>
    </row>
    <row r="203" spans="1:8">
      <c r="A203" s="439">
        <v>195</v>
      </c>
      <c r="B203" s="439" t="str">
        <f t="shared" si="16"/>
        <v>9920120161</v>
      </c>
      <c r="C203" s="437" t="s">
        <v>2150</v>
      </c>
      <c r="D203" s="440" t="s">
        <v>995</v>
      </c>
      <c r="E203" s="441">
        <v>44172</v>
      </c>
      <c r="F203" s="439">
        <v>20</v>
      </c>
      <c r="G203" s="439" t="s">
        <v>431</v>
      </c>
      <c r="H203" s="440">
        <v>161</v>
      </c>
    </row>
    <row r="204" spans="1:8">
      <c r="A204" s="439">
        <v>196</v>
      </c>
      <c r="B204" s="439" t="str">
        <f t="shared" si="16"/>
        <v>9920120162</v>
      </c>
      <c r="C204" s="437" t="s">
        <v>2156</v>
      </c>
      <c r="D204" s="440" t="s">
        <v>1863</v>
      </c>
      <c r="E204" s="389">
        <v>44175</v>
      </c>
      <c r="F204" s="439" t="s">
        <v>1180</v>
      </c>
      <c r="G204" s="439" t="s">
        <v>431</v>
      </c>
      <c r="H204" s="440">
        <v>162</v>
      </c>
    </row>
    <row r="205" spans="1:8">
      <c r="A205" s="439">
        <v>197</v>
      </c>
      <c r="B205" s="439" t="str">
        <f t="shared" si="16"/>
        <v>9920120163</v>
      </c>
      <c r="C205" s="437" t="s">
        <v>2217</v>
      </c>
      <c r="D205" s="440" t="s">
        <v>1009</v>
      </c>
      <c r="E205" s="389">
        <v>44186</v>
      </c>
      <c r="F205" s="439" t="s">
        <v>1180</v>
      </c>
      <c r="G205" s="439" t="s">
        <v>431</v>
      </c>
      <c r="H205" s="440">
        <v>163</v>
      </c>
    </row>
    <row r="206" spans="1:8">
      <c r="A206" s="439">
        <v>198</v>
      </c>
      <c r="B206" s="439" t="str">
        <f t="shared" si="16"/>
        <v>9920120164</v>
      </c>
      <c r="C206" s="437" t="s">
        <v>2224</v>
      </c>
      <c r="D206" s="440" t="s">
        <v>2225</v>
      </c>
      <c r="E206" s="389">
        <v>44186</v>
      </c>
      <c r="F206" s="439" t="s">
        <v>1180</v>
      </c>
      <c r="G206" s="439" t="s">
        <v>431</v>
      </c>
      <c r="H206" s="440">
        <v>164</v>
      </c>
    </row>
    <row r="207" spans="1:8">
      <c r="A207" s="439">
        <v>199</v>
      </c>
      <c r="B207" s="439" t="str">
        <f t="shared" si="16"/>
        <v>9918040165</v>
      </c>
      <c r="C207" s="447" t="s">
        <v>1241</v>
      </c>
      <c r="D207" s="440" t="s">
        <v>1569</v>
      </c>
      <c r="E207" s="389">
        <v>43202</v>
      </c>
      <c r="F207" s="439" t="s">
        <v>263</v>
      </c>
      <c r="G207" s="439" t="s">
        <v>262</v>
      </c>
      <c r="H207" s="440">
        <v>165</v>
      </c>
    </row>
    <row r="208" spans="1:8">
      <c r="A208" s="439">
        <v>200</v>
      </c>
      <c r="B208" s="439" t="str">
        <f t="shared" si="16"/>
        <v>9920110166</v>
      </c>
      <c r="C208" s="437" t="s">
        <v>1880</v>
      </c>
      <c r="D208" s="440" t="s">
        <v>1569</v>
      </c>
      <c r="E208" s="441">
        <v>44161</v>
      </c>
      <c r="F208" s="439" t="s">
        <v>1180</v>
      </c>
      <c r="G208" s="439" t="s">
        <v>402</v>
      </c>
      <c r="H208" s="440">
        <v>166</v>
      </c>
    </row>
    <row r="209" spans="1:8">
      <c r="A209" s="439">
        <v>201</v>
      </c>
      <c r="B209" s="439" t="str">
        <f t="shared" si="16"/>
        <v>9920110167</v>
      </c>
      <c r="C209" s="437" t="s">
        <v>1886</v>
      </c>
      <c r="D209" s="440" t="s">
        <v>1569</v>
      </c>
      <c r="E209" s="441">
        <v>44161</v>
      </c>
      <c r="F209" s="439" t="s">
        <v>1180</v>
      </c>
      <c r="G209" s="439" t="s">
        <v>402</v>
      </c>
      <c r="H209" s="440">
        <v>167</v>
      </c>
    </row>
    <row r="210" spans="1:8">
      <c r="A210" s="439">
        <v>202</v>
      </c>
      <c r="B210" s="439" t="str">
        <f t="shared" si="16"/>
        <v>992110168</v>
      </c>
      <c r="C210" s="437" t="s">
        <v>2336</v>
      </c>
      <c r="D210" s="440" t="s">
        <v>2380</v>
      </c>
      <c r="E210" s="441">
        <v>44200</v>
      </c>
      <c r="F210" s="439" t="s">
        <v>2361</v>
      </c>
      <c r="G210" s="439" t="s">
        <v>2360</v>
      </c>
      <c r="H210" s="440">
        <v>168</v>
      </c>
    </row>
    <row r="211" spans="1:8">
      <c r="A211" s="439">
        <v>203</v>
      </c>
      <c r="B211" s="439" t="str">
        <f t="shared" ref="B211:B219" si="17">CONCATENATE("99",F211,G211,CONCATENATE("0",H211))</f>
        <v>992110169</v>
      </c>
      <c r="C211" s="437" t="s">
        <v>2343</v>
      </c>
      <c r="D211" s="440" t="s">
        <v>2381</v>
      </c>
      <c r="E211" s="441">
        <v>44200</v>
      </c>
      <c r="F211" s="439" t="s">
        <v>2361</v>
      </c>
      <c r="G211" s="439" t="s">
        <v>2360</v>
      </c>
      <c r="H211" s="440">
        <v>169</v>
      </c>
    </row>
    <row r="212" spans="1:8">
      <c r="A212" s="439">
        <v>204</v>
      </c>
      <c r="B212" s="439" t="str">
        <f t="shared" si="17"/>
        <v>992110170</v>
      </c>
      <c r="C212" s="437" t="s">
        <v>2364</v>
      </c>
      <c r="D212" s="440" t="s">
        <v>2382</v>
      </c>
      <c r="E212" s="441">
        <v>44202</v>
      </c>
      <c r="F212" s="439" t="s">
        <v>2361</v>
      </c>
      <c r="G212" s="439" t="s">
        <v>2360</v>
      </c>
      <c r="H212" s="440">
        <v>170</v>
      </c>
    </row>
    <row r="213" spans="1:8">
      <c r="A213" s="439">
        <v>205</v>
      </c>
      <c r="B213" s="439" t="str">
        <f t="shared" si="17"/>
        <v>992110171</v>
      </c>
      <c r="C213" s="437" t="s">
        <v>2352</v>
      </c>
      <c r="D213" s="440" t="s">
        <v>2384</v>
      </c>
      <c r="E213" s="441">
        <v>44200</v>
      </c>
      <c r="F213" s="439" t="s">
        <v>2361</v>
      </c>
      <c r="G213" s="439" t="s">
        <v>2360</v>
      </c>
      <c r="H213" s="440">
        <v>171</v>
      </c>
    </row>
    <row r="214" spans="1:8">
      <c r="A214" s="439">
        <v>206</v>
      </c>
      <c r="B214" s="439" t="str">
        <f t="shared" si="17"/>
        <v>992110172</v>
      </c>
      <c r="C214" s="437" t="s">
        <v>2371</v>
      </c>
      <c r="D214" s="440" t="s">
        <v>1569</v>
      </c>
      <c r="E214" s="441">
        <v>44202</v>
      </c>
      <c r="F214" s="439" t="s">
        <v>2361</v>
      </c>
      <c r="G214" s="439" t="s">
        <v>2360</v>
      </c>
      <c r="H214" s="440">
        <v>172</v>
      </c>
    </row>
    <row r="215" spans="1:8">
      <c r="A215" s="439">
        <v>207</v>
      </c>
      <c r="B215" s="439" t="str">
        <f t="shared" si="17"/>
        <v>990173</v>
      </c>
      <c r="C215" s="437"/>
      <c r="D215" s="440"/>
      <c r="E215" s="441"/>
      <c r="F215" s="439"/>
      <c r="G215" s="439"/>
      <c r="H215" s="440">
        <v>173</v>
      </c>
    </row>
    <row r="216" spans="1:8">
      <c r="A216" s="439">
        <v>208</v>
      </c>
      <c r="B216" s="439" t="str">
        <f t="shared" si="17"/>
        <v>990174</v>
      </c>
      <c r="C216" s="437"/>
      <c r="D216" s="440"/>
      <c r="E216" s="441"/>
      <c r="F216" s="439"/>
      <c r="G216" s="439"/>
      <c r="H216" s="440">
        <v>174</v>
      </c>
    </row>
    <row r="217" spans="1:8">
      <c r="A217" s="439">
        <v>209</v>
      </c>
      <c r="B217" s="439" t="str">
        <f t="shared" si="17"/>
        <v>990175</v>
      </c>
      <c r="C217" s="437"/>
      <c r="D217" s="440"/>
      <c r="E217" s="441"/>
      <c r="F217" s="439"/>
      <c r="G217" s="439"/>
      <c r="H217" s="440">
        <v>175</v>
      </c>
    </row>
    <row r="218" spans="1:8">
      <c r="A218" s="439">
        <v>210</v>
      </c>
      <c r="B218" s="439" t="str">
        <f t="shared" si="17"/>
        <v>990176</v>
      </c>
      <c r="C218" s="437"/>
      <c r="D218" s="440"/>
      <c r="E218" s="441"/>
      <c r="F218" s="439"/>
      <c r="G218" s="439"/>
      <c r="H218" s="440">
        <v>176</v>
      </c>
    </row>
    <row r="219" spans="1:8">
      <c r="A219" s="439">
        <v>211</v>
      </c>
      <c r="B219" s="439" t="str">
        <f t="shared" si="17"/>
        <v>990177</v>
      </c>
      <c r="C219" s="437"/>
      <c r="D219" s="440"/>
      <c r="E219" s="441"/>
      <c r="F219" s="439"/>
      <c r="G219" s="439"/>
      <c r="H219" s="440">
        <v>177</v>
      </c>
    </row>
  </sheetData>
  <autoFilter ref="A5:H36">
    <filterColumn colId="0" showButton="0"/>
  </autoFilter>
  <dataConsolidate/>
  <mergeCells count="9">
    <mergeCell ref="F5:F7"/>
    <mergeCell ref="G5:G7"/>
    <mergeCell ref="H5:H7"/>
    <mergeCell ref="E5:E7"/>
    <mergeCell ref="A3:C3"/>
    <mergeCell ref="A5:A7"/>
    <mergeCell ref="B5:B7"/>
    <mergeCell ref="C5:C7"/>
    <mergeCell ref="D5:D7"/>
  </mergeCells>
  <phoneticPr fontId="101" type="noConversion"/>
  <printOptions horizontalCentered="1"/>
  <pageMargins left="0.25" right="0.25" top="0.25" bottom="0.25" header="0.25" footer="0.25"/>
  <pageSetup paperSize="9" scale="80" orientation="landscape" blackAndWhite="1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"/>
  <sheetViews>
    <sheetView zoomScale="115" zoomScaleNormal="115" workbookViewId="0">
      <selection activeCell="A10" activeCellId="8" sqref="A85 A81 A76 A69 A62 A48 A34 A22 A10"/>
    </sheetView>
  </sheetViews>
  <sheetFormatPr defaultColWidth="12" defaultRowHeight="12.75"/>
  <cols>
    <col min="1" max="1" width="4" style="632" bestFit="1" customWidth="1"/>
    <col min="2" max="2" width="33.140625" style="453" bestFit="1" customWidth="1"/>
    <col min="3" max="3" width="32.28515625" style="534" bestFit="1" customWidth="1"/>
    <col min="4" max="4" width="14.28515625" style="453" bestFit="1" customWidth="1"/>
    <col min="5" max="16384" width="12" style="453"/>
  </cols>
  <sheetData>
    <row r="1" spans="1:4" ht="40.5" customHeight="1">
      <c r="A1" s="874" t="s">
        <v>2327</v>
      </c>
      <c r="B1" s="874"/>
      <c r="C1" s="874"/>
      <c r="D1" s="874"/>
    </row>
    <row r="2" spans="1:4">
      <c r="A2" s="828" t="s">
        <v>1424</v>
      </c>
      <c r="B2" s="828"/>
      <c r="C2" s="440"/>
      <c r="D2" s="440"/>
    </row>
    <row r="3" spans="1:4">
      <c r="A3" s="669" t="s">
        <v>1556</v>
      </c>
      <c r="B3" s="669" t="s">
        <v>1553</v>
      </c>
      <c r="C3" s="875" t="s">
        <v>1435</v>
      </c>
      <c r="D3" s="875"/>
    </row>
    <row r="4" spans="1:4">
      <c r="A4" s="440">
        <v>1</v>
      </c>
      <c r="B4" s="437" t="s">
        <v>1687</v>
      </c>
      <c r="C4" s="440" t="s">
        <v>993</v>
      </c>
      <c r="D4" s="440" t="s">
        <v>344</v>
      </c>
    </row>
    <row r="5" spans="1:4">
      <c r="A5" s="638">
        <v>2</v>
      </c>
      <c r="B5" s="437" t="s">
        <v>398</v>
      </c>
      <c r="C5" s="440" t="s">
        <v>1295</v>
      </c>
      <c r="D5" s="440" t="s">
        <v>344</v>
      </c>
    </row>
    <row r="6" spans="1:4">
      <c r="A6" s="440">
        <v>3</v>
      </c>
      <c r="B6" s="437" t="s">
        <v>39</v>
      </c>
      <c r="C6" s="440" t="s">
        <v>440</v>
      </c>
      <c r="D6" s="440" t="s">
        <v>344</v>
      </c>
    </row>
    <row r="7" spans="1:4">
      <c r="A7" s="638">
        <v>4</v>
      </c>
      <c r="B7" s="437" t="s">
        <v>505</v>
      </c>
      <c r="C7" s="440" t="s">
        <v>994</v>
      </c>
      <c r="D7" s="440" t="s">
        <v>344</v>
      </c>
    </row>
    <row r="8" spans="1:4">
      <c r="A8" s="440">
        <v>5</v>
      </c>
      <c r="B8" s="437" t="s">
        <v>976</v>
      </c>
      <c r="C8" s="440" t="s">
        <v>1725</v>
      </c>
      <c r="D8" s="440" t="s">
        <v>344</v>
      </c>
    </row>
    <row r="9" spans="1:4">
      <c r="A9" s="638">
        <v>6</v>
      </c>
      <c r="B9" s="437" t="s">
        <v>1680</v>
      </c>
      <c r="C9" s="440" t="s">
        <v>1726</v>
      </c>
      <c r="D9" s="440" t="s">
        <v>344</v>
      </c>
    </row>
    <row r="10" spans="1:4">
      <c r="A10" s="440">
        <v>7</v>
      </c>
      <c r="B10" s="437" t="s">
        <v>1748</v>
      </c>
      <c r="C10" s="440" t="s">
        <v>1749</v>
      </c>
      <c r="D10" s="440" t="s">
        <v>344</v>
      </c>
    </row>
    <row r="11" spans="1:4">
      <c r="A11" s="566"/>
      <c r="B11" s="508"/>
      <c r="C11" s="509"/>
      <c r="D11" s="509"/>
    </row>
    <row r="12" spans="1:4">
      <c r="A12" s="828" t="s">
        <v>2292</v>
      </c>
      <c r="B12" s="828"/>
      <c r="C12" s="440"/>
      <c r="D12" s="440"/>
    </row>
    <row r="13" spans="1:4">
      <c r="A13" s="440">
        <v>1</v>
      </c>
      <c r="B13" s="437" t="s">
        <v>1362</v>
      </c>
      <c r="C13" s="440" t="s">
        <v>1363</v>
      </c>
      <c r="D13" s="440" t="s">
        <v>344</v>
      </c>
    </row>
    <row r="14" spans="1:4" ht="15.75" customHeight="1">
      <c r="A14" s="440">
        <v>2</v>
      </c>
      <c r="B14" s="437" t="s">
        <v>412</v>
      </c>
      <c r="C14" s="440" t="s">
        <v>99</v>
      </c>
      <c r="D14" s="440" t="s">
        <v>344</v>
      </c>
    </row>
    <row r="15" spans="1:4" ht="15.75" customHeight="1">
      <c r="A15" s="440">
        <v>3</v>
      </c>
      <c r="B15" s="437" t="s">
        <v>1349</v>
      </c>
      <c r="C15" s="440" t="s">
        <v>450</v>
      </c>
      <c r="D15" s="440" t="s">
        <v>344</v>
      </c>
    </row>
    <row r="16" spans="1:4">
      <c r="A16" s="440">
        <v>4</v>
      </c>
      <c r="B16" s="437" t="s">
        <v>1008</v>
      </c>
      <c r="C16" s="440" t="s">
        <v>1009</v>
      </c>
      <c r="D16" s="440" t="s">
        <v>344</v>
      </c>
    </row>
    <row r="17" spans="1:4">
      <c r="A17" s="440">
        <v>5</v>
      </c>
      <c r="B17" s="437" t="s">
        <v>1045</v>
      </c>
      <c r="C17" s="440" t="s">
        <v>1048</v>
      </c>
      <c r="D17" s="440" t="s">
        <v>344</v>
      </c>
    </row>
    <row r="18" spans="1:4">
      <c r="A18" s="440">
        <v>6</v>
      </c>
      <c r="B18" s="437" t="s">
        <v>1013</v>
      </c>
      <c r="C18" s="440" t="s">
        <v>1009</v>
      </c>
      <c r="D18" s="440" t="s">
        <v>344</v>
      </c>
    </row>
    <row r="19" spans="1:4">
      <c r="A19" s="440">
        <v>7</v>
      </c>
      <c r="B19" s="437" t="s">
        <v>1440</v>
      </c>
      <c r="C19" s="440" t="s">
        <v>1441</v>
      </c>
      <c r="D19" s="440" t="s">
        <v>344</v>
      </c>
    </row>
    <row r="20" spans="1:4">
      <c r="A20" s="440">
        <v>8</v>
      </c>
      <c r="B20" s="437" t="s">
        <v>2217</v>
      </c>
      <c r="C20" s="440" t="s">
        <v>2251</v>
      </c>
      <c r="D20" s="440" t="s">
        <v>344</v>
      </c>
    </row>
    <row r="21" spans="1:4">
      <c r="A21" s="440">
        <v>9</v>
      </c>
      <c r="B21" s="437" t="s">
        <v>2224</v>
      </c>
      <c r="C21" s="440" t="s">
        <v>2252</v>
      </c>
      <c r="D21" s="440" t="s">
        <v>344</v>
      </c>
    </row>
    <row r="22" spans="1:4">
      <c r="A22" s="440">
        <v>10</v>
      </c>
      <c r="B22" s="437" t="s">
        <v>1848</v>
      </c>
      <c r="C22" s="440" t="s">
        <v>1048</v>
      </c>
      <c r="D22" s="440" t="s">
        <v>344</v>
      </c>
    </row>
    <row r="23" spans="1:4">
      <c r="A23" s="566"/>
      <c r="B23" s="508"/>
      <c r="C23" s="509"/>
      <c r="D23" s="509"/>
    </row>
    <row r="24" spans="1:4">
      <c r="A24" s="828" t="s">
        <v>2291</v>
      </c>
      <c r="B24" s="828"/>
      <c r="C24" s="440"/>
      <c r="D24" s="440"/>
    </row>
    <row r="25" spans="1:4">
      <c r="A25" s="440">
        <v>1</v>
      </c>
      <c r="B25" s="437" t="s">
        <v>362</v>
      </c>
      <c r="C25" s="440" t="s">
        <v>363</v>
      </c>
      <c r="D25" s="440" t="s">
        <v>344</v>
      </c>
    </row>
    <row r="26" spans="1:4">
      <c r="A26" s="440">
        <v>2</v>
      </c>
      <c r="B26" s="437" t="s">
        <v>436</v>
      </c>
      <c r="C26" s="440" t="s">
        <v>67</v>
      </c>
      <c r="D26" s="440" t="s">
        <v>344</v>
      </c>
    </row>
    <row r="27" spans="1:4">
      <c r="A27" s="440">
        <v>3</v>
      </c>
      <c r="B27" s="437" t="s">
        <v>965</v>
      </c>
      <c r="C27" s="440" t="s">
        <v>966</v>
      </c>
      <c r="D27" s="440" t="s">
        <v>344</v>
      </c>
    </row>
    <row r="28" spans="1:4">
      <c r="A28" s="440">
        <v>4</v>
      </c>
      <c r="B28" s="437" t="s">
        <v>1113</v>
      </c>
      <c r="C28" s="440" t="s">
        <v>1071</v>
      </c>
      <c r="D28" s="440" t="s">
        <v>344</v>
      </c>
    </row>
    <row r="29" spans="1:4">
      <c r="A29" s="440">
        <v>5</v>
      </c>
      <c r="B29" s="437" t="s">
        <v>1672</v>
      </c>
      <c r="C29" s="440" t="s">
        <v>1673</v>
      </c>
      <c r="D29" s="440" t="s">
        <v>344</v>
      </c>
    </row>
    <row r="30" spans="1:4">
      <c r="A30" s="440">
        <v>6</v>
      </c>
      <c r="B30" s="437" t="s">
        <v>1695</v>
      </c>
      <c r="C30" s="440" t="s">
        <v>1009</v>
      </c>
      <c r="D30" s="440" t="s">
        <v>344</v>
      </c>
    </row>
    <row r="31" spans="1:4">
      <c r="A31" s="440">
        <v>7</v>
      </c>
      <c r="B31" s="437" t="s">
        <v>1731</v>
      </c>
      <c r="C31" s="440" t="s">
        <v>1009</v>
      </c>
      <c r="D31" s="440" t="s">
        <v>344</v>
      </c>
    </row>
    <row r="32" spans="1:4">
      <c r="A32" s="440">
        <v>8</v>
      </c>
      <c r="B32" s="437" t="s">
        <v>1732</v>
      </c>
      <c r="C32" s="440" t="s">
        <v>1009</v>
      </c>
      <c r="D32" s="440" t="s">
        <v>344</v>
      </c>
    </row>
    <row r="33" spans="1:4">
      <c r="A33" s="440">
        <v>9</v>
      </c>
      <c r="B33" s="437" t="s">
        <v>1759</v>
      </c>
      <c r="C33" s="440" t="s">
        <v>1724</v>
      </c>
      <c r="D33" s="440" t="s">
        <v>344</v>
      </c>
    </row>
    <row r="34" spans="1:4">
      <c r="A34" s="440">
        <v>10</v>
      </c>
      <c r="B34" s="437" t="s">
        <v>1854</v>
      </c>
      <c r="C34" s="440" t="s">
        <v>1009</v>
      </c>
      <c r="D34" s="440" t="s">
        <v>344</v>
      </c>
    </row>
    <row r="35" spans="1:4">
      <c r="A35" s="566"/>
      <c r="B35" s="508"/>
      <c r="C35" s="509"/>
      <c r="D35" s="509"/>
    </row>
    <row r="36" spans="1:4">
      <c r="A36" s="828" t="s">
        <v>363</v>
      </c>
      <c r="B36" s="828"/>
      <c r="C36" s="440"/>
      <c r="D36" s="440"/>
    </row>
    <row r="37" spans="1:4">
      <c r="A37" s="440">
        <v>1</v>
      </c>
      <c r="B37" s="437" t="s">
        <v>538</v>
      </c>
      <c r="C37" s="440" t="s">
        <v>450</v>
      </c>
      <c r="D37" s="440" t="s">
        <v>344</v>
      </c>
    </row>
    <row r="38" spans="1:4">
      <c r="A38" s="440">
        <v>2</v>
      </c>
      <c r="B38" s="437" t="s">
        <v>437</v>
      </c>
      <c r="C38" s="440" t="s">
        <v>450</v>
      </c>
      <c r="D38" s="440" t="s">
        <v>344</v>
      </c>
    </row>
    <row r="39" spans="1:4">
      <c r="A39" s="440">
        <v>3</v>
      </c>
      <c r="B39" s="437" t="s">
        <v>1378</v>
      </c>
      <c r="C39" s="440" t="s">
        <v>855</v>
      </c>
      <c r="D39" s="440" t="s">
        <v>344</v>
      </c>
    </row>
    <row r="40" spans="1:4" ht="15.75" customHeight="1">
      <c r="A40" s="440">
        <v>4</v>
      </c>
      <c r="B40" s="437" t="s">
        <v>1412</v>
      </c>
      <c r="C40" s="439" t="s">
        <v>1048</v>
      </c>
      <c r="D40" s="440" t="s">
        <v>344</v>
      </c>
    </row>
    <row r="41" spans="1:4">
      <c r="A41" s="440">
        <v>5</v>
      </c>
      <c r="B41" s="437" t="s">
        <v>1376</v>
      </c>
      <c r="C41" s="440" t="s">
        <v>1377</v>
      </c>
      <c r="D41" s="440" t="s">
        <v>344</v>
      </c>
    </row>
    <row r="42" spans="1:4">
      <c r="A42" s="440">
        <v>6</v>
      </c>
      <c r="B42" s="437" t="s">
        <v>1354</v>
      </c>
      <c r="C42" s="440" t="s">
        <v>450</v>
      </c>
      <c r="D42" s="440" t="s">
        <v>344</v>
      </c>
    </row>
    <row r="43" spans="1:4">
      <c r="A43" s="440">
        <v>7</v>
      </c>
      <c r="B43" s="437" t="s">
        <v>885</v>
      </c>
      <c r="C43" s="440" t="s">
        <v>450</v>
      </c>
      <c r="D43" s="440" t="s">
        <v>344</v>
      </c>
    </row>
    <row r="44" spans="1:4">
      <c r="A44" s="440">
        <v>8</v>
      </c>
      <c r="B44" s="437" t="s">
        <v>892</v>
      </c>
      <c r="C44" s="440" t="s">
        <v>893</v>
      </c>
      <c r="D44" s="440" t="s">
        <v>344</v>
      </c>
    </row>
    <row r="45" spans="1:4">
      <c r="A45" s="440">
        <v>9</v>
      </c>
      <c r="B45" s="437" t="s">
        <v>1106</v>
      </c>
      <c r="C45" s="440" t="s">
        <v>1071</v>
      </c>
      <c r="D45" s="440" t="s">
        <v>344</v>
      </c>
    </row>
    <row r="46" spans="1:4" ht="13.5" customHeight="1">
      <c r="A46" s="440">
        <v>10</v>
      </c>
      <c r="B46" s="437" t="s">
        <v>1118</v>
      </c>
      <c r="C46" s="440" t="s">
        <v>1071</v>
      </c>
      <c r="D46" s="440" t="s">
        <v>344</v>
      </c>
    </row>
    <row r="47" spans="1:4">
      <c r="A47" s="440">
        <v>11</v>
      </c>
      <c r="B47" s="437" t="s">
        <v>1593</v>
      </c>
      <c r="C47" s="440" t="s">
        <v>1463</v>
      </c>
      <c r="D47" s="440" t="s">
        <v>344</v>
      </c>
    </row>
    <row r="48" spans="1:4">
      <c r="A48" s="440">
        <v>12</v>
      </c>
      <c r="B48" s="437" t="s">
        <v>1903</v>
      </c>
      <c r="C48" s="440" t="s">
        <v>1910</v>
      </c>
      <c r="D48" s="440" t="s">
        <v>344</v>
      </c>
    </row>
    <row r="49" spans="1:4">
      <c r="A49" s="585"/>
      <c r="B49" s="594"/>
      <c r="C49" s="585"/>
      <c r="D49" s="585"/>
    </row>
    <row r="50" spans="1:4">
      <c r="A50" s="828" t="s">
        <v>1426</v>
      </c>
      <c r="B50" s="828"/>
      <c r="C50" s="440"/>
      <c r="D50" s="440"/>
    </row>
    <row r="51" spans="1:4">
      <c r="A51" s="440">
        <v>1</v>
      </c>
      <c r="B51" s="437" t="s">
        <v>1753</v>
      </c>
      <c r="C51" s="440" t="s">
        <v>1754</v>
      </c>
      <c r="D51" s="440" t="s">
        <v>344</v>
      </c>
    </row>
    <row r="52" spans="1:4">
      <c r="A52" s="638">
        <v>2</v>
      </c>
      <c r="B52" s="437" t="s">
        <v>74</v>
      </c>
      <c r="C52" s="440" t="s">
        <v>992</v>
      </c>
      <c r="D52" s="440" t="s">
        <v>344</v>
      </c>
    </row>
    <row r="53" spans="1:4">
      <c r="A53" s="440">
        <v>3</v>
      </c>
      <c r="B53" s="437" t="s">
        <v>66</v>
      </c>
      <c r="C53" s="440" t="s">
        <v>989</v>
      </c>
      <c r="D53" s="440" t="s">
        <v>344</v>
      </c>
    </row>
    <row r="54" spans="1:4">
      <c r="A54" s="638">
        <v>4</v>
      </c>
      <c r="B54" s="437" t="s">
        <v>687</v>
      </c>
      <c r="C54" s="440" t="s">
        <v>988</v>
      </c>
      <c r="D54" s="440" t="s">
        <v>344</v>
      </c>
    </row>
    <row r="55" spans="1:4">
      <c r="A55" s="440">
        <v>5</v>
      </c>
      <c r="B55" s="437" t="s">
        <v>88</v>
      </c>
      <c r="C55" s="440" t="s">
        <v>67</v>
      </c>
      <c r="D55" s="440" t="s">
        <v>344</v>
      </c>
    </row>
    <row r="56" spans="1:4">
      <c r="A56" s="638">
        <v>6</v>
      </c>
      <c r="B56" s="437" t="s">
        <v>211</v>
      </c>
      <c r="C56" s="440" t="s">
        <v>1033</v>
      </c>
      <c r="D56" s="440" t="s">
        <v>344</v>
      </c>
    </row>
    <row r="57" spans="1:4">
      <c r="A57" s="440">
        <v>7</v>
      </c>
      <c r="B57" s="437" t="s">
        <v>217</v>
      </c>
      <c r="C57" s="440" t="s">
        <v>991</v>
      </c>
      <c r="D57" s="440" t="s">
        <v>344</v>
      </c>
    </row>
    <row r="58" spans="1:4">
      <c r="A58" s="638">
        <v>8</v>
      </c>
      <c r="B58" s="437" t="s">
        <v>688</v>
      </c>
      <c r="C58" s="440" t="s">
        <v>990</v>
      </c>
      <c r="D58" s="440" t="s">
        <v>344</v>
      </c>
    </row>
    <row r="59" spans="1:4">
      <c r="A59" s="440">
        <v>9</v>
      </c>
      <c r="B59" s="498" t="s">
        <v>846</v>
      </c>
      <c r="C59" s="665" t="s">
        <v>847</v>
      </c>
      <c r="D59" s="440" t="s">
        <v>344</v>
      </c>
    </row>
    <row r="60" spans="1:4">
      <c r="A60" s="638">
        <v>10</v>
      </c>
      <c r="B60" s="396" t="s">
        <v>1862</v>
      </c>
      <c r="C60" s="440" t="s">
        <v>1863</v>
      </c>
      <c r="D60" s="440" t="s">
        <v>344</v>
      </c>
    </row>
    <row r="61" spans="1:4">
      <c r="A61" s="440">
        <v>11</v>
      </c>
      <c r="B61" s="437" t="s">
        <v>793</v>
      </c>
      <c r="C61" s="440" t="s">
        <v>794</v>
      </c>
      <c r="D61" s="440" t="s">
        <v>344</v>
      </c>
    </row>
    <row r="62" spans="1:4">
      <c r="A62" s="638">
        <v>12</v>
      </c>
      <c r="B62" s="437" t="s">
        <v>2312</v>
      </c>
      <c r="C62" s="440" t="s">
        <v>1863</v>
      </c>
      <c r="D62" s="440" t="s">
        <v>344</v>
      </c>
    </row>
    <row r="63" spans="1:4">
      <c r="A63" s="666"/>
      <c r="B63" s="528"/>
      <c r="C63" s="399"/>
      <c r="D63" s="399"/>
    </row>
    <row r="64" spans="1:4">
      <c r="A64" s="828" t="s">
        <v>1427</v>
      </c>
      <c r="B64" s="828"/>
      <c r="C64" s="440"/>
      <c r="D64" s="440"/>
    </row>
    <row r="65" spans="1:4">
      <c r="A65" s="440">
        <v>1</v>
      </c>
      <c r="B65" s="437" t="s">
        <v>503</v>
      </c>
      <c r="C65" s="440" t="s">
        <v>2320</v>
      </c>
      <c r="D65" s="440" t="s">
        <v>344</v>
      </c>
    </row>
    <row r="66" spans="1:4">
      <c r="A66" s="440">
        <v>2</v>
      </c>
      <c r="B66" s="377" t="s">
        <v>617</v>
      </c>
      <c r="C66" s="440" t="s">
        <v>1336</v>
      </c>
      <c r="D66" s="440" t="s">
        <v>344</v>
      </c>
    </row>
    <row r="67" spans="1:4">
      <c r="A67" s="440">
        <v>3</v>
      </c>
      <c r="B67" s="437" t="s">
        <v>1309</v>
      </c>
      <c r="C67" s="439" t="s">
        <v>502</v>
      </c>
      <c r="D67" s="440" t="s">
        <v>344</v>
      </c>
    </row>
    <row r="68" spans="1:4">
      <c r="A68" s="440">
        <v>4</v>
      </c>
      <c r="B68" s="667" t="s">
        <v>208</v>
      </c>
      <c r="C68" s="440" t="s">
        <v>501</v>
      </c>
      <c r="D68" s="440" t="s">
        <v>344</v>
      </c>
    </row>
    <row r="69" spans="1:4">
      <c r="A69" s="440">
        <v>5</v>
      </c>
      <c r="B69" s="668" t="s">
        <v>1740</v>
      </c>
      <c r="C69" s="440" t="s">
        <v>1336</v>
      </c>
      <c r="D69" s="440" t="s">
        <v>344</v>
      </c>
    </row>
    <row r="70" spans="1:4">
      <c r="A70" s="537"/>
      <c r="B70" s="538"/>
      <c r="C70" s="539"/>
      <c r="D70" s="427"/>
    </row>
    <row r="71" spans="1:4">
      <c r="A71" s="828" t="s">
        <v>1425</v>
      </c>
      <c r="B71" s="828"/>
      <c r="C71" s="439"/>
      <c r="D71" s="440"/>
    </row>
    <row r="72" spans="1:4">
      <c r="A72" s="440">
        <v>1</v>
      </c>
      <c r="B72" s="437" t="s">
        <v>1404</v>
      </c>
      <c r="C72" s="440" t="s">
        <v>995</v>
      </c>
      <c r="D72" s="440" t="s">
        <v>344</v>
      </c>
    </row>
    <row r="73" spans="1:4">
      <c r="A73" s="440">
        <v>2</v>
      </c>
      <c r="B73" s="437" t="s">
        <v>1382</v>
      </c>
      <c r="C73" s="440" t="s">
        <v>446</v>
      </c>
      <c r="D73" s="440" t="s">
        <v>344</v>
      </c>
    </row>
    <row r="74" spans="1:4">
      <c r="A74" s="440">
        <v>3</v>
      </c>
      <c r="B74" s="437" t="s">
        <v>920</v>
      </c>
      <c r="C74" s="440" t="s">
        <v>788</v>
      </c>
      <c r="D74" s="440" t="s">
        <v>344</v>
      </c>
    </row>
    <row r="75" spans="1:4">
      <c r="A75" s="440">
        <v>4</v>
      </c>
      <c r="B75" s="437" t="s">
        <v>1702</v>
      </c>
      <c r="C75" s="440" t="s">
        <v>1442</v>
      </c>
      <c r="D75" s="440" t="s">
        <v>344</v>
      </c>
    </row>
    <row r="76" spans="1:4">
      <c r="A76" s="440">
        <v>5</v>
      </c>
      <c r="B76" s="437" t="s">
        <v>2150</v>
      </c>
      <c r="C76" s="440" t="s">
        <v>995</v>
      </c>
      <c r="D76" s="440" t="s">
        <v>344</v>
      </c>
    </row>
    <row r="77" spans="1:4">
      <c r="A77" s="537"/>
      <c r="B77" s="538"/>
      <c r="C77" s="539"/>
      <c r="D77" s="427"/>
    </row>
    <row r="78" spans="1:4">
      <c r="A78" s="828" t="s">
        <v>1569</v>
      </c>
      <c r="B78" s="828"/>
      <c r="C78" s="440"/>
      <c r="D78" s="440"/>
    </row>
    <row r="79" spans="1:4">
      <c r="A79" s="638">
        <v>1</v>
      </c>
      <c r="B79" s="447" t="s">
        <v>1241</v>
      </c>
      <c r="C79" s="640" t="s">
        <v>1569</v>
      </c>
      <c r="D79" s="440"/>
    </row>
    <row r="80" spans="1:4">
      <c r="A80" s="638">
        <v>2</v>
      </c>
      <c r="B80" s="447" t="s">
        <v>1880</v>
      </c>
      <c r="C80" s="535" t="s">
        <v>1569</v>
      </c>
      <c r="D80" s="440" t="s">
        <v>344</v>
      </c>
    </row>
    <row r="81" spans="1:4">
      <c r="A81" s="638">
        <v>3</v>
      </c>
      <c r="B81" s="447" t="s">
        <v>1886</v>
      </c>
      <c r="C81" s="535" t="s">
        <v>1569</v>
      </c>
      <c r="D81" s="440" t="s">
        <v>344</v>
      </c>
    </row>
    <row r="82" spans="1:4">
      <c r="A82" s="427"/>
      <c r="B82" s="555"/>
      <c r="C82" s="427"/>
      <c r="D82" s="427"/>
    </row>
    <row r="83" spans="1:4">
      <c r="A83" s="828" t="s">
        <v>1242</v>
      </c>
      <c r="B83" s="828"/>
      <c r="C83" s="440"/>
      <c r="D83" s="440"/>
    </row>
    <row r="84" spans="1:4">
      <c r="A84" s="638">
        <v>1</v>
      </c>
      <c r="B84" s="447" t="s">
        <v>1402</v>
      </c>
      <c r="C84" s="535"/>
      <c r="D84" s="440" t="s">
        <v>2305</v>
      </c>
    </row>
    <row r="85" spans="1:4">
      <c r="A85" s="638">
        <v>2</v>
      </c>
      <c r="B85" s="447" t="s">
        <v>1495</v>
      </c>
      <c r="C85" s="640" t="s">
        <v>1496</v>
      </c>
      <c r="D85" s="440" t="s">
        <v>2305</v>
      </c>
    </row>
  </sheetData>
  <mergeCells count="11">
    <mergeCell ref="A1:D1"/>
    <mergeCell ref="C3:D3"/>
    <mergeCell ref="A78:B78"/>
    <mergeCell ref="A83:B83"/>
    <mergeCell ref="A64:B64"/>
    <mergeCell ref="A71:B71"/>
    <mergeCell ref="A12:B12"/>
    <mergeCell ref="A24:B24"/>
    <mergeCell ref="A36:B36"/>
    <mergeCell ref="A50:B50"/>
    <mergeCell ref="A2:B2"/>
  </mergeCells>
  <pageMargins left="1.26" right="0.12" top="0.78" bottom="0.92" header="0.12" footer="0.12"/>
  <pageSetup paperSize="9" scale="90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19"/>
  <sheetViews>
    <sheetView workbookViewId="0">
      <selection activeCell="L9" sqref="L9"/>
    </sheetView>
  </sheetViews>
  <sheetFormatPr defaultRowHeight="15"/>
  <cols>
    <col min="2" max="2" width="4" bestFit="1" customWidth="1"/>
    <col min="3" max="3" width="9.140625" style="643"/>
    <col min="4" max="4" width="32.28515625" bestFit="1" customWidth="1"/>
    <col min="5" max="5" width="32.28515625" style="643" bestFit="1" customWidth="1"/>
    <col min="6" max="6" width="7.85546875" bestFit="1" customWidth="1"/>
    <col min="8" max="8" width="12.85546875" bestFit="1" customWidth="1"/>
    <col min="9" max="9" width="17.28515625" bestFit="1" customWidth="1"/>
    <col min="11" max="11" width="21.85546875" bestFit="1" customWidth="1"/>
    <col min="12" max="12" width="13.85546875" bestFit="1" customWidth="1"/>
    <col min="13" max="13" width="8.28515625" bestFit="1" customWidth="1"/>
    <col min="14" max="14" width="9" bestFit="1" customWidth="1"/>
  </cols>
  <sheetData>
    <row r="1" spans="1:46" s="436" customFormat="1" ht="12.75">
      <c r="A1" s="568"/>
      <c r="B1" s="828" t="s">
        <v>1243</v>
      </c>
      <c r="C1" s="828"/>
      <c r="D1" s="633" t="s">
        <v>2047</v>
      </c>
      <c r="E1" s="460" t="s">
        <v>2048</v>
      </c>
      <c r="F1" s="460" t="s">
        <v>1435</v>
      </c>
      <c r="G1" s="462"/>
      <c r="H1" s="462" t="s">
        <v>2049</v>
      </c>
      <c r="I1" s="462" t="s">
        <v>2050</v>
      </c>
      <c r="J1" s="419"/>
      <c r="K1" s="419"/>
      <c r="L1" s="418"/>
      <c r="M1" s="418"/>
      <c r="N1" s="420"/>
      <c r="O1" s="420"/>
      <c r="P1" s="420"/>
      <c r="Q1" s="421"/>
      <c r="R1" s="422"/>
      <c r="S1" s="422"/>
      <c r="T1" s="417"/>
      <c r="U1" s="417"/>
      <c r="V1" s="417"/>
      <c r="W1" s="417"/>
      <c r="X1" s="420"/>
      <c r="Y1" s="420"/>
      <c r="Z1" s="420"/>
      <c r="AA1" s="420"/>
      <c r="AB1" s="420"/>
      <c r="AC1" s="420"/>
      <c r="AD1" s="420"/>
      <c r="AE1" s="420"/>
      <c r="AF1" s="420"/>
      <c r="AG1" s="420"/>
      <c r="AH1" s="420"/>
      <c r="AI1" s="423"/>
      <c r="AJ1" s="459"/>
      <c r="AK1" s="459"/>
      <c r="AL1" s="459"/>
      <c r="AM1" s="459"/>
      <c r="AN1" s="459"/>
      <c r="AO1" s="423"/>
      <c r="AP1" s="424"/>
      <c r="AQ1" s="419"/>
      <c r="AR1" s="460"/>
      <c r="AS1" s="460"/>
      <c r="AT1" s="505"/>
    </row>
    <row r="2" spans="1:46" s="436" customFormat="1" ht="12.75">
      <c r="B2" s="443">
        <v>1</v>
      </c>
      <c r="C2" s="447"/>
      <c r="D2" s="612" t="s">
        <v>2064</v>
      </c>
      <c r="E2" s="448" t="s">
        <v>1835</v>
      </c>
      <c r="F2" s="444" t="s">
        <v>133</v>
      </c>
      <c r="G2" s="416"/>
      <c r="H2" s="627">
        <v>35174</v>
      </c>
      <c r="I2" s="432" t="s">
        <v>1911</v>
      </c>
      <c r="K2" s="437" t="s">
        <v>1702</v>
      </c>
      <c r="L2" s="440" t="s">
        <v>1442</v>
      </c>
      <c r="M2" s="440" t="s">
        <v>344</v>
      </c>
      <c r="N2" s="441">
        <v>44111</v>
      </c>
      <c r="AP2" s="414"/>
    </row>
    <row r="3" spans="1:46" s="436" customFormat="1" ht="12.75">
      <c r="B3" s="443">
        <v>2</v>
      </c>
      <c r="C3" s="447"/>
      <c r="D3" s="613" t="s">
        <v>1796</v>
      </c>
      <c r="E3" s="614" t="s">
        <v>1796</v>
      </c>
      <c r="F3" s="444" t="s">
        <v>133</v>
      </c>
      <c r="G3" s="416"/>
      <c r="H3" s="443"/>
      <c r="I3" s="444"/>
      <c r="K3" s="644" t="s">
        <v>1661</v>
      </c>
      <c r="L3" s="440" t="s">
        <v>144</v>
      </c>
      <c r="M3" s="440" t="s">
        <v>344</v>
      </c>
      <c r="N3" s="441">
        <v>44082</v>
      </c>
      <c r="AP3" s="414"/>
    </row>
    <row r="4" spans="1:46" s="436" customFormat="1" ht="12.75">
      <c r="B4" s="443">
        <v>3</v>
      </c>
      <c r="C4" s="447"/>
      <c r="D4" s="613" t="s">
        <v>2144</v>
      </c>
      <c r="E4" s="614" t="s">
        <v>2031</v>
      </c>
      <c r="F4" s="616" t="s">
        <v>133</v>
      </c>
      <c r="G4" s="416"/>
      <c r="H4" s="627">
        <v>36201</v>
      </c>
      <c r="I4" s="432" t="s">
        <v>2033</v>
      </c>
      <c r="K4" s="437" t="s">
        <v>1715</v>
      </c>
      <c r="L4" s="440" t="s">
        <v>144</v>
      </c>
      <c r="M4" s="440" t="s">
        <v>344</v>
      </c>
      <c r="N4" s="441">
        <v>44114</v>
      </c>
      <c r="AP4" s="414"/>
    </row>
    <row r="5" spans="1:46" s="436" customFormat="1" ht="12.75">
      <c r="B5" s="443">
        <v>4</v>
      </c>
      <c r="C5" s="447"/>
      <c r="D5" s="612" t="s">
        <v>2097</v>
      </c>
      <c r="E5" s="448" t="s">
        <v>1826</v>
      </c>
      <c r="F5" s="444" t="s">
        <v>133</v>
      </c>
      <c r="G5" s="416"/>
      <c r="H5" s="627">
        <v>36035</v>
      </c>
      <c r="I5" s="432" t="s">
        <v>1912</v>
      </c>
      <c r="K5" s="437" t="s">
        <v>1568</v>
      </c>
      <c r="L5" s="440" t="s">
        <v>1569</v>
      </c>
      <c r="M5" s="440" t="s">
        <v>344</v>
      </c>
      <c r="N5" s="441">
        <v>44054</v>
      </c>
      <c r="AP5" s="414"/>
    </row>
    <row r="6" spans="1:46" s="436" customFormat="1" ht="12.75">
      <c r="B6" s="443">
        <v>5</v>
      </c>
      <c r="C6" s="447"/>
      <c r="D6" s="612" t="s">
        <v>2114</v>
      </c>
      <c r="E6" s="448" t="s">
        <v>1809</v>
      </c>
      <c r="F6" s="444" t="s">
        <v>133</v>
      </c>
      <c r="G6" s="416"/>
      <c r="H6" s="627">
        <v>36193</v>
      </c>
      <c r="I6" s="432" t="s">
        <v>1913</v>
      </c>
      <c r="AP6" s="414"/>
    </row>
    <row r="7" spans="1:46" s="436" customFormat="1" ht="12.75">
      <c r="B7" s="443">
        <v>6</v>
      </c>
      <c r="C7" s="447"/>
      <c r="D7" s="613" t="s">
        <v>1788</v>
      </c>
      <c r="E7" s="614" t="s">
        <v>1914</v>
      </c>
      <c r="F7" s="444" t="s">
        <v>133</v>
      </c>
      <c r="G7" s="416"/>
      <c r="H7" s="627">
        <v>34530</v>
      </c>
      <c r="I7" s="432" t="s">
        <v>1915</v>
      </c>
      <c r="AP7" s="414"/>
    </row>
    <row r="8" spans="1:46" s="436" customFormat="1" ht="12.75">
      <c r="B8" s="443">
        <v>7</v>
      </c>
      <c r="C8" s="447"/>
      <c r="D8" s="612" t="s">
        <v>2105</v>
      </c>
      <c r="E8" s="448" t="s">
        <v>1808</v>
      </c>
      <c r="F8" s="444" t="s">
        <v>133</v>
      </c>
      <c r="G8" s="416"/>
      <c r="H8" s="627">
        <v>37429</v>
      </c>
      <c r="I8" s="432" t="s">
        <v>1916</v>
      </c>
      <c r="AP8" s="414"/>
    </row>
    <row r="9" spans="1:46" s="436" customFormat="1" ht="12.75">
      <c r="B9" s="443">
        <v>8</v>
      </c>
      <c r="C9" s="447"/>
      <c r="D9" s="612" t="s">
        <v>2106</v>
      </c>
      <c r="E9" s="448" t="s">
        <v>1838</v>
      </c>
      <c r="F9" s="444" t="s">
        <v>133</v>
      </c>
      <c r="G9" s="416"/>
      <c r="H9" s="627">
        <v>34571</v>
      </c>
      <c r="I9" s="432" t="s">
        <v>1917</v>
      </c>
      <c r="AP9" s="414"/>
    </row>
    <row r="10" spans="1:46" s="436" customFormat="1" ht="12.75">
      <c r="B10" s="443">
        <v>9</v>
      </c>
      <c r="C10" s="447"/>
      <c r="D10" s="612" t="s">
        <v>1783</v>
      </c>
      <c r="E10" s="448" t="s">
        <v>1783</v>
      </c>
      <c r="F10" s="444" t="s">
        <v>133</v>
      </c>
      <c r="G10" s="416"/>
      <c r="H10" s="627">
        <v>33472</v>
      </c>
      <c r="I10" s="432" t="s">
        <v>1918</v>
      </c>
      <c r="AP10" s="414"/>
    </row>
    <row r="11" spans="1:46" s="436" customFormat="1" ht="12.75">
      <c r="B11" s="443">
        <v>10</v>
      </c>
      <c r="C11" s="447"/>
      <c r="D11" s="613" t="s">
        <v>2141</v>
      </c>
      <c r="E11" s="614" t="s">
        <v>2034</v>
      </c>
      <c r="F11" s="616" t="s">
        <v>133</v>
      </c>
      <c r="G11" s="416"/>
      <c r="H11" s="627">
        <v>37120</v>
      </c>
      <c r="I11" s="432" t="s">
        <v>2035</v>
      </c>
      <c r="AP11" s="414"/>
    </row>
    <row r="12" spans="1:46" s="436" customFormat="1" ht="12.75">
      <c r="B12" s="443">
        <v>11</v>
      </c>
      <c r="C12" s="447"/>
      <c r="D12" s="612" t="s">
        <v>2087</v>
      </c>
      <c r="E12" s="448" t="s">
        <v>1815</v>
      </c>
      <c r="F12" s="444" t="s">
        <v>133</v>
      </c>
      <c r="G12" s="416"/>
      <c r="H12" s="627">
        <v>36906</v>
      </c>
      <c r="I12" s="432" t="s">
        <v>1919</v>
      </c>
      <c r="AP12" s="414"/>
    </row>
    <row r="13" spans="1:46" s="436" customFormat="1" ht="12.75">
      <c r="B13" s="443">
        <v>12</v>
      </c>
      <c r="C13" s="447"/>
      <c r="D13" s="612" t="s">
        <v>2075</v>
      </c>
      <c r="E13" s="448" t="s">
        <v>1785</v>
      </c>
      <c r="F13" s="444" t="s">
        <v>133</v>
      </c>
      <c r="G13" s="416"/>
      <c r="H13" s="627">
        <v>37215</v>
      </c>
      <c r="I13" s="432" t="s">
        <v>1920</v>
      </c>
      <c r="AP13" s="414"/>
    </row>
    <row r="14" spans="1:46" s="436" customFormat="1" ht="12.75">
      <c r="B14" s="443">
        <v>13</v>
      </c>
      <c r="C14" s="447"/>
      <c r="D14" s="612" t="s">
        <v>2107</v>
      </c>
      <c r="E14" s="448" t="s">
        <v>1781</v>
      </c>
      <c r="F14" s="444" t="s">
        <v>133</v>
      </c>
      <c r="G14" s="416"/>
      <c r="H14" s="627">
        <v>34903</v>
      </c>
      <c r="I14" s="432" t="s">
        <v>1921</v>
      </c>
      <c r="AP14" s="414"/>
    </row>
    <row r="15" spans="1:46" s="436" customFormat="1" ht="12.75">
      <c r="B15" s="443">
        <v>14</v>
      </c>
      <c r="C15" s="447"/>
      <c r="D15" s="613" t="s">
        <v>2044</v>
      </c>
      <c r="E15" s="614" t="s">
        <v>1922</v>
      </c>
      <c r="F15" s="444" t="s">
        <v>133</v>
      </c>
      <c r="G15" s="416"/>
      <c r="H15" s="627">
        <v>36592</v>
      </c>
      <c r="I15" s="432" t="s">
        <v>1923</v>
      </c>
      <c r="AP15" s="414"/>
    </row>
    <row r="16" spans="1:46" s="436" customFormat="1" ht="12.75">
      <c r="B16" s="443">
        <v>15</v>
      </c>
      <c r="C16" s="447"/>
      <c r="D16" s="612" t="s">
        <v>2100</v>
      </c>
      <c r="E16" s="448" t="s">
        <v>1843</v>
      </c>
      <c r="F16" s="444" t="s">
        <v>133</v>
      </c>
      <c r="G16" s="416"/>
      <c r="H16" s="443"/>
      <c r="I16" s="444"/>
      <c r="AP16" s="414"/>
    </row>
    <row r="17" spans="2:42" s="436" customFormat="1" ht="12.75">
      <c r="B17" s="443">
        <v>16</v>
      </c>
      <c r="C17" s="447"/>
      <c r="D17" s="612" t="s">
        <v>2102</v>
      </c>
      <c r="E17" s="448" t="s">
        <v>1834</v>
      </c>
      <c r="F17" s="444" t="s">
        <v>133</v>
      </c>
      <c r="G17" s="416"/>
      <c r="H17" s="627">
        <v>36909</v>
      </c>
      <c r="I17" s="432" t="s">
        <v>1924</v>
      </c>
      <c r="AP17" s="414"/>
    </row>
    <row r="18" spans="2:42" s="436" customFormat="1" ht="12.75">
      <c r="B18" s="443">
        <v>17</v>
      </c>
      <c r="C18" s="447"/>
      <c r="D18" s="612" t="s">
        <v>2093</v>
      </c>
      <c r="E18" s="448" t="s">
        <v>1839</v>
      </c>
      <c r="F18" s="444" t="s">
        <v>133</v>
      </c>
      <c r="G18" s="416"/>
      <c r="H18" s="627">
        <v>34810</v>
      </c>
      <c r="I18" s="432" t="s">
        <v>1925</v>
      </c>
      <c r="AP18" s="414"/>
    </row>
    <row r="19" spans="2:42" s="436" customFormat="1" ht="12.75">
      <c r="B19" s="443">
        <v>18</v>
      </c>
      <c r="C19" s="447"/>
      <c r="D19" s="613" t="s">
        <v>1803</v>
      </c>
      <c r="E19" s="614" t="s">
        <v>2148</v>
      </c>
      <c r="F19" s="444" t="s">
        <v>133</v>
      </c>
      <c r="G19" s="416"/>
      <c r="H19" s="443"/>
      <c r="I19" s="444"/>
      <c r="AP19" s="414"/>
    </row>
    <row r="20" spans="2:42" s="436" customFormat="1" ht="12.75">
      <c r="B20" s="443">
        <v>19</v>
      </c>
      <c r="C20" s="447"/>
      <c r="D20" s="612" t="s">
        <v>2082</v>
      </c>
      <c r="E20" s="448" t="s">
        <v>1926</v>
      </c>
      <c r="F20" s="444" t="s">
        <v>133</v>
      </c>
      <c r="G20" s="416"/>
      <c r="H20" s="627">
        <v>36433</v>
      </c>
      <c r="I20" s="432" t="s">
        <v>1927</v>
      </c>
      <c r="AP20" s="414"/>
    </row>
    <row r="21" spans="2:42" s="436" customFormat="1" ht="12.75">
      <c r="B21" s="443">
        <v>20</v>
      </c>
      <c r="C21" s="447"/>
      <c r="D21" s="613" t="s">
        <v>1801</v>
      </c>
      <c r="E21" s="614" t="s">
        <v>1928</v>
      </c>
      <c r="F21" s="444" t="s">
        <v>133</v>
      </c>
      <c r="G21" s="416"/>
      <c r="H21" s="627">
        <v>36267</v>
      </c>
      <c r="I21" s="432" t="s">
        <v>1929</v>
      </c>
      <c r="AP21" s="414"/>
    </row>
    <row r="22" spans="2:42" s="436" customFormat="1" ht="12.75">
      <c r="B22" s="443">
        <v>21</v>
      </c>
      <c r="C22" s="447"/>
      <c r="D22" s="612" t="s">
        <v>2112</v>
      </c>
      <c r="E22" s="448" t="s">
        <v>1810</v>
      </c>
      <c r="F22" s="444" t="s">
        <v>133</v>
      </c>
      <c r="G22" s="416"/>
      <c r="H22" s="627">
        <v>37166</v>
      </c>
      <c r="I22" s="432" t="s">
        <v>1930</v>
      </c>
      <c r="AP22" s="414"/>
    </row>
    <row r="23" spans="2:42" s="436" customFormat="1" ht="12.75">
      <c r="B23" s="443">
        <v>22</v>
      </c>
      <c r="C23" s="447"/>
      <c r="D23" s="613" t="s">
        <v>1795</v>
      </c>
      <c r="E23" s="614" t="s">
        <v>2053</v>
      </c>
      <c r="F23" s="444" t="s">
        <v>133</v>
      </c>
      <c r="G23" s="416"/>
      <c r="H23" s="443"/>
      <c r="I23" s="444"/>
      <c r="AP23" s="414"/>
    </row>
    <row r="24" spans="2:42" s="436" customFormat="1" ht="12.75">
      <c r="B24" s="443">
        <v>23</v>
      </c>
      <c r="C24" s="447"/>
      <c r="D24" s="612" t="s">
        <v>2096</v>
      </c>
      <c r="E24" s="448" t="s">
        <v>1842</v>
      </c>
      <c r="F24" s="444" t="s">
        <v>133</v>
      </c>
      <c r="G24" s="416"/>
      <c r="H24" s="627">
        <v>36002</v>
      </c>
      <c r="I24" s="432" t="s">
        <v>1931</v>
      </c>
      <c r="AP24" s="414"/>
    </row>
    <row r="25" spans="2:42" s="436" customFormat="1" ht="12.75">
      <c r="B25" s="443">
        <v>24</v>
      </c>
      <c r="C25" s="447"/>
      <c r="D25" s="613" t="s">
        <v>2130</v>
      </c>
      <c r="E25" s="614" t="s">
        <v>1932</v>
      </c>
      <c r="F25" s="444" t="s">
        <v>133</v>
      </c>
      <c r="G25" s="416"/>
      <c r="H25" s="627">
        <v>35533</v>
      </c>
      <c r="I25" s="432" t="s">
        <v>1933</v>
      </c>
      <c r="AP25" s="414"/>
    </row>
    <row r="26" spans="2:42" s="436" customFormat="1" ht="12.75">
      <c r="B26" s="443">
        <v>25</v>
      </c>
      <c r="C26" s="447"/>
      <c r="D26" s="613" t="s">
        <v>2051</v>
      </c>
      <c r="E26" s="614" t="s">
        <v>2052</v>
      </c>
      <c r="F26" s="444" t="s">
        <v>133</v>
      </c>
      <c r="G26" s="416"/>
      <c r="H26" s="443"/>
      <c r="I26" s="444"/>
      <c r="AP26" s="414"/>
    </row>
    <row r="27" spans="2:42" s="436" customFormat="1" ht="12.75">
      <c r="B27" s="443">
        <v>26</v>
      </c>
      <c r="C27" s="447"/>
      <c r="D27" s="612" t="s">
        <v>2092</v>
      </c>
      <c r="E27" s="448" t="s">
        <v>1814</v>
      </c>
      <c r="F27" s="444" t="s">
        <v>133</v>
      </c>
      <c r="G27" s="416"/>
      <c r="H27" s="627">
        <v>35752</v>
      </c>
      <c r="I27" s="432" t="s">
        <v>1934</v>
      </c>
      <c r="AP27" s="414"/>
    </row>
    <row r="28" spans="2:42" s="436" customFormat="1" ht="12.75">
      <c r="B28" s="443">
        <v>27</v>
      </c>
      <c r="C28" s="447"/>
      <c r="D28" s="612" t="s">
        <v>2066</v>
      </c>
      <c r="E28" s="448" t="s">
        <v>1782</v>
      </c>
      <c r="F28" s="444" t="s">
        <v>133</v>
      </c>
      <c r="G28" s="416"/>
      <c r="H28" s="627">
        <v>36062</v>
      </c>
      <c r="I28" s="432" t="s">
        <v>1935</v>
      </c>
      <c r="AP28" s="414"/>
    </row>
    <row r="29" spans="2:42" s="436" customFormat="1" ht="12.75">
      <c r="B29" s="443">
        <v>28</v>
      </c>
      <c r="C29" s="447"/>
      <c r="D29" s="613" t="s">
        <v>1791</v>
      </c>
      <c r="E29" s="614" t="s">
        <v>2022</v>
      </c>
      <c r="F29" s="444" t="s">
        <v>133</v>
      </c>
      <c r="G29" s="416"/>
      <c r="H29" s="627">
        <v>36491</v>
      </c>
      <c r="I29" s="432" t="s">
        <v>1936</v>
      </c>
      <c r="AP29" s="414"/>
    </row>
    <row r="30" spans="2:42" s="436" customFormat="1" ht="12.75">
      <c r="B30" s="443">
        <v>29</v>
      </c>
      <c r="C30" s="447"/>
      <c r="D30" s="612" t="s">
        <v>2076</v>
      </c>
      <c r="E30" s="448" t="s">
        <v>1784</v>
      </c>
      <c r="F30" s="444" t="s">
        <v>133</v>
      </c>
      <c r="G30" s="416"/>
      <c r="H30" s="627">
        <v>37335</v>
      </c>
      <c r="I30" s="432" t="s">
        <v>1937</v>
      </c>
      <c r="AP30" s="414"/>
    </row>
    <row r="31" spans="2:42" s="436" customFormat="1" ht="12.75">
      <c r="B31" s="443">
        <v>30</v>
      </c>
      <c r="C31" s="447"/>
      <c r="D31" s="612" t="s">
        <v>1822</v>
      </c>
      <c r="E31" s="448" t="s">
        <v>2023</v>
      </c>
      <c r="F31" s="444" t="s">
        <v>133</v>
      </c>
      <c r="G31" s="416"/>
      <c r="H31" s="627">
        <v>36507</v>
      </c>
      <c r="I31" s="432" t="s">
        <v>1938</v>
      </c>
      <c r="AP31" s="414"/>
    </row>
    <row r="32" spans="2:42" s="436" customFormat="1" ht="12.75">
      <c r="B32" s="443">
        <v>31</v>
      </c>
      <c r="C32" s="447"/>
      <c r="D32" s="612" t="s">
        <v>2061</v>
      </c>
      <c r="E32" s="448" t="s">
        <v>1939</v>
      </c>
      <c r="F32" s="444" t="s">
        <v>133</v>
      </c>
      <c r="G32" s="416"/>
      <c r="H32" s="627">
        <v>36615</v>
      </c>
      <c r="I32" s="432" t="s">
        <v>1940</v>
      </c>
      <c r="AP32" s="414"/>
    </row>
    <row r="33" spans="2:42" s="436" customFormat="1" ht="12.75">
      <c r="B33" s="443">
        <v>32</v>
      </c>
      <c r="C33" s="447"/>
      <c r="D33" s="612" t="s">
        <v>2109</v>
      </c>
      <c r="E33" s="448" t="s">
        <v>1805</v>
      </c>
      <c r="F33" s="444" t="s">
        <v>133</v>
      </c>
      <c r="G33" s="416"/>
      <c r="H33" s="627">
        <v>34700</v>
      </c>
      <c r="I33" s="432" t="s">
        <v>1941</v>
      </c>
      <c r="AP33" s="414"/>
    </row>
    <row r="34" spans="2:42" s="436" customFormat="1" ht="12.75">
      <c r="B34" s="443">
        <v>33</v>
      </c>
      <c r="C34" s="447"/>
      <c r="D34" s="612" t="s">
        <v>2062</v>
      </c>
      <c r="E34" s="448" t="s">
        <v>1807</v>
      </c>
      <c r="F34" s="444" t="s">
        <v>133</v>
      </c>
      <c r="G34" s="416"/>
      <c r="H34" s="443" t="s">
        <v>1942</v>
      </c>
      <c r="I34" s="432" t="s">
        <v>1943</v>
      </c>
      <c r="AP34" s="414"/>
    </row>
    <row r="35" spans="2:42" s="436" customFormat="1" ht="12.75">
      <c r="B35" s="443">
        <v>34</v>
      </c>
      <c r="C35" s="447"/>
      <c r="D35" s="612" t="s">
        <v>2045</v>
      </c>
      <c r="E35" s="448" t="s">
        <v>1825</v>
      </c>
      <c r="F35" s="444"/>
      <c r="G35" s="416"/>
      <c r="H35" s="627"/>
      <c r="I35" s="432"/>
      <c r="AP35" s="414"/>
    </row>
    <row r="36" spans="2:42" s="436" customFormat="1" ht="12.75">
      <c r="B36" s="443">
        <v>35</v>
      </c>
      <c r="C36" s="447"/>
      <c r="D36" s="613" t="s">
        <v>1793</v>
      </c>
      <c r="E36" s="614" t="s">
        <v>1944</v>
      </c>
      <c r="F36" s="444" t="s">
        <v>133</v>
      </c>
      <c r="G36" s="416"/>
      <c r="H36" s="627">
        <v>36681</v>
      </c>
      <c r="I36" s="432" t="s">
        <v>1945</v>
      </c>
      <c r="AP36" s="414"/>
    </row>
    <row r="37" spans="2:42" s="436" customFormat="1" ht="12.75">
      <c r="B37" s="443">
        <v>36</v>
      </c>
      <c r="C37" s="447"/>
      <c r="D37" s="612" t="s">
        <v>2084</v>
      </c>
      <c r="E37" s="448" t="s">
        <v>1821</v>
      </c>
      <c r="F37" s="444" t="s">
        <v>133</v>
      </c>
      <c r="G37" s="416"/>
      <c r="H37" s="627">
        <v>37313</v>
      </c>
      <c r="I37" s="432" t="s">
        <v>1946</v>
      </c>
      <c r="AP37" s="414"/>
    </row>
    <row r="38" spans="2:42" s="436" customFormat="1" ht="12.75">
      <c r="B38" s="443">
        <v>37</v>
      </c>
      <c r="C38" s="447"/>
      <c r="D38" s="612" t="s">
        <v>2083</v>
      </c>
      <c r="E38" s="448" t="s">
        <v>1830</v>
      </c>
      <c r="F38" s="444" t="s">
        <v>133</v>
      </c>
      <c r="G38" s="416"/>
      <c r="H38" s="627">
        <v>38049</v>
      </c>
      <c r="I38" s="432" t="s">
        <v>1947</v>
      </c>
      <c r="AP38" s="414"/>
    </row>
    <row r="39" spans="2:42" s="436" customFormat="1" ht="12.75">
      <c r="B39" s="443">
        <v>38</v>
      </c>
      <c r="C39" s="447"/>
      <c r="D39" s="613" t="s">
        <v>1787</v>
      </c>
      <c r="E39" s="614" t="s">
        <v>2121</v>
      </c>
      <c r="F39" s="444" t="s">
        <v>133</v>
      </c>
      <c r="G39" s="416"/>
      <c r="H39" s="627">
        <v>35152</v>
      </c>
      <c r="I39" s="432" t="s">
        <v>1948</v>
      </c>
      <c r="AP39" s="414"/>
    </row>
    <row r="40" spans="2:42" s="436" customFormat="1" ht="12.75">
      <c r="B40" s="443">
        <v>39</v>
      </c>
      <c r="C40" s="447"/>
      <c r="D40" s="613" t="s">
        <v>1800</v>
      </c>
      <c r="E40" s="614" t="s">
        <v>2057</v>
      </c>
      <c r="F40" s="444" t="s">
        <v>133</v>
      </c>
      <c r="G40" s="416"/>
      <c r="H40" s="443"/>
      <c r="I40" s="444"/>
      <c r="AP40" s="414"/>
    </row>
    <row r="41" spans="2:42" s="436" customFormat="1" ht="12.75">
      <c r="B41" s="443">
        <v>40</v>
      </c>
      <c r="C41" s="447"/>
      <c r="D41" s="612" t="s">
        <v>2069</v>
      </c>
      <c r="E41" s="448" t="s">
        <v>1949</v>
      </c>
      <c r="F41" s="444" t="s">
        <v>133</v>
      </c>
      <c r="G41" s="416"/>
      <c r="H41" s="627">
        <v>35239</v>
      </c>
      <c r="I41" s="432" t="s">
        <v>1950</v>
      </c>
      <c r="AP41" s="414"/>
    </row>
    <row r="42" spans="2:42" s="436" customFormat="1" ht="12.75">
      <c r="B42" s="443">
        <v>41</v>
      </c>
      <c r="C42" s="447"/>
      <c r="D42" s="612" t="s">
        <v>2116</v>
      </c>
      <c r="E42" s="448" t="s">
        <v>1811</v>
      </c>
      <c r="F42" s="444" t="s">
        <v>133</v>
      </c>
      <c r="G42" s="416"/>
      <c r="H42" s="627">
        <v>35614</v>
      </c>
      <c r="I42" s="432" t="s">
        <v>1951</v>
      </c>
      <c r="AP42" s="414"/>
    </row>
    <row r="43" spans="2:42" s="436" customFormat="1" ht="12.75">
      <c r="B43" s="443">
        <v>42</v>
      </c>
      <c r="C43" s="447"/>
      <c r="D43" s="613" t="s">
        <v>2046</v>
      </c>
      <c r="E43" s="447" t="s">
        <v>1818</v>
      </c>
      <c r="F43" s="444" t="s">
        <v>133</v>
      </c>
      <c r="G43" s="416"/>
      <c r="H43" s="627">
        <v>36467</v>
      </c>
      <c r="I43" s="432" t="s">
        <v>2009</v>
      </c>
      <c r="AP43" s="414"/>
    </row>
    <row r="44" spans="2:42" s="436" customFormat="1" ht="12.75">
      <c r="B44" s="443">
        <v>43</v>
      </c>
      <c r="C44" s="447"/>
      <c r="D44" s="613" t="s">
        <v>2128</v>
      </c>
      <c r="E44" s="614" t="s">
        <v>1952</v>
      </c>
      <c r="F44" s="444" t="s">
        <v>133</v>
      </c>
      <c r="G44" s="416"/>
      <c r="H44" s="627">
        <v>35194</v>
      </c>
      <c r="I44" s="432" t="s">
        <v>1953</v>
      </c>
      <c r="AP44" s="414"/>
    </row>
    <row r="45" spans="2:42" s="436" customFormat="1" ht="12.75">
      <c r="B45" s="443">
        <v>44</v>
      </c>
      <c r="C45" s="447"/>
      <c r="D45" s="613" t="s">
        <v>2124</v>
      </c>
      <c r="E45" s="614" t="s">
        <v>1954</v>
      </c>
      <c r="F45" s="444" t="s">
        <v>133</v>
      </c>
      <c r="G45" s="416"/>
      <c r="H45" s="627">
        <v>36822</v>
      </c>
      <c r="I45" s="432" t="s">
        <v>1955</v>
      </c>
      <c r="AP45" s="414"/>
    </row>
    <row r="46" spans="2:42" s="436" customFormat="1" ht="12.75">
      <c r="B46" s="443">
        <v>45</v>
      </c>
      <c r="C46" s="447"/>
      <c r="D46" s="613" t="s">
        <v>2125</v>
      </c>
      <c r="E46" s="614" t="s">
        <v>1956</v>
      </c>
      <c r="F46" s="444" t="s">
        <v>133</v>
      </c>
      <c r="G46" s="416"/>
      <c r="H46" s="627">
        <v>34446</v>
      </c>
      <c r="I46" s="432" t="s">
        <v>1957</v>
      </c>
      <c r="AP46" s="414"/>
    </row>
    <row r="47" spans="2:42" s="436" customFormat="1" ht="12.75">
      <c r="B47" s="443">
        <v>46</v>
      </c>
      <c r="C47" s="447"/>
      <c r="D47" s="612" t="s">
        <v>1820</v>
      </c>
      <c r="E47" s="448" t="s">
        <v>1820</v>
      </c>
      <c r="F47" s="444" t="s">
        <v>133</v>
      </c>
      <c r="G47" s="416"/>
      <c r="H47" s="627">
        <v>36931</v>
      </c>
      <c r="I47" s="432" t="s">
        <v>1958</v>
      </c>
      <c r="AP47" s="414"/>
    </row>
    <row r="48" spans="2:42" s="436" customFormat="1" ht="12.75">
      <c r="B48" s="443">
        <v>47</v>
      </c>
      <c r="C48" s="447"/>
      <c r="D48" s="612" t="s">
        <v>2115</v>
      </c>
      <c r="E48" s="448" t="s">
        <v>1812</v>
      </c>
      <c r="F48" s="444" t="s">
        <v>133</v>
      </c>
      <c r="G48" s="416"/>
      <c r="H48" s="627">
        <v>35659</v>
      </c>
      <c r="I48" s="432" t="s">
        <v>1959</v>
      </c>
      <c r="AP48" s="414"/>
    </row>
    <row r="49" spans="2:42" s="436" customFormat="1" ht="12.75">
      <c r="B49" s="443">
        <v>48</v>
      </c>
      <c r="C49" s="447"/>
      <c r="D49" s="612" t="s">
        <v>2101</v>
      </c>
      <c r="E49" s="448" t="s">
        <v>1833</v>
      </c>
      <c r="F49" s="444" t="s">
        <v>133</v>
      </c>
      <c r="G49" s="416"/>
      <c r="H49" s="627">
        <v>37442</v>
      </c>
      <c r="I49" s="432" t="s">
        <v>1960</v>
      </c>
      <c r="AP49" s="414"/>
    </row>
    <row r="50" spans="2:42" s="436" customFormat="1" ht="12.75">
      <c r="B50" s="443">
        <v>49</v>
      </c>
      <c r="C50" s="447"/>
      <c r="D50" s="613" t="s">
        <v>2142</v>
      </c>
      <c r="E50" s="447" t="s">
        <v>2026</v>
      </c>
      <c r="F50" s="616" t="s">
        <v>133</v>
      </c>
      <c r="G50" s="416"/>
      <c r="H50" s="627">
        <v>35213</v>
      </c>
      <c r="I50" s="432" t="s">
        <v>2027</v>
      </c>
      <c r="AP50" s="414"/>
    </row>
    <row r="51" spans="2:42" s="436" customFormat="1" ht="12.75">
      <c r="B51" s="443">
        <v>50</v>
      </c>
      <c r="C51" s="447"/>
      <c r="D51" s="611" t="s">
        <v>2042</v>
      </c>
      <c r="E51" s="614" t="s">
        <v>2042</v>
      </c>
      <c r="F51" s="616" t="s">
        <v>133</v>
      </c>
      <c r="G51" s="416"/>
      <c r="H51" s="627">
        <v>37163</v>
      </c>
      <c r="I51" s="432" t="s">
        <v>2043</v>
      </c>
      <c r="AP51" s="414"/>
    </row>
    <row r="52" spans="2:42" s="436" customFormat="1" ht="12.75">
      <c r="B52" s="443">
        <v>51</v>
      </c>
      <c r="C52" s="447"/>
      <c r="D52" s="612" t="s">
        <v>1607</v>
      </c>
      <c r="E52" s="448" t="s">
        <v>1607</v>
      </c>
      <c r="F52" s="415" t="s">
        <v>133</v>
      </c>
      <c r="G52" s="615"/>
      <c r="H52" s="619"/>
      <c r="I52" s="415"/>
      <c r="AP52" s="414"/>
    </row>
    <row r="53" spans="2:42" s="436" customFormat="1" ht="12.75">
      <c r="B53" s="443">
        <v>52</v>
      </c>
      <c r="C53" s="447"/>
      <c r="D53" s="613" t="s">
        <v>1847</v>
      </c>
      <c r="E53" s="614" t="s">
        <v>1961</v>
      </c>
      <c r="F53" s="444" t="s">
        <v>133</v>
      </c>
      <c r="G53" s="416"/>
      <c r="H53" s="627">
        <v>36633</v>
      </c>
      <c r="I53" s="432" t="s">
        <v>1962</v>
      </c>
      <c r="AP53" s="414"/>
    </row>
    <row r="54" spans="2:42" s="436" customFormat="1" ht="12.75">
      <c r="B54" s="443">
        <v>53</v>
      </c>
      <c r="C54" s="447"/>
      <c r="D54" s="613" t="s">
        <v>1786</v>
      </c>
      <c r="E54" s="614" t="s">
        <v>1963</v>
      </c>
      <c r="F54" s="444" t="s">
        <v>133</v>
      </c>
      <c r="G54" s="416"/>
      <c r="H54" s="627">
        <v>34868</v>
      </c>
      <c r="I54" s="432" t="s">
        <v>1964</v>
      </c>
      <c r="AP54" s="414"/>
    </row>
    <row r="55" spans="2:42" s="436" customFormat="1" ht="12.75">
      <c r="B55" s="443">
        <v>54</v>
      </c>
      <c r="C55" s="447"/>
      <c r="D55" s="612" t="s">
        <v>2081</v>
      </c>
      <c r="E55" s="448" t="s">
        <v>1823</v>
      </c>
      <c r="F55" s="444" t="s">
        <v>133</v>
      </c>
      <c r="G55" s="416"/>
      <c r="H55" s="627">
        <v>37349</v>
      </c>
      <c r="I55" s="432" t="s">
        <v>1965</v>
      </c>
      <c r="AP55" s="414"/>
    </row>
    <row r="56" spans="2:42" s="436" customFormat="1" ht="12.75">
      <c r="B56" s="443">
        <v>55</v>
      </c>
      <c r="C56" s="447"/>
      <c r="D56" s="612" t="s">
        <v>2086</v>
      </c>
      <c r="E56" s="448" t="s">
        <v>1816</v>
      </c>
      <c r="F56" s="444" t="s">
        <v>133</v>
      </c>
      <c r="G56" s="416"/>
      <c r="H56" s="443"/>
      <c r="I56" s="444"/>
      <c r="AP56" s="414"/>
    </row>
    <row r="57" spans="2:42" s="436" customFormat="1" ht="12.75">
      <c r="B57" s="443">
        <v>56</v>
      </c>
      <c r="C57" s="447"/>
      <c r="D57" s="612" t="s">
        <v>2091</v>
      </c>
      <c r="E57" s="448" t="s">
        <v>1780</v>
      </c>
      <c r="F57" s="444" t="s">
        <v>133</v>
      </c>
      <c r="G57" s="416"/>
      <c r="H57" s="627">
        <v>33972</v>
      </c>
      <c r="I57" s="432" t="s">
        <v>1966</v>
      </c>
      <c r="AP57" s="414"/>
    </row>
    <row r="58" spans="2:42" s="436" customFormat="1" ht="12.75">
      <c r="B58" s="443">
        <v>57</v>
      </c>
      <c r="C58" s="447"/>
      <c r="D58" s="613" t="s">
        <v>2146</v>
      </c>
      <c r="E58" s="614" t="s">
        <v>2036</v>
      </c>
      <c r="F58" s="616" t="s">
        <v>133</v>
      </c>
      <c r="G58" s="416"/>
      <c r="H58" s="627">
        <v>36488</v>
      </c>
      <c r="I58" s="432" t="s">
        <v>2037</v>
      </c>
      <c r="AP58" s="414"/>
    </row>
    <row r="59" spans="2:42" s="436" customFormat="1" ht="12.75">
      <c r="B59" s="443">
        <v>58</v>
      </c>
      <c r="C59" s="447"/>
      <c r="D59" s="612" t="s">
        <v>2085</v>
      </c>
      <c r="E59" s="448" t="s">
        <v>1837</v>
      </c>
      <c r="F59" s="444" t="s">
        <v>133</v>
      </c>
      <c r="G59" s="416"/>
      <c r="H59" s="627">
        <v>36076</v>
      </c>
      <c r="I59" s="432" t="s">
        <v>1967</v>
      </c>
      <c r="AP59" s="414"/>
    </row>
    <row r="60" spans="2:42" s="436" customFormat="1" ht="12.75">
      <c r="B60" s="443">
        <v>59</v>
      </c>
      <c r="C60" s="447"/>
      <c r="D60" s="613" t="s">
        <v>1798</v>
      </c>
      <c r="E60" s="614" t="s">
        <v>2024</v>
      </c>
      <c r="F60" s="444" t="s">
        <v>133</v>
      </c>
      <c r="G60" s="416"/>
      <c r="H60" s="443"/>
      <c r="I60" s="444"/>
      <c r="AP60" s="414"/>
    </row>
    <row r="61" spans="2:42" s="436" customFormat="1" ht="12.75">
      <c r="B61" s="443">
        <v>60</v>
      </c>
      <c r="C61" s="447"/>
      <c r="D61" s="612" t="s">
        <v>1828</v>
      </c>
      <c r="E61" s="448" t="s">
        <v>1828</v>
      </c>
      <c r="F61" s="444" t="s">
        <v>133</v>
      </c>
      <c r="G61" s="416"/>
      <c r="H61" s="627">
        <v>36551</v>
      </c>
      <c r="I61" s="432" t="s">
        <v>1968</v>
      </c>
      <c r="AP61" s="414"/>
    </row>
    <row r="62" spans="2:42" s="436" customFormat="1" ht="12.75">
      <c r="B62" s="443">
        <v>61</v>
      </c>
      <c r="C62" s="447"/>
      <c r="D62" s="612" t="s">
        <v>2149</v>
      </c>
      <c r="E62" s="447" t="s">
        <v>2018</v>
      </c>
      <c r="F62" s="617" t="s">
        <v>133</v>
      </c>
      <c r="G62" s="416"/>
      <c r="H62" s="627">
        <v>37451</v>
      </c>
      <c r="I62" s="432" t="s">
        <v>2019</v>
      </c>
      <c r="AP62" s="414"/>
    </row>
    <row r="63" spans="2:42" s="436" customFormat="1" ht="12.75">
      <c r="B63" s="443">
        <v>62</v>
      </c>
      <c r="C63" s="447"/>
      <c r="D63" s="612" t="s">
        <v>2090</v>
      </c>
      <c r="E63" s="448" t="s">
        <v>1813</v>
      </c>
      <c r="F63" s="444" t="s">
        <v>133</v>
      </c>
      <c r="G63" s="416"/>
      <c r="H63" s="627">
        <v>34228</v>
      </c>
      <c r="I63" s="432" t="s">
        <v>1969</v>
      </c>
      <c r="AP63" s="414"/>
    </row>
    <row r="64" spans="2:42" s="436" customFormat="1" ht="12.75">
      <c r="B64" s="443">
        <v>63</v>
      </c>
      <c r="C64" s="447"/>
      <c r="D64" s="612" t="s">
        <v>2065</v>
      </c>
      <c r="E64" s="448" t="s">
        <v>1841</v>
      </c>
      <c r="F64" s="444" t="s">
        <v>133</v>
      </c>
      <c r="G64" s="416"/>
      <c r="H64" s="627">
        <v>35101</v>
      </c>
      <c r="I64" s="432" t="s">
        <v>1970</v>
      </c>
      <c r="AP64" s="414"/>
    </row>
    <row r="65" spans="2:42" s="436" customFormat="1" ht="12.75">
      <c r="B65" s="443">
        <v>64</v>
      </c>
      <c r="C65" s="447"/>
      <c r="D65" s="612" t="s">
        <v>2110</v>
      </c>
      <c r="E65" s="448" t="s">
        <v>1804</v>
      </c>
      <c r="F65" s="444" t="s">
        <v>133</v>
      </c>
      <c r="G65" s="416"/>
      <c r="H65" s="627">
        <v>37367</v>
      </c>
      <c r="I65" s="432" t="s">
        <v>1971</v>
      </c>
      <c r="AP65" s="414"/>
    </row>
    <row r="66" spans="2:42" s="436" customFormat="1" ht="12.75">
      <c r="B66" s="443">
        <v>65</v>
      </c>
      <c r="C66" s="447"/>
      <c r="D66" s="612" t="s">
        <v>2094</v>
      </c>
      <c r="E66" s="448" t="s">
        <v>1779</v>
      </c>
      <c r="F66" s="444" t="s">
        <v>133</v>
      </c>
      <c r="G66" s="416"/>
      <c r="H66" s="627">
        <v>35757</v>
      </c>
      <c r="I66" s="432" t="s">
        <v>1972</v>
      </c>
      <c r="AP66" s="414"/>
    </row>
    <row r="67" spans="2:42" s="436" customFormat="1" ht="12.75">
      <c r="B67" s="443">
        <v>66</v>
      </c>
      <c r="C67" s="447"/>
      <c r="D67" s="612" t="s">
        <v>2104</v>
      </c>
      <c r="E67" s="448" t="s">
        <v>1840</v>
      </c>
      <c r="F67" s="444" t="s">
        <v>133</v>
      </c>
      <c r="G67" s="416"/>
      <c r="H67" s="627">
        <v>37058</v>
      </c>
      <c r="I67" s="432" t="s">
        <v>1973</v>
      </c>
      <c r="AP67" s="414"/>
    </row>
    <row r="68" spans="2:42" s="436" customFormat="1" ht="12.75">
      <c r="B68" s="443">
        <v>67</v>
      </c>
      <c r="C68" s="447"/>
      <c r="D68" s="612" t="s">
        <v>2063</v>
      </c>
      <c r="E68" s="448" t="s">
        <v>1827</v>
      </c>
      <c r="F68" s="444" t="s">
        <v>133</v>
      </c>
      <c r="G68" s="416"/>
      <c r="H68" s="443"/>
      <c r="I68" s="444"/>
      <c r="AP68" s="414"/>
    </row>
    <row r="69" spans="2:42" s="436" customFormat="1" ht="12.75">
      <c r="B69" s="443">
        <v>68</v>
      </c>
      <c r="C69" s="447"/>
      <c r="D69" s="612" t="s">
        <v>2108</v>
      </c>
      <c r="E69" s="448" t="s">
        <v>1819</v>
      </c>
      <c r="F69" s="444" t="s">
        <v>133</v>
      </c>
      <c r="G69" s="416"/>
      <c r="H69" s="627">
        <v>37172</v>
      </c>
      <c r="I69" s="432" t="s">
        <v>1974</v>
      </c>
      <c r="AP69" s="414"/>
    </row>
    <row r="70" spans="2:42" s="436" customFormat="1" ht="12.75">
      <c r="B70" s="443">
        <v>69</v>
      </c>
      <c r="C70" s="447"/>
      <c r="D70" s="613" t="s">
        <v>1802</v>
      </c>
      <c r="E70" s="614" t="s">
        <v>2025</v>
      </c>
      <c r="F70" s="444" t="s">
        <v>133</v>
      </c>
      <c r="G70" s="416"/>
      <c r="H70" s="627">
        <v>35355</v>
      </c>
      <c r="I70" s="432" t="s">
        <v>1975</v>
      </c>
      <c r="AP70" s="414"/>
    </row>
    <row r="71" spans="2:42" s="436" customFormat="1" ht="12.75">
      <c r="B71" s="443">
        <v>70</v>
      </c>
      <c r="C71" s="447"/>
      <c r="D71" s="612" t="s">
        <v>2080</v>
      </c>
      <c r="E71" s="448" t="s">
        <v>1829</v>
      </c>
      <c r="F71" s="444" t="s">
        <v>133</v>
      </c>
      <c r="G71" s="416"/>
      <c r="H71" s="627">
        <v>35924</v>
      </c>
      <c r="I71" s="432" t="s">
        <v>1976</v>
      </c>
      <c r="AP71" s="414"/>
    </row>
    <row r="72" spans="2:42" s="436" customFormat="1" ht="12.75">
      <c r="B72" s="443">
        <v>71</v>
      </c>
      <c r="C72" s="447"/>
      <c r="D72" s="612" t="s">
        <v>2103</v>
      </c>
      <c r="E72" s="448" t="s">
        <v>1844</v>
      </c>
      <c r="F72" s="444" t="s">
        <v>133</v>
      </c>
      <c r="G72" s="416"/>
      <c r="H72" s="627">
        <v>37050</v>
      </c>
      <c r="I72" s="432" t="s">
        <v>1977</v>
      </c>
      <c r="AP72" s="414"/>
    </row>
    <row r="73" spans="2:42" s="436" customFormat="1" ht="12.75">
      <c r="B73" s="443">
        <v>72</v>
      </c>
      <c r="C73" s="447"/>
      <c r="D73" s="613" t="s">
        <v>1790</v>
      </c>
      <c r="E73" s="614" t="s">
        <v>1978</v>
      </c>
      <c r="F73" s="444" t="s">
        <v>133</v>
      </c>
      <c r="G73" s="416"/>
      <c r="H73" s="627">
        <v>36979</v>
      </c>
      <c r="I73" s="432" t="s">
        <v>1979</v>
      </c>
      <c r="AP73" s="414"/>
    </row>
    <row r="74" spans="2:42" s="436" customFormat="1" ht="12.75">
      <c r="B74" s="443">
        <v>73</v>
      </c>
      <c r="C74" s="447"/>
      <c r="D74" s="612" t="s">
        <v>2099</v>
      </c>
      <c r="E74" s="448" t="s">
        <v>1831</v>
      </c>
      <c r="F74" s="444" t="s">
        <v>133</v>
      </c>
      <c r="G74" s="416"/>
      <c r="H74" s="443"/>
      <c r="I74" s="444"/>
      <c r="AP74" s="414"/>
    </row>
    <row r="75" spans="2:42" s="436" customFormat="1" ht="12.75">
      <c r="B75" s="443">
        <v>74</v>
      </c>
      <c r="C75" s="447"/>
      <c r="D75" s="613" t="s">
        <v>1789</v>
      </c>
      <c r="E75" s="614" t="s">
        <v>1789</v>
      </c>
      <c r="F75" s="444" t="s">
        <v>133</v>
      </c>
      <c r="G75" s="416"/>
      <c r="H75" s="443"/>
      <c r="I75" s="444"/>
      <c r="AP75" s="414"/>
    </row>
    <row r="76" spans="2:42" s="436" customFormat="1" ht="12.75">
      <c r="B76" s="443">
        <v>75</v>
      </c>
      <c r="C76" s="447"/>
      <c r="D76" s="612" t="s">
        <v>1622</v>
      </c>
      <c r="E76" s="448" t="s">
        <v>1845</v>
      </c>
      <c r="F76" s="444" t="s">
        <v>133</v>
      </c>
      <c r="G76" s="416"/>
      <c r="H76" s="443"/>
      <c r="I76" s="444"/>
      <c r="AP76" s="414"/>
    </row>
    <row r="77" spans="2:42" s="436" customFormat="1" ht="12.75">
      <c r="B77" s="443">
        <v>76</v>
      </c>
      <c r="C77" s="447"/>
      <c r="D77" s="613" t="s">
        <v>2127</v>
      </c>
      <c r="E77" s="614" t="s">
        <v>1980</v>
      </c>
      <c r="F77" s="444" t="s">
        <v>133</v>
      </c>
      <c r="G77" s="416"/>
      <c r="H77" s="627">
        <v>37191</v>
      </c>
      <c r="I77" s="432" t="s">
        <v>1981</v>
      </c>
      <c r="AP77" s="414"/>
    </row>
    <row r="78" spans="2:42" s="436" customFormat="1" ht="12.75">
      <c r="B78" s="443">
        <v>77</v>
      </c>
      <c r="C78" s="447"/>
      <c r="D78" s="613" t="s">
        <v>2145</v>
      </c>
      <c r="E78" s="614" t="s">
        <v>2038</v>
      </c>
      <c r="F78" s="616" t="s">
        <v>133</v>
      </c>
      <c r="G78" s="416"/>
      <c r="H78" s="627">
        <v>34067</v>
      </c>
      <c r="I78" s="432" t="s">
        <v>2039</v>
      </c>
      <c r="AP78" s="414"/>
    </row>
    <row r="79" spans="2:42" s="436" customFormat="1" ht="12.75">
      <c r="B79" s="443">
        <v>78</v>
      </c>
      <c r="C79" s="447"/>
      <c r="D79" s="613" t="s">
        <v>1799</v>
      </c>
      <c r="E79" s="447" t="s">
        <v>2012</v>
      </c>
      <c r="F79" s="444" t="s">
        <v>133</v>
      </c>
      <c r="G79" s="416"/>
      <c r="H79" s="627">
        <v>35125</v>
      </c>
      <c r="I79" s="432" t="s">
        <v>2013</v>
      </c>
      <c r="AP79" s="414"/>
    </row>
    <row r="80" spans="2:42" s="436" customFormat="1" ht="12.75">
      <c r="B80" s="443">
        <v>79</v>
      </c>
      <c r="C80" s="447"/>
      <c r="D80" s="613" t="s">
        <v>2129</v>
      </c>
      <c r="E80" s="614" t="s">
        <v>2056</v>
      </c>
      <c r="F80" s="444" t="s">
        <v>133</v>
      </c>
      <c r="G80" s="416"/>
      <c r="H80" s="443"/>
      <c r="I80" s="444"/>
      <c r="AP80" s="414"/>
    </row>
    <row r="81" spans="1:46" s="436" customFormat="1" ht="12.75">
      <c r="B81" s="443">
        <v>80</v>
      </c>
      <c r="C81" s="447"/>
      <c r="D81" s="612" t="s">
        <v>2088</v>
      </c>
      <c r="E81" s="448" t="s">
        <v>1982</v>
      </c>
      <c r="F81" s="444" t="s">
        <v>133</v>
      </c>
      <c r="G81" s="416"/>
      <c r="H81" s="627">
        <v>36903</v>
      </c>
      <c r="I81" s="432" t="s">
        <v>1983</v>
      </c>
      <c r="AP81" s="414"/>
    </row>
    <row r="82" spans="1:46" s="436" customFormat="1" ht="12.75">
      <c r="B82" s="443">
        <v>81</v>
      </c>
      <c r="C82" s="447"/>
      <c r="D82" s="613" t="s">
        <v>2122</v>
      </c>
      <c r="E82" s="614" t="s">
        <v>1797</v>
      </c>
      <c r="F82" s="415" t="s">
        <v>133</v>
      </c>
      <c r="G82" s="615"/>
      <c r="H82" s="619"/>
      <c r="I82" s="415"/>
      <c r="AP82" s="414"/>
    </row>
    <row r="83" spans="1:46" s="436" customFormat="1" ht="12.75">
      <c r="B83" s="443">
        <v>82</v>
      </c>
      <c r="C83" s="447"/>
      <c r="D83" s="613" t="s">
        <v>2120</v>
      </c>
      <c r="E83" s="614" t="s">
        <v>1984</v>
      </c>
      <c r="F83" s="444" t="s">
        <v>133</v>
      </c>
      <c r="G83" s="416"/>
      <c r="H83" s="627">
        <v>36872</v>
      </c>
      <c r="I83" s="432" t="s">
        <v>1985</v>
      </c>
      <c r="AP83" s="414"/>
    </row>
    <row r="84" spans="1:46" s="436" customFormat="1" ht="12.75">
      <c r="B84" s="443">
        <v>83</v>
      </c>
      <c r="C84" s="447"/>
      <c r="D84" s="612" t="s">
        <v>2068</v>
      </c>
      <c r="E84" s="448" t="s">
        <v>1836</v>
      </c>
      <c r="F84" s="444" t="s">
        <v>133</v>
      </c>
      <c r="G84" s="416"/>
      <c r="H84" s="627">
        <v>36745</v>
      </c>
      <c r="I84" s="432" t="s">
        <v>1986</v>
      </c>
      <c r="AP84" s="414"/>
    </row>
    <row r="85" spans="1:46" s="453" customFormat="1" ht="12.75">
      <c r="A85" s="554"/>
      <c r="B85" s="443">
        <v>84</v>
      </c>
      <c r="C85" s="447"/>
      <c r="D85" s="612" t="s">
        <v>2067</v>
      </c>
      <c r="E85" s="448" t="s">
        <v>1824</v>
      </c>
      <c r="F85" s="535"/>
      <c r="G85" s="447"/>
      <c r="H85" s="639"/>
      <c r="I85" s="640"/>
      <c r="AP85" s="534"/>
    </row>
    <row r="86" spans="1:46" s="436" customFormat="1" ht="12.75">
      <c r="A86" s="562"/>
      <c r="B86" s="443">
        <v>85</v>
      </c>
      <c r="C86" s="642"/>
      <c r="D86" s="641" t="s">
        <v>2126</v>
      </c>
      <c r="E86" s="614" t="s">
        <v>1792</v>
      </c>
      <c r="F86" s="444" t="s">
        <v>133</v>
      </c>
      <c r="G86" s="416"/>
      <c r="H86" s="627">
        <v>37441</v>
      </c>
      <c r="I86" s="432" t="s">
        <v>1987</v>
      </c>
      <c r="AP86" s="414"/>
    </row>
    <row r="87" spans="1:46" s="436" customFormat="1" ht="12.75">
      <c r="A87" s="562"/>
      <c r="B87" s="443">
        <v>86</v>
      </c>
      <c r="C87" s="447"/>
      <c r="D87" s="613" t="s">
        <v>1794</v>
      </c>
      <c r="E87" s="614" t="s">
        <v>2054</v>
      </c>
      <c r="F87" s="444" t="s">
        <v>133</v>
      </c>
      <c r="G87" s="416"/>
      <c r="H87" s="443"/>
      <c r="I87" s="444"/>
      <c r="AP87" s="414"/>
    </row>
    <row r="88" spans="1:46" s="436" customFormat="1" ht="12.75">
      <c r="A88" s="562"/>
      <c r="B88" s="443">
        <v>87</v>
      </c>
      <c r="C88" s="447"/>
      <c r="D88" s="613" t="s">
        <v>2140</v>
      </c>
      <c r="E88" s="614" t="s">
        <v>2029</v>
      </c>
      <c r="F88" s="616" t="s">
        <v>133</v>
      </c>
      <c r="G88" s="416"/>
      <c r="H88" s="627">
        <v>36338</v>
      </c>
      <c r="I88" s="432" t="s">
        <v>2032</v>
      </c>
      <c r="AP88" s="414"/>
    </row>
    <row r="89" spans="1:46" s="453" customFormat="1" ht="12.75">
      <c r="A89" s="554"/>
      <c r="B89" s="443">
        <v>88</v>
      </c>
      <c r="C89" s="447"/>
      <c r="D89" s="613" t="s">
        <v>2131</v>
      </c>
      <c r="E89" s="614" t="s">
        <v>2055</v>
      </c>
      <c r="F89" s="444" t="s">
        <v>133</v>
      </c>
      <c r="G89" s="416"/>
      <c r="H89" s="443"/>
      <c r="I89" s="444"/>
      <c r="J89" s="436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36"/>
      <c r="Z89" s="436"/>
      <c r="AA89" s="436"/>
      <c r="AB89" s="436"/>
      <c r="AC89" s="436"/>
      <c r="AD89" s="436"/>
      <c r="AE89" s="436"/>
      <c r="AF89" s="436"/>
      <c r="AG89" s="436"/>
      <c r="AH89" s="436"/>
      <c r="AI89" s="436"/>
      <c r="AJ89" s="436"/>
      <c r="AK89" s="436"/>
      <c r="AL89" s="436"/>
      <c r="AM89" s="436"/>
      <c r="AN89" s="436"/>
      <c r="AO89" s="436"/>
      <c r="AP89" s="414"/>
      <c r="AQ89" s="436"/>
      <c r="AR89" s="436"/>
      <c r="AS89" s="436"/>
      <c r="AT89" s="436"/>
    </row>
    <row r="90" spans="1:46" s="489" customFormat="1" ht="12.75">
      <c r="B90" s="443">
        <v>89</v>
      </c>
      <c r="C90" s="447"/>
      <c r="D90" s="612" t="s">
        <v>2089</v>
      </c>
      <c r="E90" s="448" t="s">
        <v>1806</v>
      </c>
      <c r="F90" s="444" t="s">
        <v>133</v>
      </c>
      <c r="G90" s="416"/>
      <c r="H90" s="627">
        <v>35584</v>
      </c>
      <c r="I90" s="432" t="s">
        <v>1988</v>
      </c>
      <c r="J90" s="436"/>
      <c r="K90" s="436"/>
      <c r="L90" s="436"/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  <c r="X90" s="436"/>
      <c r="Y90" s="436"/>
      <c r="Z90" s="436"/>
      <c r="AA90" s="436"/>
      <c r="AB90" s="436"/>
      <c r="AC90" s="436"/>
      <c r="AD90" s="436"/>
      <c r="AE90" s="436"/>
      <c r="AF90" s="436"/>
      <c r="AG90" s="436"/>
      <c r="AH90" s="436"/>
      <c r="AI90" s="436"/>
      <c r="AJ90" s="436"/>
      <c r="AK90" s="436"/>
      <c r="AL90" s="436"/>
      <c r="AM90" s="436"/>
      <c r="AN90" s="436"/>
      <c r="AO90" s="436"/>
      <c r="AP90" s="414"/>
      <c r="AQ90" s="436"/>
      <c r="AR90" s="436"/>
      <c r="AS90" s="436"/>
      <c r="AT90" s="436"/>
    </row>
    <row r="91" spans="1:46" s="445" customFormat="1" ht="12.75">
      <c r="B91" s="443">
        <v>90</v>
      </c>
      <c r="C91" s="447"/>
      <c r="D91" s="612" t="s">
        <v>2098</v>
      </c>
      <c r="E91" s="448" t="s">
        <v>1832</v>
      </c>
      <c r="F91" s="444" t="s">
        <v>133</v>
      </c>
      <c r="G91" s="416"/>
      <c r="H91" s="627">
        <v>36342</v>
      </c>
      <c r="I91" s="432" t="s">
        <v>1989</v>
      </c>
      <c r="J91" s="436"/>
      <c r="K91" s="436"/>
      <c r="L91" s="436"/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  <c r="X91" s="436"/>
      <c r="Y91" s="436"/>
      <c r="Z91" s="436"/>
      <c r="AA91" s="436"/>
      <c r="AB91" s="436"/>
      <c r="AC91" s="436"/>
      <c r="AD91" s="436"/>
      <c r="AE91" s="436"/>
      <c r="AF91" s="436"/>
      <c r="AG91" s="436"/>
      <c r="AH91" s="436"/>
      <c r="AI91" s="436"/>
      <c r="AJ91" s="436"/>
      <c r="AK91" s="436"/>
      <c r="AL91" s="436"/>
      <c r="AM91" s="436"/>
      <c r="AN91" s="436"/>
      <c r="AO91" s="436"/>
      <c r="AP91" s="414"/>
      <c r="AQ91" s="436"/>
      <c r="AR91" s="436"/>
      <c r="AS91" s="436"/>
      <c r="AT91" s="436"/>
    </row>
    <row r="92" spans="1:46" s="436" customFormat="1" ht="12.75">
      <c r="A92" s="445"/>
      <c r="B92" s="443">
        <v>91</v>
      </c>
      <c r="C92" s="447"/>
      <c r="D92" s="613" t="s">
        <v>2123</v>
      </c>
      <c r="E92" s="614" t="s">
        <v>1990</v>
      </c>
      <c r="F92" s="415" t="s">
        <v>133</v>
      </c>
      <c r="G92" s="615"/>
      <c r="H92" s="628">
        <v>35625</v>
      </c>
      <c r="I92" s="625" t="s">
        <v>1991</v>
      </c>
      <c r="AP92" s="414"/>
    </row>
    <row r="93" spans="1:46" s="436" customFormat="1" ht="12.75">
      <c r="A93" s="445"/>
      <c r="B93" s="443">
        <v>92</v>
      </c>
      <c r="C93" s="447"/>
      <c r="D93" s="613" t="s">
        <v>2143</v>
      </c>
      <c r="E93" s="614" t="s">
        <v>2028</v>
      </c>
      <c r="F93" s="616" t="s">
        <v>133</v>
      </c>
      <c r="G93" s="416"/>
      <c r="H93" s="627">
        <v>34253</v>
      </c>
      <c r="I93" s="432" t="s">
        <v>2030</v>
      </c>
      <c r="AP93" s="414"/>
    </row>
    <row r="94" spans="1:46" s="436" customFormat="1" ht="12.75">
      <c r="A94" s="445"/>
      <c r="B94" s="443">
        <v>93</v>
      </c>
      <c r="C94" s="447"/>
      <c r="D94" s="611" t="s">
        <v>2040</v>
      </c>
      <c r="E94" s="614" t="s">
        <v>2040</v>
      </c>
      <c r="F94" s="616" t="s">
        <v>133</v>
      </c>
      <c r="G94" s="416"/>
      <c r="H94" s="627">
        <v>36697</v>
      </c>
      <c r="I94" s="432" t="s">
        <v>2041</v>
      </c>
      <c r="AP94" s="414"/>
    </row>
    <row r="95" spans="1:46" s="436" customFormat="1" ht="12.75">
      <c r="A95" s="445"/>
      <c r="B95" s="443">
        <v>94</v>
      </c>
      <c r="C95" s="447"/>
      <c r="D95" s="612" t="s">
        <v>2117</v>
      </c>
      <c r="E95" s="448" t="s">
        <v>1846</v>
      </c>
      <c r="F95" s="444" t="s">
        <v>133</v>
      </c>
      <c r="G95" s="416"/>
      <c r="H95" s="443"/>
      <c r="I95" s="444"/>
      <c r="AP95" s="414"/>
    </row>
    <row r="96" spans="1:46" s="453" customFormat="1" ht="12.75">
      <c r="A96" s="632"/>
      <c r="B96" s="443">
        <v>95</v>
      </c>
      <c r="C96" s="447"/>
      <c r="D96" s="612" t="s">
        <v>2077</v>
      </c>
      <c r="E96" s="448" t="s">
        <v>1817</v>
      </c>
      <c r="F96" s="535"/>
      <c r="G96" s="447"/>
      <c r="H96" s="638"/>
      <c r="I96" s="535"/>
      <c r="AP96" s="534"/>
    </row>
    <row r="97" spans="1:16380" s="436" customFormat="1" ht="12.75">
      <c r="A97" s="445"/>
      <c r="B97" s="443">
        <v>96</v>
      </c>
      <c r="C97" s="447"/>
      <c r="D97" s="613" t="s">
        <v>2132</v>
      </c>
      <c r="E97" s="614" t="s">
        <v>1992</v>
      </c>
      <c r="F97" s="444" t="s">
        <v>133</v>
      </c>
      <c r="G97" s="416"/>
      <c r="H97" s="627">
        <v>34089</v>
      </c>
      <c r="I97" s="432" t="s">
        <v>1993</v>
      </c>
      <c r="AP97" s="414"/>
    </row>
    <row r="98" spans="1:16380" s="436" customFormat="1" ht="12.75">
      <c r="A98" s="445"/>
      <c r="B98" s="443">
        <v>97</v>
      </c>
      <c r="C98" s="447"/>
      <c r="D98" s="613" t="s">
        <v>1613</v>
      </c>
      <c r="E98" s="447" t="s">
        <v>1994</v>
      </c>
      <c r="F98" s="444" t="s">
        <v>133</v>
      </c>
      <c r="G98" s="416"/>
      <c r="H98" s="443"/>
      <c r="I98" s="444"/>
      <c r="AP98" s="414"/>
    </row>
    <row r="99" spans="1:16380" s="436" customFormat="1" ht="12.75">
      <c r="A99" s="445"/>
      <c r="B99" s="443">
        <v>98</v>
      </c>
      <c r="C99" s="447"/>
      <c r="D99" s="613" t="s">
        <v>2111</v>
      </c>
      <c r="E99" s="447" t="s">
        <v>1995</v>
      </c>
      <c r="F99" s="444" t="s">
        <v>133</v>
      </c>
      <c r="G99" s="416"/>
      <c r="H99" s="627">
        <v>37199</v>
      </c>
      <c r="I99" s="432" t="s">
        <v>1996</v>
      </c>
      <c r="AP99" s="414"/>
      <c r="AV99" s="445"/>
      <c r="AW99" s="414"/>
      <c r="AZ99" s="445"/>
      <c r="BA99" s="414"/>
      <c r="BD99" s="445"/>
      <c r="BE99" s="414"/>
      <c r="BH99" s="445"/>
      <c r="BI99" s="414"/>
      <c r="BL99" s="445"/>
      <c r="BM99" s="414"/>
      <c r="BP99" s="445"/>
      <c r="BQ99" s="414"/>
      <c r="BT99" s="445"/>
      <c r="BU99" s="414"/>
      <c r="BX99" s="445"/>
      <c r="BY99" s="414"/>
      <c r="CB99" s="445"/>
      <c r="CC99" s="414"/>
      <c r="CF99" s="445"/>
      <c r="CG99" s="414"/>
      <c r="CJ99" s="445"/>
      <c r="CK99" s="414"/>
      <c r="CN99" s="445"/>
      <c r="CO99" s="414"/>
      <c r="CR99" s="445"/>
      <c r="CS99" s="414"/>
      <c r="CV99" s="445"/>
      <c r="CW99" s="414"/>
      <c r="CZ99" s="445"/>
      <c r="DA99" s="414"/>
      <c r="DD99" s="445"/>
      <c r="DE99" s="414"/>
      <c r="DH99" s="445"/>
      <c r="DI99" s="414"/>
      <c r="DL99" s="445"/>
      <c r="DM99" s="414"/>
      <c r="DP99" s="445"/>
      <c r="DQ99" s="414"/>
      <c r="DT99" s="445"/>
      <c r="DU99" s="414"/>
      <c r="DX99" s="445"/>
      <c r="DY99" s="414"/>
      <c r="EB99" s="445"/>
      <c r="EC99" s="414"/>
      <c r="EF99" s="445"/>
      <c r="EG99" s="414"/>
      <c r="EJ99" s="445"/>
      <c r="EK99" s="414"/>
      <c r="EN99" s="445"/>
      <c r="EO99" s="414"/>
      <c r="ER99" s="445"/>
      <c r="ES99" s="414"/>
      <c r="EV99" s="445"/>
      <c r="EW99" s="414"/>
      <c r="EZ99" s="445"/>
      <c r="FA99" s="414"/>
      <c r="FD99" s="445"/>
      <c r="FE99" s="414"/>
      <c r="FH99" s="445"/>
      <c r="FI99" s="414"/>
      <c r="FL99" s="445"/>
      <c r="FM99" s="414"/>
      <c r="FP99" s="445"/>
      <c r="FQ99" s="414"/>
      <c r="FT99" s="445"/>
      <c r="FU99" s="414"/>
      <c r="FX99" s="445"/>
      <c r="FY99" s="414"/>
      <c r="GB99" s="445"/>
      <c r="GC99" s="414"/>
      <c r="GF99" s="445"/>
      <c r="GG99" s="414"/>
      <c r="GJ99" s="445"/>
      <c r="GK99" s="414"/>
      <c r="GN99" s="445"/>
      <c r="GO99" s="414"/>
      <c r="GR99" s="445"/>
      <c r="GS99" s="414"/>
      <c r="GV99" s="445"/>
      <c r="GW99" s="414"/>
      <c r="GZ99" s="445"/>
      <c r="HA99" s="414"/>
      <c r="HD99" s="445"/>
      <c r="HE99" s="414"/>
      <c r="HH99" s="445"/>
      <c r="HI99" s="414"/>
      <c r="HL99" s="445"/>
      <c r="HM99" s="414"/>
      <c r="HP99" s="445"/>
      <c r="HQ99" s="414"/>
      <c r="HT99" s="445"/>
      <c r="HU99" s="414"/>
      <c r="HX99" s="445"/>
      <c r="HY99" s="414"/>
      <c r="IB99" s="445"/>
      <c r="IC99" s="414"/>
      <c r="IF99" s="445"/>
      <c r="IG99" s="414"/>
      <c r="IJ99" s="445"/>
      <c r="IK99" s="414"/>
      <c r="IN99" s="445"/>
      <c r="IO99" s="414"/>
      <c r="IR99" s="445"/>
      <c r="IS99" s="414"/>
      <c r="IV99" s="445"/>
      <c r="IW99" s="414"/>
      <c r="IZ99" s="445"/>
      <c r="JA99" s="414"/>
      <c r="JD99" s="445"/>
      <c r="JE99" s="414"/>
      <c r="JH99" s="445"/>
      <c r="JI99" s="414"/>
      <c r="JL99" s="445"/>
      <c r="JM99" s="414"/>
      <c r="JP99" s="445"/>
      <c r="JQ99" s="414"/>
      <c r="JT99" s="445"/>
      <c r="JU99" s="414"/>
      <c r="JX99" s="445"/>
      <c r="JY99" s="414"/>
      <c r="KB99" s="445"/>
      <c r="KC99" s="414"/>
      <c r="KF99" s="445"/>
      <c r="KG99" s="414"/>
      <c r="KJ99" s="445"/>
      <c r="KK99" s="414"/>
      <c r="KN99" s="445"/>
      <c r="KO99" s="414"/>
      <c r="KR99" s="445"/>
      <c r="KS99" s="414"/>
      <c r="KV99" s="445"/>
      <c r="KW99" s="414"/>
      <c r="KZ99" s="445"/>
      <c r="LA99" s="414"/>
      <c r="LD99" s="445"/>
      <c r="LE99" s="414"/>
      <c r="LH99" s="445"/>
      <c r="LI99" s="414"/>
      <c r="LL99" s="445"/>
      <c r="LM99" s="414"/>
      <c r="LP99" s="445"/>
      <c r="LQ99" s="414"/>
      <c r="LT99" s="445"/>
      <c r="LU99" s="414"/>
      <c r="LX99" s="445"/>
      <c r="LY99" s="414"/>
      <c r="MB99" s="445"/>
      <c r="MC99" s="414"/>
      <c r="MF99" s="445"/>
      <c r="MG99" s="414"/>
      <c r="MJ99" s="445"/>
      <c r="MK99" s="414"/>
      <c r="MN99" s="445"/>
      <c r="MO99" s="414"/>
      <c r="MR99" s="445"/>
      <c r="MS99" s="414"/>
      <c r="MV99" s="445"/>
      <c r="MW99" s="414"/>
      <c r="MZ99" s="445"/>
      <c r="NA99" s="414"/>
      <c r="ND99" s="445"/>
      <c r="NE99" s="414"/>
      <c r="NH99" s="445"/>
      <c r="NI99" s="414"/>
      <c r="NL99" s="445"/>
      <c r="NM99" s="414"/>
      <c r="NP99" s="445"/>
      <c r="NQ99" s="414"/>
      <c r="NT99" s="445"/>
      <c r="NU99" s="414"/>
      <c r="NX99" s="445"/>
      <c r="NY99" s="414"/>
      <c r="OB99" s="445"/>
      <c r="OC99" s="414"/>
      <c r="OF99" s="445"/>
      <c r="OG99" s="414"/>
      <c r="OJ99" s="445"/>
      <c r="OK99" s="414"/>
      <c r="ON99" s="445"/>
      <c r="OO99" s="414"/>
      <c r="OR99" s="445"/>
      <c r="OS99" s="414"/>
      <c r="OV99" s="445"/>
      <c r="OW99" s="414"/>
      <c r="OZ99" s="445"/>
      <c r="PA99" s="414"/>
      <c r="PD99" s="445"/>
      <c r="PE99" s="414"/>
      <c r="PH99" s="445"/>
      <c r="PI99" s="414"/>
      <c r="PL99" s="445"/>
      <c r="PM99" s="414"/>
      <c r="PP99" s="445"/>
      <c r="PQ99" s="414"/>
      <c r="PT99" s="445"/>
      <c r="PU99" s="414"/>
      <c r="PX99" s="445"/>
      <c r="PY99" s="414"/>
      <c r="QB99" s="445"/>
      <c r="QC99" s="414"/>
      <c r="QF99" s="445"/>
      <c r="QG99" s="414"/>
      <c r="QJ99" s="445"/>
      <c r="QK99" s="414"/>
      <c r="QN99" s="445"/>
      <c r="QO99" s="414"/>
      <c r="QR99" s="445"/>
      <c r="QS99" s="414"/>
      <c r="QV99" s="445"/>
      <c r="QW99" s="414"/>
      <c r="QZ99" s="445"/>
      <c r="RA99" s="414"/>
      <c r="RD99" s="445"/>
      <c r="RE99" s="414"/>
      <c r="RH99" s="445"/>
      <c r="RI99" s="414"/>
      <c r="RL99" s="445"/>
      <c r="RM99" s="414"/>
      <c r="RP99" s="445"/>
      <c r="RQ99" s="414"/>
      <c r="RT99" s="445"/>
      <c r="RU99" s="414"/>
      <c r="RX99" s="445"/>
      <c r="RY99" s="414"/>
      <c r="SB99" s="445"/>
      <c r="SC99" s="414"/>
      <c r="SF99" s="445"/>
      <c r="SG99" s="414"/>
      <c r="SJ99" s="445"/>
      <c r="SK99" s="414"/>
      <c r="SN99" s="445"/>
      <c r="SO99" s="414"/>
      <c r="SR99" s="445"/>
      <c r="SS99" s="414"/>
      <c r="SV99" s="445"/>
      <c r="SW99" s="414"/>
      <c r="SZ99" s="445"/>
      <c r="TA99" s="414"/>
      <c r="TD99" s="445"/>
      <c r="TE99" s="414"/>
      <c r="TH99" s="445"/>
      <c r="TI99" s="414"/>
      <c r="TL99" s="445"/>
      <c r="TM99" s="414"/>
      <c r="TP99" s="445"/>
      <c r="TQ99" s="414"/>
      <c r="TT99" s="445"/>
      <c r="TU99" s="414"/>
      <c r="TX99" s="445"/>
      <c r="TY99" s="414"/>
      <c r="UB99" s="445"/>
      <c r="UC99" s="414"/>
      <c r="UF99" s="445"/>
      <c r="UG99" s="414"/>
      <c r="UJ99" s="445"/>
      <c r="UK99" s="414"/>
      <c r="UN99" s="445"/>
      <c r="UO99" s="414"/>
      <c r="UR99" s="445"/>
      <c r="US99" s="414"/>
      <c r="UV99" s="445"/>
      <c r="UW99" s="414"/>
      <c r="UZ99" s="445"/>
      <c r="VA99" s="414"/>
      <c r="VD99" s="445"/>
      <c r="VE99" s="414"/>
      <c r="VH99" s="445"/>
      <c r="VI99" s="414"/>
      <c r="VL99" s="445"/>
      <c r="VM99" s="414"/>
      <c r="VP99" s="445"/>
      <c r="VQ99" s="414"/>
      <c r="VT99" s="445"/>
      <c r="VU99" s="414"/>
      <c r="VX99" s="445"/>
      <c r="VY99" s="414"/>
      <c r="WB99" s="445"/>
      <c r="WC99" s="414"/>
      <c r="WF99" s="445"/>
      <c r="WG99" s="414"/>
      <c r="WJ99" s="445"/>
      <c r="WK99" s="414"/>
      <c r="WN99" s="445"/>
      <c r="WO99" s="414"/>
      <c r="WR99" s="445"/>
      <c r="WS99" s="414"/>
      <c r="WV99" s="445"/>
      <c r="WW99" s="414"/>
      <c r="WZ99" s="445"/>
      <c r="XA99" s="414"/>
      <c r="XD99" s="445"/>
      <c r="XE99" s="414"/>
      <c r="XH99" s="445"/>
      <c r="XI99" s="414"/>
      <c r="XL99" s="445"/>
      <c r="XM99" s="414"/>
      <c r="XP99" s="445"/>
      <c r="XQ99" s="414"/>
      <c r="XT99" s="445"/>
      <c r="XU99" s="414"/>
      <c r="XX99" s="445"/>
      <c r="XY99" s="414"/>
      <c r="YB99" s="445"/>
      <c r="YC99" s="414"/>
      <c r="YF99" s="445"/>
      <c r="YG99" s="414"/>
      <c r="YJ99" s="445"/>
      <c r="YK99" s="414"/>
      <c r="YN99" s="445"/>
      <c r="YO99" s="414"/>
      <c r="YR99" s="445"/>
      <c r="YS99" s="414"/>
      <c r="YV99" s="445"/>
      <c r="YW99" s="414"/>
      <c r="YZ99" s="445"/>
      <c r="ZA99" s="414"/>
      <c r="ZD99" s="445"/>
      <c r="ZE99" s="414"/>
      <c r="ZH99" s="445"/>
      <c r="ZI99" s="414"/>
      <c r="ZL99" s="445"/>
      <c r="ZM99" s="414"/>
      <c r="ZP99" s="445"/>
      <c r="ZQ99" s="414"/>
      <c r="ZT99" s="445"/>
      <c r="ZU99" s="414"/>
      <c r="ZX99" s="445"/>
      <c r="ZY99" s="414"/>
      <c r="AAB99" s="445"/>
      <c r="AAC99" s="414"/>
      <c r="AAF99" s="445"/>
      <c r="AAG99" s="414"/>
      <c r="AAJ99" s="445"/>
      <c r="AAK99" s="414"/>
      <c r="AAN99" s="445"/>
      <c r="AAO99" s="414"/>
      <c r="AAR99" s="445"/>
      <c r="AAS99" s="414"/>
      <c r="AAV99" s="445"/>
      <c r="AAW99" s="414"/>
      <c r="AAZ99" s="445"/>
      <c r="ABA99" s="414"/>
      <c r="ABD99" s="445"/>
      <c r="ABE99" s="414"/>
      <c r="ABH99" s="445"/>
      <c r="ABI99" s="414"/>
      <c r="ABL99" s="445"/>
      <c r="ABM99" s="414"/>
      <c r="ABP99" s="445"/>
      <c r="ABQ99" s="414"/>
      <c r="ABT99" s="445"/>
      <c r="ABU99" s="414"/>
      <c r="ABX99" s="445"/>
      <c r="ABY99" s="414"/>
      <c r="ACB99" s="445"/>
      <c r="ACC99" s="414"/>
      <c r="ACF99" s="445"/>
      <c r="ACG99" s="414"/>
      <c r="ACJ99" s="445"/>
      <c r="ACK99" s="414"/>
      <c r="ACN99" s="445"/>
      <c r="ACO99" s="414"/>
      <c r="ACR99" s="445"/>
      <c r="ACS99" s="414"/>
      <c r="ACV99" s="445"/>
      <c r="ACW99" s="414"/>
      <c r="ACZ99" s="445"/>
      <c r="ADA99" s="414"/>
      <c r="ADD99" s="445"/>
      <c r="ADE99" s="414"/>
      <c r="ADH99" s="445"/>
      <c r="ADI99" s="414"/>
      <c r="ADL99" s="445"/>
      <c r="ADM99" s="414"/>
      <c r="ADP99" s="445"/>
      <c r="ADQ99" s="414"/>
      <c r="ADT99" s="445"/>
      <c r="ADU99" s="414"/>
      <c r="ADX99" s="445"/>
      <c r="ADY99" s="414"/>
      <c r="AEB99" s="445"/>
      <c r="AEC99" s="414"/>
      <c r="AEF99" s="445"/>
      <c r="AEG99" s="414"/>
      <c r="AEJ99" s="445"/>
      <c r="AEK99" s="414"/>
      <c r="AEN99" s="445"/>
      <c r="AEO99" s="414"/>
      <c r="AER99" s="445"/>
      <c r="AES99" s="414"/>
      <c r="AEV99" s="445"/>
      <c r="AEW99" s="414"/>
      <c r="AEZ99" s="445"/>
      <c r="AFA99" s="414"/>
      <c r="AFD99" s="445"/>
      <c r="AFE99" s="414"/>
      <c r="AFH99" s="445"/>
      <c r="AFI99" s="414"/>
      <c r="AFL99" s="445"/>
      <c r="AFM99" s="414"/>
      <c r="AFP99" s="445"/>
      <c r="AFQ99" s="414"/>
      <c r="AFT99" s="445"/>
      <c r="AFU99" s="414"/>
      <c r="AFX99" s="445"/>
      <c r="AFY99" s="414"/>
      <c r="AGB99" s="445"/>
      <c r="AGC99" s="414"/>
      <c r="AGF99" s="445"/>
      <c r="AGG99" s="414"/>
      <c r="AGJ99" s="445"/>
      <c r="AGK99" s="414"/>
      <c r="AGN99" s="445"/>
      <c r="AGO99" s="414"/>
      <c r="AGR99" s="445"/>
      <c r="AGS99" s="414"/>
      <c r="AGV99" s="445"/>
      <c r="AGW99" s="414"/>
      <c r="AGZ99" s="445"/>
      <c r="AHA99" s="414"/>
      <c r="AHD99" s="445"/>
      <c r="AHE99" s="414"/>
      <c r="AHH99" s="445"/>
      <c r="AHI99" s="414"/>
      <c r="AHL99" s="445"/>
      <c r="AHM99" s="414"/>
      <c r="AHP99" s="445"/>
      <c r="AHQ99" s="414"/>
      <c r="AHT99" s="445"/>
      <c r="AHU99" s="414"/>
      <c r="AHX99" s="445"/>
      <c r="AHY99" s="414"/>
      <c r="AIB99" s="445"/>
      <c r="AIC99" s="414"/>
      <c r="AIF99" s="445"/>
      <c r="AIG99" s="414"/>
      <c r="AIJ99" s="445"/>
      <c r="AIK99" s="414"/>
      <c r="AIN99" s="445"/>
      <c r="AIO99" s="414"/>
      <c r="AIR99" s="445"/>
      <c r="AIS99" s="414"/>
      <c r="AIV99" s="445"/>
      <c r="AIW99" s="414"/>
      <c r="AIZ99" s="445"/>
      <c r="AJA99" s="414"/>
      <c r="AJD99" s="445"/>
      <c r="AJE99" s="414"/>
      <c r="AJH99" s="445"/>
      <c r="AJI99" s="414"/>
      <c r="AJL99" s="445"/>
      <c r="AJM99" s="414"/>
      <c r="AJP99" s="445"/>
      <c r="AJQ99" s="414"/>
      <c r="AJT99" s="445"/>
      <c r="AJU99" s="414"/>
      <c r="AJX99" s="445"/>
      <c r="AJY99" s="414"/>
      <c r="AKB99" s="445"/>
      <c r="AKC99" s="414"/>
      <c r="AKF99" s="445"/>
      <c r="AKG99" s="414"/>
      <c r="AKJ99" s="445"/>
      <c r="AKK99" s="414"/>
      <c r="AKN99" s="445"/>
      <c r="AKO99" s="414"/>
      <c r="AKR99" s="445"/>
      <c r="AKS99" s="414"/>
      <c r="AKV99" s="445"/>
      <c r="AKW99" s="414"/>
      <c r="AKZ99" s="445"/>
      <c r="ALA99" s="414"/>
      <c r="ALD99" s="445"/>
      <c r="ALE99" s="414"/>
      <c r="ALH99" s="445"/>
      <c r="ALI99" s="414"/>
      <c r="ALL99" s="445"/>
      <c r="ALM99" s="414"/>
      <c r="ALP99" s="445"/>
      <c r="ALQ99" s="414"/>
      <c r="ALT99" s="445"/>
      <c r="ALU99" s="414"/>
      <c r="ALX99" s="445"/>
      <c r="ALY99" s="414"/>
      <c r="AMB99" s="445"/>
      <c r="AMC99" s="414"/>
      <c r="AMF99" s="445"/>
      <c r="AMG99" s="414"/>
      <c r="AMJ99" s="445"/>
      <c r="AMK99" s="414"/>
      <c r="AMN99" s="445"/>
      <c r="AMO99" s="414"/>
      <c r="AMR99" s="445"/>
      <c r="AMS99" s="414"/>
      <c r="AMV99" s="445"/>
      <c r="AMW99" s="414"/>
      <c r="AMZ99" s="445"/>
      <c r="ANA99" s="414"/>
      <c r="AND99" s="445"/>
      <c r="ANE99" s="414"/>
      <c r="ANH99" s="445"/>
      <c r="ANI99" s="414"/>
      <c r="ANL99" s="445"/>
      <c r="ANM99" s="414"/>
      <c r="ANP99" s="445"/>
      <c r="ANQ99" s="414"/>
      <c r="ANT99" s="445"/>
      <c r="ANU99" s="414"/>
      <c r="ANX99" s="445"/>
      <c r="ANY99" s="414"/>
      <c r="AOB99" s="445"/>
      <c r="AOC99" s="414"/>
      <c r="AOF99" s="445"/>
      <c r="AOG99" s="414"/>
      <c r="AOJ99" s="445"/>
      <c r="AOK99" s="414"/>
      <c r="AON99" s="445"/>
      <c r="AOO99" s="414"/>
      <c r="AOR99" s="445"/>
      <c r="AOS99" s="414"/>
      <c r="AOV99" s="445"/>
      <c r="AOW99" s="414"/>
      <c r="AOZ99" s="445"/>
      <c r="APA99" s="414"/>
      <c r="APD99" s="445"/>
      <c r="APE99" s="414"/>
      <c r="APH99" s="445"/>
      <c r="API99" s="414"/>
      <c r="APL99" s="445"/>
      <c r="APM99" s="414"/>
      <c r="APP99" s="445"/>
      <c r="APQ99" s="414"/>
      <c r="APT99" s="445"/>
      <c r="APU99" s="414"/>
      <c r="APX99" s="445"/>
      <c r="APY99" s="414"/>
      <c r="AQB99" s="445"/>
      <c r="AQC99" s="414"/>
      <c r="AQF99" s="445"/>
      <c r="AQG99" s="414"/>
      <c r="AQJ99" s="445"/>
      <c r="AQK99" s="414"/>
      <c r="AQN99" s="445"/>
      <c r="AQO99" s="414"/>
      <c r="AQR99" s="445"/>
      <c r="AQS99" s="414"/>
      <c r="AQV99" s="445"/>
      <c r="AQW99" s="414"/>
      <c r="AQZ99" s="445"/>
      <c r="ARA99" s="414"/>
      <c r="ARD99" s="445"/>
      <c r="ARE99" s="414"/>
      <c r="ARH99" s="445"/>
      <c r="ARI99" s="414"/>
      <c r="ARL99" s="445"/>
      <c r="ARM99" s="414"/>
      <c r="ARP99" s="445"/>
      <c r="ARQ99" s="414"/>
      <c r="ART99" s="445"/>
      <c r="ARU99" s="414"/>
      <c r="ARX99" s="445"/>
      <c r="ARY99" s="414"/>
      <c r="ASB99" s="445"/>
      <c r="ASC99" s="414"/>
      <c r="ASF99" s="445"/>
      <c r="ASG99" s="414"/>
      <c r="ASJ99" s="445"/>
      <c r="ASK99" s="414"/>
      <c r="ASN99" s="445"/>
      <c r="ASO99" s="414"/>
      <c r="ASR99" s="445"/>
      <c r="ASS99" s="414"/>
      <c r="ASV99" s="445"/>
      <c r="ASW99" s="414"/>
      <c r="ASZ99" s="445"/>
      <c r="ATA99" s="414"/>
      <c r="ATD99" s="445"/>
      <c r="ATE99" s="414"/>
      <c r="ATH99" s="445"/>
      <c r="ATI99" s="414"/>
      <c r="ATL99" s="445"/>
      <c r="ATM99" s="414"/>
      <c r="ATP99" s="445"/>
      <c r="ATQ99" s="414"/>
      <c r="ATT99" s="445"/>
      <c r="ATU99" s="414"/>
      <c r="ATX99" s="445"/>
      <c r="ATY99" s="414"/>
      <c r="AUB99" s="445"/>
      <c r="AUC99" s="414"/>
      <c r="AUF99" s="445"/>
      <c r="AUG99" s="414"/>
      <c r="AUJ99" s="445"/>
      <c r="AUK99" s="414"/>
      <c r="AUN99" s="445"/>
      <c r="AUO99" s="414"/>
      <c r="AUR99" s="445"/>
      <c r="AUS99" s="414"/>
      <c r="AUV99" s="445"/>
      <c r="AUW99" s="414"/>
      <c r="AUZ99" s="445"/>
      <c r="AVA99" s="414"/>
      <c r="AVD99" s="445"/>
      <c r="AVE99" s="414"/>
      <c r="AVH99" s="445"/>
      <c r="AVI99" s="414"/>
      <c r="AVL99" s="445"/>
      <c r="AVM99" s="414"/>
      <c r="AVP99" s="445"/>
      <c r="AVQ99" s="414"/>
      <c r="AVT99" s="445"/>
      <c r="AVU99" s="414"/>
      <c r="AVX99" s="445"/>
      <c r="AVY99" s="414"/>
      <c r="AWB99" s="445"/>
      <c r="AWC99" s="414"/>
      <c r="AWF99" s="445"/>
      <c r="AWG99" s="414"/>
      <c r="AWJ99" s="445"/>
      <c r="AWK99" s="414"/>
      <c r="AWN99" s="445"/>
      <c r="AWO99" s="414"/>
      <c r="AWR99" s="445"/>
      <c r="AWS99" s="414"/>
      <c r="AWV99" s="445"/>
      <c r="AWW99" s="414"/>
      <c r="AWZ99" s="445"/>
      <c r="AXA99" s="414"/>
      <c r="AXD99" s="445"/>
      <c r="AXE99" s="414"/>
      <c r="AXH99" s="445"/>
      <c r="AXI99" s="414"/>
      <c r="AXL99" s="445"/>
      <c r="AXM99" s="414"/>
      <c r="AXP99" s="445"/>
      <c r="AXQ99" s="414"/>
      <c r="AXT99" s="445"/>
      <c r="AXU99" s="414"/>
      <c r="AXX99" s="445"/>
      <c r="AXY99" s="414"/>
      <c r="AYB99" s="445"/>
      <c r="AYC99" s="414"/>
      <c r="AYF99" s="445"/>
      <c r="AYG99" s="414"/>
      <c r="AYJ99" s="445"/>
      <c r="AYK99" s="414"/>
      <c r="AYN99" s="445"/>
      <c r="AYO99" s="414"/>
      <c r="AYR99" s="445"/>
      <c r="AYS99" s="414"/>
      <c r="AYV99" s="445"/>
      <c r="AYW99" s="414"/>
      <c r="AYZ99" s="445"/>
      <c r="AZA99" s="414"/>
      <c r="AZD99" s="445"/>
      <c r="AZE99" s="414"/>
      <c r="AZH99" s="445"/>
      <c r="AZI99" s="414"/>
      <c r="AZL99" s="445"/>
      <c r="AZM99" s="414"/>
      <c r="AZP99" s="445"/>
      <c r="AZQ99" s="414"/>
      <c r="AZT99" s="445"/>
      <c r="AZU99" s="414"/>
      <c r="AZX99" s="445"/>
      <c r="AZY99" s="414"/>
      <c r="BAB99" s="445"/>
      <c r="BAC99" s="414"/>
      <c r="BAF99" s="445"/>
      <c r="BAG99" s="414"/>
      <c r="BAJ99" s="445"/>
      <c r="BAK99" s="414"/>
      <c r="BAN99" s="445"/>
      <c r="BAO99" s="414"/>
      <c r="BAR99" s="445"/>
      <c r="BAS99" s="414"/>
      <c r="BAV99" s="445"/>
      <c r="BAW99" s="414"/>
      <c r="BAZ99" s="445"/>
      <c r="BBA99" s="414"/>
      <c r="BBD99" s="445"/>
      <c r="BBE99" s="414"/>
      <c r="BBH99" s="445"/>
      <c r="BBI99" s="414"/>
      <c r="BBL99" s="445"/>
      <c r="BBM99" s="414"/>
      <c r="BBP99" s="445"/>
      <c r="BBQ99" s="414"/>
      <c r="BBT99" s="445"/>
      <c r="BBU99" s="414"/>
      <c r="BBX99" s="445"/>
      <c r="BBY99" s="414"/>
      <c r="BCB99" s="445"/>
      <c r="BCC99" s="414"/>
      <c r="BCF99" s="445"/>
      <c r="BCG99" s="414"/>
      <c r="BCJ99" s="445"/>
      <c r="BCK99" s="414"/>
      <c r="BCN99" s="445"/>
      <c r="BCO99" s="414"/>
      <c r="BCR99" s="445"/>
      <c r="BCS99" s="414"/>
      <c r="BCV99" s="445"/>
      <c r="BCW99" s="414"/>
      <c r="BCZ99" s="445"/>
      <c r="BDA99" s="414"/>
      <c r="BDD99" s="445"/>
      <c r="BDE99" s="414"/>
      <c r="BDH99" s="445"/>
      <c r="BDI99" s="414"/>
      <c r="BDL99" s="445"/>
      <c r="BDM99" s="414"/>
      <c r="BDP99" s="445"/>
      <c r="BDQ99" s="414"/>
      <c r="BDT99" s="445"/>
      <c r="BDU99" s="414"/>
      <c r="BDX99" s="445"/>
      <c r="BDY99" s="414"/>
      <c r="BEB99" s="445"/>
      <c r="BEC99" s="414"/>
      <c r="BEF99" s="445"/>
      <c r="BEG99" s="414"/>
      <c r="BEJ99" s="445"/>
      <c r="BEK99" s="414"/>
      <c r="BEN99" s="445"/>
      <c r="BEO99" s="414"/>
      <c r="BER99" s="445"/>
      <c r="BES99" s="414"/>
      <c r="BEV99" s="445"/>
      <c r="BEW99" s="414"/>
      <c r="BEZ99" s="445"/>
      <c r="BFA99" s="414"/>
      <c r="BFD99" s="445"/>
      <c r="BFE99" s="414"/>
      <c r="BFH99" s="445"/>
      <c r="BFI99" s="414"/>
      <c r="BFL99" s="445"/>
      <c r="BFM99" s="414"/>
      <c r="BFP99" s="445"/>
      <c r="BFQ99" s="414"/>
      <c r="BFT99" s="445"/>
      <c r="BFU99" s="414"/>
      <c r="BFX99" s="445"/>
      <c r="BFY99" s="414"/>
      <c r="BGB99" s="445"/>
      <c r="BGC99" s="414"/>
      <c r="BGF99" s="445"/>
      <c r="BGG99" s="414"/>
      <c r="BGJ99" s="445"/>
      <c r="BGK99" s="414"/>
      <c r="BGN99" s="445"/>
      <c r="BGO99" s="414"/>
      <c r="BGR99" s="445"/>
      <c r="BGS99" s="414"/>
      <c r="BGV99" s="445"/>
      <c r="BGW99" s="414"/>
      <c r="BGZ99" s="445"/>
      <c r="BHA99" s="414"/>
      <c r="BHD99" s="445"/>
      <c r="BHE99" s="414"/>
      <c r="BHH99" s="445"/>
      <c r="BHI99" s="414"/>
      <c r="BHL99" s="445"/>
      <c r="BHM99" s="414"/>
      <c r="BHP99" s="445"/>
      <c r="BHQ99" s="414"/>
      <c r="BHT99" s="445"/>
      <c r="BHU99" s="414"/>
      <c r="BHX99" s="445"/>
      <c r="BHY99" s="414"/>
      <c r="BIB99" s="445"/>
      <c r="BIC99" s="414"/>
      <c r="BIF99" s="445"/>
      <c r="BIG99" s="414"/>
      <c r="BIJ99" s="445"/>
      <c r="BIK99" s="414"/>
      <c r="BIN99" s="445"/>
      <c r="BIO99" s="414"/>
      <c r="BIR99" s="445"/>
      <c r="BIS99" s="414"/>
      <c r="BIV99" s="445"/>
      <c r="BIW99" s="414"/>
      <c r="BIZ99" s="445"/>
      <c r="BJA99" s="414"/>
      <c r="BJD99" s="445"/>
      <c r="BJE99" s="414"/>
      <c r="BJH99" s="445"/>
      <c r="BJI99" s="414"/>
      <c r="BJL99" s="445"/>
      <c r="BJM99" s="414"/>
      <c r="BJP99" s="445"/>
      <c r="BJQ99" s="414"/>
      <c r="BJT99" s="445"/>
      <c r="BJU99" s="414"/>
      <c r="BJX99" s="445"/>
      <c r="BJY99" s="414"/>
      <c r="BKB99" s="445"/>
      <c r="BKC99" s="414"/>
      <c r="BKF99" s="445"/>
      <c r="BKG99" s="414"/>
      <c r="BKJ99" s="445"/>
      <c r="BKK99" s="414"/>
      <c r="BKN99" s="445"/>
      <c r="BKO99" s="414"/>
      <c r="BKR99" s="445"/>
      <c r="BKS99" s="414"/>
      <c r="BKV99" s="445"/>
      <c r="BKW99" s="414"/>
      <c r="BKZ99" s="445"/>
      <c r="BLA99" s="414"/>
      <c r="BLD99" s="445"/>
      <c r="BLE99" s="414"/>
      <c r="BLH99" s="445"/>
      <c r="BLI99" s="414"/>
      <c r="BLL99" s="445"/>
      <c r="BLM99" s="414"/>
      <c r="BLP99" s="445"/>
      <c r="BLQ99" s="414"/>
      <c r="BLT99" s="445"/>
      <c r="BLU99" s="414"/>
      <c r="BLX99" s="445"/>
      <c r="BLY99" s="414"/>
      <c r="BMB99" s="445"/>
      <c r="BMC99" s="414"/>
      <c r="BMF99" s="445"/>
      <c r="BMG99" s="414"/>
      <c r="BMJ99" s="445"/>
      <c r="BMK99" s="414"/>
      <c r="BMN99" s="445"/>
      <c r="BMO99" s="414"/>
      <c r="BMR99" s="445"/>
      <c r="BMS99" s="414"/>
      <c r="BMV99" s="445"/>
      <c r="BMW99" s="414"/>
      <c r="BMZ99" s="445"/>
      <c r="BNA99" s="414"/>
      <c r="BND99" s="445"/>
      <c r="BNE99" s="414"/>
      <c r="BNH99" s="445"/>
      <c r="BNI99" s="414"/>
      <c r="BNL99" s="445"/>
      <c r="BNM99" s="414"/>
      <c r="BNP99" s="445"/>
      <c r="BNQ99" s="414"/>
      <c r="BNT99" s="445"/>
      <c r="BNU99" s="414"/>
      <c r="BNX99" s="445"/>
      <c r="BNY99" s="414"/>
      <c r="BOB99" s="445"/>
      <c r="BOC99" s="414"/>
      <c r="BOF99" s="445"/>
      <c r="BOG99" s="414"/>
      <c r="BOJ99" s="445"/>
      <c r="BOK99" s="414"/>
      <c r="BON99" s="445"/>
      <c r="BOO99" s="414"/>
      <c r="BOR99" s="445"/>
      <c r="BOS99" s="414"/>
      <c r="BOV99" s="445"/>
      <c r="BOW99" s="414"/>
      <c r="BOZ99" s="445"/>
      <c r="BPA99" s="414"/>
      <c r="BPD99" s="445"/>
      <c r="BPE99" s="414"/>
      <c r="BPH99" s="445"/>
      <c r="BPI99" s="414"/>
      <c r="BPL99" s="445"/>
      <c r="BPM99" s="414"/>
      <c r="BPP99" s="445"/>
      <c r="BPQ99" s="414"/>
      <c r="BPT99" s="445"/>
      <c r="BPU99" s="414"/>
      <c r="BPX99" s="445"/>
      <c r="BPY99" s="414"/>
      <c r="BQB99" s="445"/>
      <c r="BQC99" s="414"/>
      <c r="BQF99" s="445"/>
      <c r="BQG99" s="414"/>
      <c r="BQJ99" s="445"/>
      <c r="BQK99" s="414"/>
      <c r="BQN99" s="445"/>
      <c r="BQO99" s="414"/>
      <c r="BQR99" s="445"/>
      <c r="BQS99" s="414"/>
      <c r="BQV99" s="445"/>
      <c r="BQW99" s="414"/>
      <c r="BQZ99" s="445"/>
      <c r="BRA99" s="414"/>
      <c r="BRD99" s="445"/>
      <c r="BRE99" s="414"/>
      <c r="BRH99" s="445"/>
      <c r="BRI99" s="414"/>
      <c r="BRL99" s="445"/>
      <c r="BRM99" s="414"/>
      <c r="BRP99" s="445"/>
      <c r="BRQ99" s="414"/>
      <c r="BRT99" s="445"/>
      <c r="BRU99" s="414"/>
      <c r="BRX99" s="445"/>
      <c r="BRY99" s="414"/>
      <c r="BSB99" s="445"/>
      <c r="BSC99" s="414"/>
      <c r="BSF99" s="445"/>
      <c r="BSG99" s="414"/>
      <c r="BSJ99" s="445"/>
      <c r="BSK99" s="414"/>
      <c r="BSN99" s="445"/>
      <c r="BSO99" s="414"/>
      <c r="BSR99" s="445"/>
      <c r="BSS99" s="414"/>
      <c r="BSV99" s="445"/>
      <c r="BSW99" s="414"/>
      <c r="BSZ99" s="445"/>
      <c r="BTA99" s="414"/>
      <c r="BTD99" s="445"/>
      <c r="BTE99" s="414"/>
      <c r="BTH99" s="445"/>
      <c r="BTI99" s="414"/>
      <c r="BTL99" s="445"/>
      <c r="BTM99" s="414"/>
      <c r="BTP99" s="445"/>
      <c r="BTQ99" s="414"/>
      <c r="BTT99" s="445"/>
      <c r="BTU99" s="414"/>
      <c r="BTX99" s="445"/>
      <c r="BTY99" s="414"/>
      <c r="BUB99" s="445"/>
      <c r="BUC99" s="414"/>
      <c r="BUF99" s="445"/>
      <c r="BUG99" s="414"/>
      <c r="BUJ99" s="445"/>
      <c r="BUK99" s="414"/>
      <c r="BUN99" s="445"/>
      <c r="BUO99" s="414"/>
      <c r="BUR99" s="445"/>
      <c r="BUS99" s="414"/>
      <c r="BUV99" s="445"/>
      <c r="BUW99" s="414"/>
      <c r="BUZ99" s="445"/>
      <c r="BVA99" s="414"/>
      <c r="BVD99" s="445"/>
      <c r="BVE99" s="414"/>
      <c r="BVH99" s="445"/>
      <c r="BVI99" s="414"/>
      <c r="BVL99" s="445"/>
      <c r="BVM99" s="414"/>
      <c r="BVP99" s="445"/>
      <c r="BVQ99" s="414"/>
      <c r="BVT99" s="445"/>
      <c r="BVU99" s="414"/>
      <c r="BVX99" s="445"/>
      <c r="BVY99" s="414"/>
      <c r="BWB99" s="445"/>
      <c r="BWC99" s="414"/>
      <c r="BWF99" s="445"/>
      <c r="BWG99" s="414"/>
      <c r="BWJ99" s="445"/>
      <c r="BWK99" s="414"/>
      <c r="BWN99" s="445"/>
      <c r="BWO99" s="414"/>
      <c r="BWR99" s="445"/>
      <c r="BWS99" s="414"/>
      <c r="BWV99" s="445"/>
      <c r="BWW99" s="414"/>
      <c r="BWZ99" s="445"/>
      <c r="BXA99" s="414"/>
      <c r="BXD99" s="445"/>
      <c r="BXE99" s="414"/>
      <c r="BXH99" s="445"/>
      <c r="BXI99" s="414"/>
      <c r="BXL99" s="445"/>
      <c r="BXM99" s="414"/>
      <c r="BXP99" s="445"/>
      <c r="BXQ99" s="414"/>
      <c r="BXT99" s="445"/>
      <c r="BXU99" s="414"/>
      <c r="BXX99" s="445"/>
      <c r="BXY99" s="414"/>
      <c r="BYB99" s="445"/>
      <c r="BYC99" s="414"/>
      <c r="BYF99" s="445"/>
      <c r="BYG99" s="414"/>
      <c r="BYJ99" s="445"/>
      <c r="BYK99" s="414"/>
      <c r="BYN99" s="445"/>
      <c r="BYO99" s="414"/>
      <c r="BYR99" s="445"/>
      <c r="BYS99" s="414"/>
      <c r="BYV99" s="445"/>
      <c r="BYW99" s="414"/>
      <c r="BYZ99" s="445"/>
      <c r="BZA99" s="414"/>
      <c r="BZD99" s="445"/>
      <c r="BZE99" s="414"/>
      <c r="BZH99" s="445"/>
      <c r="BZI99" s="414"/>
      <c r="BZL99" s="445"/>
      <c r="BZM99" s="414"/>
      <c r="BZP99" s="445"/>
      <c r="BZQ99" s="414"/>
      <c r="BZT99" s="445"/>
      <c r="BZU99" s="414"/>
      <c r="BZX99" s="445"/>
      <c r="BZY99" s="414"/>
      <c r="CAB99" s="445"/>
      <c r="CAC99" s="414"/>
      <c r="CAF99" s="445"/>
      <c r="CAG99" s="414"/>
      <c r="CAJ99" s="445"/>
      <c r="CAK99" s="414"/>
      <c r="CAN99" s="445"/>
      <c r="CAO99" s="414"/>
      <c r="CAR99" s="445"/>
      <c r="CAS99" s="414"/>
      <c r="CAV99" s="445"/>
      <c r="CAW99" s="414"/>
      <c r="CAZ99" s="445"/>
      <c r="CBA99" s="414"/>
      <c r="CBD99" s="445"/>
      <c r="CBE99" s="414"/>
      <c r="CBH99" s="445"/>
      <c r="CBI99" s="414"/>
      <c r="CBL99" s="445"/>
      <c r="CBM99" s="414"/>
      <c r="CBP99" s="445"/>
      <c r="CBQ99" s="414"/>
      <c r="CBT99" s="445"/>
      <c r="CBU99" s="414"/>
      <c r="CBX99" s="445"/>
      <c r="CBY99" s="414"/>
      <c r="CCB99" s="445"/>
      <c r="CCC99" s="414"/>
      <c r="CCF99" s="445"/>
      <c r="CCG99" s="414"/>
      <c r="CCJ99" s="445"/>
      <c r="CCK99" s="414"/>
      <c r="CCN99" s="445"/>
      <c r="CCO99" s="414"/>
      <c r="CCR99" s="445"/>
      <c r="CCS99" s="414"/>
      <c r="CCV99" s="445"/>
      <c r="CCW99" s="414"/>
      <c r="CCZ99" s="445"/>
      <c r="CDA99" s="414"/>
      <c r="CDD99" s="445"/>
      <c r="CDE99" s="414"/>
      <c r="CDH99" s="445"/>
      <c r="CDI99" s="414"/>
      <c r="CDL99" s="445"/>
      <c r="CDM99" s="414"/>
      <c r="CDP99" s="445"/>
      <c r="CDQ99" s="414"/>
      <c r="CDT99" s="445"/>
      <c r="CDU99" s="414"/>
      <c r="CDX99" s="445"/>
      <c r="CDY99" s="414"/>
      <c r="CEB99" s="445"/>
      <c r="CEC99" s="414"/>
      <c r="CEF99" s="445"/>
      <c r="CEG99" s="414"/>
      <c r="CEJ99" s="445"/>
      <c r="CEK99" s="414"/>
      <c r="CEN99" s="445"/>
      <c r="CEO99" s="414"/>
      <c r="CER99" s="445"/>
      <c r="CES99" s="414"/>
      <c r="CEV99" s="445"/>
      <c r="CEW99" s="414"/>
      <c r="CEZ99" s="445"/>
      <c r="CFA99" s="414"/>
      <c r="CFD99" s="445"/>
      <c r="CFE99" s="414"/>
      <c r="CFH99" s="445"/>
      <c r="CFI99" s="414"/>
      <c r="CFL99" s="445"/>
      <c r="CFM99" s="414"/>
      <c r="CFP99" s="445"/>
      <c r="CFQ99" s="414"/>
      <c r="CFT99" s="445"/>
      <c r="CFU99" s="414"/>
      <c r="CFX99" s="445"/>
      <c r="CFY99" s="414"/>
      <c r="CGB99" s="445"/>
      <c r="CGC99" s="414"/>
      <c r="CGF99" s="445"/>
      <c r="CGG99" s="414"/>
      <c r="CGJ99" s="445"/>
      <c r="CGK99" s="414"/>
      <c r="CGN99" s="445"/>
      <c r="CGO99" s="414"/>
      <c r="CGR99" s="445"/>
      <c r="CGS99" s="414"/>
      <c r="CGV99" s="445"/>
      <c r="CGW99" s="414"/>
      <c r="CGZ99" s="445"/>
      <c r="CHA99" s="414"/>
      <c r="CHD99" s="445"/>
      <c r="CHE99" s="414"/>
      <c r="CHH99" s="445"/>
      <c r="CHI99" s="414"/>
      <c r="CHL99" s="445"/>
      <c r="CHM99" s="414"/>
      <c r="CHP99" s="445"/>
      <c r="CHQ99" s="414"/>
      <c r="CHT99" s="445"/>
      <c r="CHU99" s="414"/>
      <c r="CHX99" s="445"/>
      <c r="CHY99" s="414"/>
      <c r="CIB99" s="445"/>
      <c r="CIC99" s="414"/>
      <c r="CIF99" s="445"/>
      <c r="CIG99" s="414"/>
      <c r="CIJ99" s="445"/>
      <c r="CIK99" s="414"/>
      <c r="CIN99" s="445"/>
      <c r="CIO99" s="414"/>
      <c r="CIR99" s="445"/>
      <c r="CIS99" s="414"/>
      <c r="CIV99" s="445"/>
      <c r="CIW99" s="414"/>
      <c r="CIZ99" s="445"/>
      <c r="CJA99" s="414"/>
      <c r="CJD99" s="445"/>
      <c r="CJE99" s="414"/>
      <c r="CJH99" s="445"/>
      <c r="CJI99" s="414"/>
      <c r="CJL99" s="445"/>
      <c r="CJM99" s="414"/>
      <c r="CJP99" s="445"/>
      <c r="CJQ99" s="414"/>
      <c r="CJT99" s="445"/>
      <c r="CJU99" s="414"/>
      <c r="CJX99" s="445"/>
      <c r="CJY99" s="414"/>
      <c r="CKB99" s="445"/>
      <c r="CKC99" s="414"/>
      <c r="CKF99" s="445"/>
      <c r="CKG99" s="414"/>
      <c r="CKJ99" s="445"/>
      <c r="CKK99" s="414"/>
      <c r="CKN99" s="445"/>
      <c r="CKO99" s="414"/>
      <c r="CKR99" s="445"/>
      <c r="CKS99" s="414"/>
      <c r="CKV99" s="445"/>
      <c r="CKW99" s="414"/>
      <c r="CKZ99" s="445"/>
      <c r="CLA99" s="414"/>
      <c r="CLD99" s="445"/>
      <c r="CLE99" s="414"/>
      <c r="CLH99" s="445"/>
      <c r="CLI99" s="414"/>
      <c r="CLL99" s="445"/>
      <c r="CLM99" s="414"/>
      <c r="CLP99" s="445"/>
      <c r="CLQ99" s="414"/>
      <c r="CLT99" s="445"/>
      <c r="CLU99" s="414"/>
      <c r="CLX99" s="445"/>
      <c r="CLY99" s="414"/>
      <c r="CMB99" s="445"/>
      <c r="CMC99" s="414"/>
      <c r="CMF99" s="445"/>
      <c r="CMG99" s="414"/>
      <c r="CMJ99" s="445"/>
      <c r="CMK99" s="414"/>
      <c r="CMN99" s="445"/>
      <c r="CMO99" s="414"/>
      <c r="CMR99" s="445"/>
      <c r="CMS99" s="414"/>
      <c r="CMV99" s="445"/>
      <c r="CMW99" s="414"/>
      <c r="CMZ99" s="445"/>
      <c r="CNA99" s="414"/>
      <c r="CND99" s="445"/>
      <c r="CNE99" s="414"/>
      <c r="CNH99" s="445"/>
      <c r="CNI99" s="414"/>
      <c r="CNL99" s="445"/>
      <c r="CNM99" s="414"/>
      <c r="CNP99" s="445"/>
      <c r="CNQ99" s="414"/>
      <c r="CNT99" s="445"/>
      <c r="CNU99" s="414"/>
      <c r="CNX99" s="445"/>
      <c r="CNY99" s="414"/>
      <c r="COB99" s="445"/>
      <c r="COC99" s="414"/>
      <c r="COF99" s="445"/>
      <c r="COG99" s="414"/>
      <c r="COJ99" s="445"/>
      <c r="COK99" s="414"/>
      <c r="CON99" s="445"/>
      <c r="COO99" s="414"/>
      <c r="COR99" s="445"/>
      <c r="COS99" s="414"/>
      <c r="COV99" s="445"/>
      <c r="COW99" s="414"/>
      <c r="COZ99" s="445"/>
      <c r="CPA99" s="414"/>
      <c r="CPD99" s="445"/>
      <c r="CPE99" s="414"/>
      <c r="CPH99" s="445"/>
      <c r="CPI99" s="414"/>
      <c r="CPL99" s="445"/>
      <c r="CPM99" s="414"/>
      <c r="CPP99" s="445"/>
      <c r="CPQ99" s="414"/>
      <c r="CPT99" s="445"/>
      <c r="CPU99" s="414"/>
      <c r="CPX99" s="445"/>
      <c r="CPY99" s="414"/>
      <c r="CQB99" s="445"/>
      <c r="CQC99" s="414"/>
      <c r="CQF99" s="445"/>
      <c r="CQG99" s="414"/>
      <c r="CQJ99" s="445"/>
      <c r="CQK99" s="414"/>
      <c r="CQN99" s="445"/>
      <c r="CQO99" s="414"/>
      <c r="CQR99" s="445"/>
      <c r="CQS99" s="414"/>
      <c r="CQV99" s="445"/>
      <c r="CQW99" s="414"/>
      <c r="CQZ99" s="445"/>
      <c r="CRA99" s="414"/>
      <c r="CRD99" s="445"/>
      <c r="CRE99" s="414"/>
      <c r="CRH99" s="445"/>
      <c r="CRI99" s="414"/>
      <c r="CRL99" s="445"/>
      <c r="CRM99" s="414"/>
      <c r="CRP99" s="445"/>
      <c r="CRQ99" s="414"/>
      <c r="CRT99" s="445"/>
      <c r="CRU99" s="414"/>
      <c r="CRX99" s="445"/>
      <c r="CRY99" s="414"/>
      <c r="CSB99" s="445"/>
      <c r="CSC99" s="414"/>
      <c r="CSF99" s="445"/>
      <c r="CSG99" s="414"/>
      <c r="CSJ99" s="445"/>
      <c r="CSK99" s="414"/>
      <c r="CSN99" s="445"/>
      <c r="CSO99" s="414"/>
      <c r="CSR99" s="445"/>
      <c r="CSS99" s="414"/>
      <c r="CSV99" s="445"/>
      <c r="CSW99" s="414"/>
      <c r="CSZ99" s="445"/>
      <c r="CTA99" s="414"/>
      <c r="CTD99" s="445"/>
      <c r="CTE99" s="414"/>
      <c r="CTH99" s="445"/>
      <c r="CTI99" s="414"/>
      <c r="CTL99" s="445"/>
      <c r="CTM99" s="414"/>
      <c r="CTP99" s="445"/>
      <c r="CTQ99" s="414"/>
      <c r="CTT99" s="445"/>
      <c r="CTU99" s="414"/>
      <c r="CTX99" s="445"/>
      <c r="CTY99" s="414"/>
      <c r="CUB99" s="445"/>
      <c r="CUC99" s="414"/>
      <c r="CUF99" s="445"/>
      <c r="CUG99" s="414"/>
      <c r="CUJ99" s="445"/>
      <c r="CUK99" s="414"/>
      <c r="CUN99" s="445"/>
      <c r="CUO99" s="414"/>
      <c r="CUR99" s="445"/>
      <c r="CUS99" s="414"/>
      <c r="CUV99" s="445"/>
      <c r="CUW99" s="414"/>
      <c r="CUZ99" s="445"/>
      <c r="CVA99" s="414"/>
      <c r="CVD99" s="445"/>
      <c r="CVE99" s="414"/>
      <c r="CVH99" s="445"/>
      <c r="CVI99" s="414"/>
      <c r="CVL99" s="445"/>
      <c r="CVM99" s="414"/>
      <c r="CVP99" s="445"/>
      <c r="CVQ99" s="414"/>
      <c r="CVT99" s="445"/>
      <c r="CVU99" s="414"/>
      <c r="CVX99" s="445"/>
      <c r="CVY99" s="414"/>
      <c r="CWB99" s="445"/>
      <c r="CWC99" s="414"/>
      <c r="CWF99" s="445"/>
      <c r="CWG99" s="414"/>
      <c r="CWJ99" s="445"/>
      <c r="CWK99" s="414"/>
      <c r="CWN99" s="445"/>
      <c r="CWO99" s="414"/>
      <c r="CWR99" s="445"/>
      <c r="CWS99" s="414"/>
      <c r="CWV99" s="445"/>
      <c r="CWW99" s="414"/>
      <c r="CWZ99" s="445"/>
      <c r="CXA99" s="414"/>
      <c r="CXD99" s="445"/>
      <c r="CXE99" s="414"/>
      <c r="CXH99" s="445"/>
      <c r="CXI99" s="414"/>
      <c r="CXL99" s="445"/>
      <c r="CXM99" s="414"/>
      <c r="CXP99" s="445"/>
      <c r="CXQ99" s="414"/>
      <c r="CXT99" s="445"/>
      <c r="CXU99" s="414"/>
      <c r="CXX99" s="445"/>
      <c r="CXY99" s="414"/>
      <c r="CYB99" s="445"/>
      <c r="CYC99" s="414"/>
      <c r="CYF99" s="445"/>
      <c r="CYG99" s="414"/>
      <c r="CYJ99" s="445"/>
      <c r="CYK99" s="414"/>
      <c r="CYN99" s="445"/>
      <c r="CYO99" s="414"/>
      <c r="CYR99" s="445"/>
      <c r="CYS99" s="414"/>
      <c r="CYV99" s="445"/>
      <c r="CYW99" s="414"/>
      <c r="CYZ99" s="445"/>
      <c r="CZA99" s="414"/>
      <c r="CZD99" s="445"/>
      <c r="CZE99" s="414"/>
      <c r="CZH99" s="445"/>
      <c r="CZI99" s="414"/>
      <c r="CZL99" s="445"/>
      <c r="CZM99" s="414"/>
      <c r="CZP99" s="445"/>
      <c r="CZQ99" s="414"/>
      <c r="CZT99" s="445"/>
      <c r="CZU99" s="414"/>
      <c r="CZX99" s="445"/>
      <c r="CZY99" s="414"/>
      <c r="DAB99" s="445"/>
      <c r="DAC99" s="414"/>
      <c r="DAF99" s="445"/>
      <c r="DAG99" s="414"/>
      <c r="DAJ99" s="445"/>
      <c r="DAK99" s="414"/>
      <c r="DAN99" s="445"/>
      <c r="DAO99" s="414"/>
      <c r="DAR99" s="445"/>
      <c r="DAS99" s="414"/>
      <c r="DAV99" s="445"/>
      <c r="DAW99" s="414"/>
      <c r="DAZ99" s="445"/>
      <c r="DBA99" s="414"/>
      <c r="DBD99" s="445"/>
      <c r="DBE99" s="414"/>
      <c r="DBH99" s="445"/>
      <c r="DBI99" s="414"/>
      <c r="DBL99" s="445"/>
      <c r="DBM99" s="414"/>
      <c r="DBP99" s="445"/>
      <c r="DBQ99" s="414"/>
      <c r="DBT99" s="445"/>
      <c r="DBU99" s="414"/>
      <c r="DBX99" s="445"/>
      <c r="DBY99" s="414"/>
      <c r="DCB99" s="445"/>
      <c r="DCC99" s="414"/>
      <c r="DCF99" s="445"/>
      <c r="DCG99" s="414"/>
      <c r="DCJ99" s="445"/>
      <c r="DCK99" s="414"/>
      <c r="DCN99" s="445"/>
      <c r="DCO99" s="414"/>
      <c r="DCR99" s="445"/>
      <c r="DCS99" s="414"/>
      <c r="DCV99" s="445"/>
      <c r="DCW99" s="414"/>
      <c r="DCZ99" s="445"/>
      <c r="DDA99" s="414"/>
      <c r="DDD99" s="445"/>
      <c r="DDE99" s="414"/>
      <c r="DDH99" s="445"/>
      <c r="DDI99" s="414"/>
      <c r="DDL99" s="445"/>
      <c r="DDM99" s="414"/>
      <c r="DDP99" s="445"/>
      <c r="DDQ99" s="414"/>
      <c r="DDT99" s="445"/>
      <c r="DDU99" s="414"/>
      <c r="DDX99" s="445"/>
      <c r="DDY99" s="414"/>
      <c r="DEB99" s="445"/>
      <c r="DEC99" s="414"/>
      <c r="DEF99" s="445"/>
      <c r="DEG99" s="414"/>
      <c r="DEJ99" s="445"/>
      <c r="DEK99" s="414"/>
      <c r="DEN99" s="445"/>
      <c r="DEO99" s="414"/>
      <c r="DER99" s="445"/>
      <c r="DES99" s="414"/>
      <c r="DEV99" s="445"/>
      <c r="DEW99" s="414"/>
      <c r="DEZ99" s="445"/>
      <c r="DFA99" s="414"/>
      <c r="DFD99" s="445"/>
      <c r="DFE99" s="414"/>
      <c r="DFH99" s="445"/>
      <c r="DFI99" s="414"/>
      <c r="DFL99" s="445"/>
      <c r="DFM99" s="414"/>
      <c r="DFP99" s="445"/>
      <c r="DFQ99" s="414"/>
      <c r="DFT99" s="445"/>
      <c r="DFU99" s="414"/>
      <c r="DFX99" s="445"/>
      <c r="DFY99" s="414"/>
      <c r="DGB99" s="445"/>
      <c r="DGC99" s="414"/>
      <c r="DGF99" s="445"/>
      <c r="DGG99" s="414"/>
      <c r="DGJ99" s="445"/>
      <c r="DGK99" s="414"/>
      <c r="DGN99" s="445"/>
      <c r="DGO99" s="414"/>
      <c r="DGR99" s="445"/>
      <c r="DGS99" s="414"/>
      <c r="DGV99" s="445"/>
      <c r="DGW99" s="414"/>
      <c r="DGZ99" s="445"/>
      <c r="DHA99" s="414"/>
      <c r="DHD99" s="445"/>
      <c r="DHE99" s="414"/>
      <c r="DHH99" s="445"/>
      <c r="DHI99" s="414"/>
      <c r="DHL99" s="445"/>
      <c r="DHM99" s="414"/>
      <c r="DHP99" s="445"/>
      <c r="DHQ99" s="414"/>
      <c r="DHT99" s="445"/>
      <c r="DHU99" s="414"/>
      <c r="DHX99" s="445"/>
      <c r="DHY99" s="414"/>
      <c r="DIB99" s="445"/>
      <c r="DIC99" s="414"/>
      <c r="DIF99" s="445"/>
      <c r="DIG99" s="414"/>
      <c r="DIJ99" s="445"/>
      <c r="DIK99" s="414"/>
      <c r="DIN99" s="445"/>
      <c r="DIO99" s="414"/>
      <c r="DIR99" s="445"/>
      <c r="DIS99" s="414"/>
      <c r="DIV99" s="445"/>
      <c r="DIW99" s="414"/>
      <c r="DIZ99" s="445"/>
      <c r="DJA99" s="414"/>
      <c r="DJD99" s="445"/>
      <c r="DJE99" s="414"/>
      <c r="DJH99" s="445"/>
      <c r="DJI99" s="414"/>
      <c r="DJL99" s="445"/>
      <c r="DJM99" s="414"/>
      <c r="DJP99" s="445"/>
      <c r="DJQ99" s="414"/>
      <c r="DJT99" s="445"/>
      <c r="DJU99" s="414"/>
      <c r="DJX99" s="445"/>
      <c r="DJY99" s="414"/>
      <c r="DKB99" s="445"/>
      <c r="DKC99" s="414"/>
      <c r="DKF99" s="445"/>
      <c r="DKG99" s="414"/>
      <c r="DKJ99" s="445"/>
      <c r="DKK99" s="414"/>
      <c r="DKN99" s="445"/>
      <c r="DKO99" s="414"/>
      <c r="DKR99" s="445"/>
      <c r="DKS99" s="414"/>
      <c r="DKV99" s="445"/>
      <c r="DKW99" s="414"/>
      <c r="DKZ99" s="445"/>
      <c r="DLA99" s="414"/>
      <c r="DLD99" s="445"/>
      <c r="DLE99" s="414"/>
      <c r="DLH99" s="445"/>
      <c r="DLI99" s="414"/>
      <c r="DLL99" s="445"/>
      <c r="DLM99" s="414"/>
      <c r="DLP99" s="445"/>
      <c r="DLQ99" s="414"/>
      <c r="DLT99" s="445"/>
      <c r="DLU99" s="414"/>
      <c r="DLX99" s="445"/>
      <c r="DLY99" s="414"/>
      <c r="DMB99" s="445"/>
      <c r="DMC99" s="414"/>
      <c r="DMF99" s="445"/>
      <c r="DMG99" s="414"/>
      <c r="DMJ99" s="445"/>
      <c r="DMK99" s="414"/>
      <c r="DMN99" s="445"/>
      <c r="DMO99" s="414"/>
      <c r="DMR99" s="445"/>
      <c r="DMS99" s="414"/>
      <c r="DMV99" s="445"/>
      <c r="DMW99" s="414"/>
      <c r="DMZ99" s="445"/>
      <c r="DNA99" s="414"/>
      <c r="DND99" s="445"/>
      <c r="DNE99" s="414"/>
      <c r="DNH99" s="445"/>
      <c r="DNI99" s="414"/>
      <c r="DNL99" s="445"/>
      <c r="DNM99" s="414"/>
      <c r="DNP99" s="445"/>
      <c r="DNQ99" s="414"/>
      <c r="DNT99" s="445"/>
      <c r="DNU99" s="414"/>
      <c r="DNX99" s="445"/>
      <c r="DNY99" s="414"/>
      <c r="DOB99" s="445"/>
      <c r="DOC99" s="414"/>
      <c r="DOF99" s="445"/>
      <c r="DOG99" s="414"/>
      <c r="DOJ99" s="445"/>
      <c r="DOK99" s="414"/>
      <c r="DON99" s="445"/>
      <c r="DOO99" s="414"/>
      <c r="DOR99" s="445"/>
      <c r="DOS99" s="414"/>
      <c r="DOV99" s="445"/>
      <c r="DOW99" s="414"/>
      <c r="DOZ99" s="445"/>
      <c r="DPA99" s="414"/>
      <c r="DPD99" s="445"/>
      <c r="DPE99" s="414"/>
      <c r="DPH99" s="445"/>
      <c r="DPI99" s="414"/>
      <c r="DPL99" s="445"/>
      <c r="DPM99" s="414"/>
      <c r="DPP99" s="445"/>
      <c r="DPQ99" s="414"/>
      <c r="DPT99" s="445"/>
      <c r="DPU99" s="414"/>
      <c r="DPX99" s="445"/>
      <c r="DPY99" s="414"/>
      <c r="DQB99" s="445"/>
      <c r="DQC99" s="414"/>
      <c r="DQF99" s="445"/>
      <c r="DQG99" s="414"/>
      <c r="DQJ99" s="445"/>
      <c r="DQK99" s="414"/>
      <c r="DQN99" s="445"/>
      <c r="DQO99" s="414"/>
      <c r="DQR99" s="445"/>
      <c r="DQS99" s="414"/>
      <c r="DQV99" s="445"/>
      <c r="DQW99" s="414"/>
      <c r="DQZ99" s="445"/>
      <c r="DRA99" s="414"/>
      <c r="DRD99" s="445"/>
      <c r="DRE99" s="414"/>
      <c r="DRH99" s="445"/>
      <c r="DRI99" s="414"/>
      <c r="DRL99" s="445"/>
      <c r="DRM99" s="414"/>
      <c r="DRP99" s="445"/>
      <c r="DRQ99" s="414"/>
      <c r="DRT99" s="445"/>
      <c r="DRU99" s="414"/>
      <c r="DRX99" s="445"/>
      <c r="DRY99" s="414"/>
      <c r="DSB99" s="445"/>
      <c r="DSC99" s="414"/>
      <c r="DSF99" s="445"/>
      <c r="DSG99" s="414"/>
      <c r="DSJ99" s="445"/>
      <c r="DSK99" s="414"/>
      <c r="DSN99" s="445"/>
      <c r="DSO99" s="414"/>
      <c r="DSR99" s="445"/>
      <c r="DSS99" s="414"/>
      <c r="DSV99" s="445"/>
      <c r="DSW99" s="414"/>
      <c r="DSZ99" s="445"/>
      <c r="DTA99" s="414"/>
      <c r="DTD99" s="445"/>
      <c r="DTE99" s="414"/>
      <c r="DTH99" s="445"/>
      <c r="DTI99" s="414"/>
      <c r="DTL99" s="445"/>
      <c r="DTM99" s="414"/>
      <c r="DTP99" s="445"/>
      <c r="DTQ99" s="414"/>
      <c r="DTT99" s="445"/>
      <c r="DTU99" s="414"/>
      <c r="DTX99" s="445"/>
      <c r="DTY99" s="414"/>
      <c r="DUB99" s="445"/>
      <c r="DUC99" s="414"/>
      <c r="DUF99" s="445"/>
      <c r="DUG99" s="414"/>
      <c r="DUJ99" s="445"/>
      <c r="DUK99" s="414"/>
      <c r="DUN99" s="445"/>
      <c r="DUO99" s="414"/>
      <c r="DUR99" s="445"/>
      <c r="DUS99" s="414"/>
      <c r="DUV99" s="445"/>
      <c r="DUW99" s="414"/>
      <c r="DUZ99" s="445"/>
      <c r="DVA99" s="414"/>
      <c r="DVD99" s="445"/>
      <c r="DVE99" s="414"/>
      <c r="DVH99" s="445"/>
      <c r="DVI99" s="414"/>
      <c r="DVL99" s="445"/>
      <c r="DVM99" s="414"/>
      <c r="DVP99" s="445"/>
      <c r="DVQ99" s="414"/>
      <c r="DVT99" s="445"/>
      <c r="DVU99" s="414"/>
      <c r="DVX99" s="445"/>
      <c r="DVY99" s="414"/>
      <c r="DWB99" s="445"/>
      <c r="DWC99" s="414"/>
      <c r="DWF99" s="445"/>
      <c r="DWG99" s="414"/>
      <c r="DWJ99" s="445"/>
      <c r="DWK99" s="414"/>
      <c r="DWN99" s="445"/>
      <c r="DWO99" s="414"/>
      <c r="DWR99" s="445"/>
      <c r="DWS99" s="414"/>
      <c r="DWV99" s="445"/>
      <c r="DWW99" s="414"/>
      <c r="DWZ99" s="445"/>
      <c r="DXA99" s="414"/>
      <c r="DXD99" s="445"/>
      <c r="DXE99" s="414"/>
      <c r="DXH99" s="445"/>
      <c r="DXI99" s="414"/>
      <c r="DXL99" s="445"/>
      <c r="DXM99" s="414"/>
      <c r="DXP99" s="445"/>
      <c r="DXQ99" s="414"/>
      <c r="DXT99" s="445"/>
      <c r="DXU99" s="414"/>
      <c r="DXX99" s="445"/>
      <c r="DXY99" s="414"/>
      <c r="DYB99" s="445"/>
      <c r="DYC99" s="414"/>
      <c r="DYF99" s="445"/>
      <c r="DYG99" s="414"/>
      <c r="DYJ99" s="445"/>
      <c r="DYK99" s="414"/>
      <c r="DYN99" s="445"/>
      <c r="DYO99" s="414"/>
      <c r="DYR99" s="445"/>
      <c r="DYS99" s="414"/>
      <c r="DYV99" s="445"/>
      <c r="DYW99" s="414"/>
      <c r="DYZ99" s="445"/>
      <c r="DZA99" s="414"/>
      <c r="DZD99" s="445"/>
      <c r="DZE99" s="414"/>
      <c r="DZH99" s="445"/>
      <c r="DZI99" s="414"/>
      <c r="DZL99" s="445"/>
      <c r="DZM99" s="414"/>
      <c r="DZP99" s="445"/>
      <c r="DZQ99" s="414"/>
      <c r="DZT99" s="445"/>
      <c r="DZU99" s="414"/>
      <c r="DZX99" s="445"/>
      <c r="DZY99" s="414"/>
      <c r="EAB99" s="445"/>
      <c r="EAC99" s="414"/>
      <c r="EAF99" s="445"/>
      <c r="EAG99" s="414"/>
      <c r="EAJ99" s="445"/>
      <c r="EAK99" s="414"/>
      <c r="EAN99" s="445"/>
      <c r="EAO99" s="414"/>
      <c r="EAR99" s="445"/>
      <c r="EAS99" s="414"/>
      <c r="EAV99" s="445"/>
      <c r="EAW99" s="414"/>
      <c r="EAZ99" s="445"/>
      <c r="EBA99" s="414"/>
      <c r="EBD99" s="445"/>
      <c r="EBE99" s="414"/>
      <c r="EBH99" s="445"/>
      <c r="EBI99" s="414"/>
      <c r="EBL99" s="445"/>
      <c r="EBM99" s="414"/>
      <c r="EBP99" s="445"/>
      <c r="EBQ99" s="414"/>
      <c r="EBT99" s="445"/>
      <c r="EBU99" s="414"/>
      <c r="EBX99" s="445"/>
      <c r="EBY99" s="414"/>
      <c r="ECB99" s="445"/>
      <c r="ECC99" s="414"/>
      <c r="ECF99" s="445"/>
      <c r="ECG99" s="414"/>
      <c r="ECJ99" s="445"/>
      <c r="ECK99" s="414"/>
      <c r="ECN99" s="445"/>
      <c r="ECO99" s="414"/>
      <c r="ECR99" s="445"/>
      <c r="ECS99" s="414"/>
      <c r="ECV99" s="445"/>
      <c r="ECW99" s="414"/>
      <c r="ECZ99" s="445"/>
      <c r="EDA99" s="414"/>
      <c r="EDD99" s="445"/>
      <c r="EDE99" s="414"/>
      <c r="EDH99" s="445"/>
      <c r="EDI99" s="414"/>
      <c r="EDL99" s="445"/>
      <c r="EDM99" s="414"/>
      <c r="EDP99" s="445"/>
      <c r="EDQ99" s="414"/>
      <c r="EDT99" s="445"/>
      <c r="EDU99" s="414"/>
      <c r="EDX99" s="445"/>
      <c r="EDY99" s="414"/>
      <c r="EEB99" s="445"/>
      <c r="EEC99" s="414"/>
      <c r="EEF99" s="445"/>
      <c r="EEG99" s="414"/>
      <c r="EEJ99" s="445"/>
      <c r="EEK99" s="414"/>
      <c r="EEN99" s="445"/>
      <c r="EEO99" s="414"/>
      <c r="EER99" s="445"/>
      <c r="EES99" s="414"/>
      <c r="EEV99" s="445"/>
      <c r="EEW99" s="414"/>
      <c r="EEZ99" s="445"/>
      <c r="EFA99" s="414"/>
      <c r="EFD99" s="445"/>
      <c r="EFE99" s="414"/>
      <c r="EFH99" s="445"/>
      <c r="EFI99" s="414"/>
      <c r="EFL99" s="445"/>
      <c r="EFM99" s="414"/>
      <c r="EFP99" s="445"/>
      <c r="EFQ99" s="414"/>
      <c r="EFT99" s="445"/>
      <c r="EFU99" s="414"/>
      <c r="EFX99" s="445"/>
      <c r="EFY99" s="414"/>
      <c r="EGB99" s="445"/>
      <c r="EGC99" s="414"/>
      <c r="EGF99" s="445"/>
      <c r="EGG99" s="414"/>
      <c r="EGJ99" s="445"/>
      <c r="EGK99" s="414"/>
      <c r="EGN99" s="445"/>
      <c r="EGO99" s="414"/>
      <c r="EGR99" s="445"/>
      <c r="EGS99" s="414"/>
      <c r="EGV99" s="445"/>
      <c r="EGW99" s="414"/>
      <c r="EGZ99" s="445"/>
      <c r="EHA99" s="414"/>
      <c r="EHD99" s="445"/>
      <c r="EHE99" s="414"/>
      <c r="EHH99" s="445"/>
      <c r="EHI99" s="414"/>
      <c r="EHL99" s="445"/>
      <c r="EHM99" s="414"/>
      <c r="EHP99" s="445"/>
      <c r="EHQ99" s="414"/>
      <c r="EHT99" s="445"/>
      <c r="EHU99" s="414"/>
      <c r="EHX99" s="445"/>
      <c r="EHY99" s="414"/>
      <c r="EIB99" s="445"/>
      <c r="EIC99" s="414"/>
      <c r="EIF99" s="445"/>
      <c r="EIG99" s="414"/>
      <c r="EIJ99" s="445"/>
      <c r="EIK99" s="414"/>
      <c r="EIN99" s="445"/>
      <c r="EIO99" s="414"/>
      <c r="EIR99" s="445"/>
      <c r="EIS99" s="414"/>
      <c r="EIV99" s="445"/>
      <c r="EIW99" s="414"/>
      <c r="EIZ99" s="445"/>
      <c r="EJA99" s="414"/>
      <c r="EJD99" s="445"/>
      <c r="EJE99" s="414"/>
      <c r="EJH99" s="445"/>
      <c r="EJI99" s="414"/>
      <c r="EJL99" s="445"/>
      <c r="EJM99" s="414"/>
      <c r="EJP99" s="445"/>
      <c r="EJQ99" s="414"/>
      <c r="EJT99" s="445"/>
      <c r="EJU99" s="414"/>
      <c r="EJX99" s="445"/>
      <c r="EJY99" s="414"/>
      <c r="EKB99" s="445"/>
      <c r="EKC99" s="414"/>
      <c r="EKF99" s="445"/>
      <c r="EKG99" s="414"/>
      <c r="EKJ99" s="445"/>
      <c r="EKK99" s="414"/>
      <c r="EKN99" s="445"/>
      <c r="EKO99" s="414"/>
      <c r="EKR99" s="445"/>
      <c r="EKS99" s="414"/>
      <c r="EKV99" s="445"/>
      <c r="EKW99" s="414"/>
      <c r="EKZ99" s="445"/>
      <c r="ELA99" s="414"/>
      <c r="ELD99" s="445"/>
      <c r="ELE99" s="414"/>
      <c r="ELH99" s="445"/>
      <c r="ELI99" s="414"/>
      <c r="ELL99" s="445"/>
      <c r="ELM99" s="414"/>
      <c r="ELP99" s="445"/>
      <c r="ELQ99" s="414"/>
      <c r="ELT99" s="445"/>
      <c r="ELU99" s="414"/>
      <c r="ELX99" s="445"/>
      <c r="ELY99" s="414"/>
      <c r="EMB99" s="445"/>
      <c r="EMC99" s="414"/>
      <c r="EMF99" s="445"/>
      <c r="EMG99" s="414"/>
      <c r="EMJ99" s="445"/>
      <c r="EMK99" s="414"/>
      <c r="EMN99" s="445"/>
      <c r="EMO99" s="414"/>
      <c r="EMR99" s="445"/>
      <c r="EMS99" s="414"/>
      <c r="EMV99" s="445"/>
      <c r="EMW99" s="414"/>
      <c r="EMZ99" s="445"/>
      <c r="ENA99" s="414"/>
      <c r="END99" s="445"/>
      <c r="ENE99" s="414"/>
      <c r="ENH99" s="445"/>
      <c r="ENI99" s="414"/>
      <c r="ENL99" s="445"/>
      <c r="ENM99" s="414"/>
      <c r="ENP99" s="445"/>
      <c r="ENQ99" s="414"/>
      <c r="ENT99" s="445"/>
      <c r="ENU99" s="414"/>
      <c r="ENX99" s="445"/>
      <c r="ENY99" s="414"/>
      <c r="EOB99" s="445"/>
      <c r="EOC99" s="414"/>
      <c r="EOF99" s="445"/>
      <c r="EOG99" s="414"/>
      <c r="EOJ99" s="445"/>
      <c r="EOK99" s="414"/>
      <c r="EON99" s="445"/>
      <c r="EOO99" s="414"/>
      <c r="EOR99" s="445"/>
      <c r="EOS99" s="414"/>
      <c r="EOV99" s="445"/>
      <c r="EOW99" s="414"/>
      <c r="EOZ99" s="445"/>
      <c r="EPA99" s="414"/>
      <c r="EPD99" s="445"/>
      <c r="EPE99" s="414"/>
      <c r="EPH99" s="445"/>
      <c r="EPI99" s="414"/>
      <c r="EPL99" s="445"/>
      <c r="EPM99" s="414"/>
      <c r="EPP99" s="445"/>
      <c r="EPQ99" s="414"/>
      <c r="EPT99" s="445"/>
      <c r="EPU99" s="414"/>
      <c r="EPX99" s="445"/>
      <c r="EPY99" s="414"/>
      <c r="EQB99" s="445"/>
      <c r="EQC99" s="414"/>
      <c r="EQF99" s="445"/>
      <c r="EQG99" s="414"/>
      <c r="EQJ99" s="445"/>
      <c r="EQK99" s="414"/>
      <c r="EQN99" s="445"/>
      <c r="EQO99" s="414"/>
      <c r="EQR99" s="445"/>
      <c r="EQS99" s="414"/>
      <c r="EQV99" s="445"/>
      <c r="EQW99" s="414"/>
      <c r="EQZ99" s="445"/>
      <c r="ERA99" s="414"/>
      <c r="ERD99" s="445"/>
      <c r="ERE99" s="414"/>
      <c r="ERH99" s="445"/>
      <c r="ERI99" s="414"/>
      <c r="ERL99" s="445"/>
      <c r="ERM99" s="414"/>
      <c r="ERP99" s="445"/>
      <c r="ERQ99" s="414"/>
      <c r="ERT99" s="445"/>
      <c r="ERU99" s="414"/>
      <c r="ERX99" s="445"/>
      <c r="ERY99" s="414"/>
      <c r="ESB99" s="445"/>
      <c r="ESC99" s="414"/>
      <c r="ESF99" s="445"/>
      <c r="ESG99" s="414"/>
      <c r="ESJ99" s="445"/>
      <c r="ESK99" s="414"/>
      <c r="ESN99" s="445"/>
      <c r="ESO99" s="414"/>
      <c r="ESR99" s="445"/>
      <c r="ESS99" s="414"/>
      <c r="ESV99" s="445"/>
      <c r="ESW99" s="414"/>
      <c r="ESZ99" s="445"/>
      <c r="ETA99" s="414"/>
      <c r="ETD99" s="445"/>
      <c r="ETE99" s="414"/>
      <c r="ETH99" s="445"/>
      <c r="ETI99" s="414"/>
      <c r="ETL99" s="445"/>
      <c r="ETM99" s="414"/>
      <c r="ETP99" s="445"/>
      <c r="ETQ99" s="414"/>
      <c r="ETT99" s="445"/>
      <c r="ETU99" s="414"/>
      <c r="ETX99" s="445"/>
      <c r="ETY99" s="414"/>
      <c r="EUB99" s="445"/>
      <c r="EUC99" s="414"/>
      <c r="EUF99" s="445"/>
      <c r="EUG99" s="414"/>
      <c r="EUJ99" s="445"/>
      <c r="EUK99" s="414"/>
      <c r="EUN99" s="445"/>
      <c r="EUO99" s="414"/>
      <c r="EUR99" s="445"/>
      <c r="EUS99" s="414"/>
      <c r="EUV99" s="445"/>
      <c r="EUW99" s="414"/>
      <c r="EUZ99" s="445"/>
      <c r="EVA99" s="414"/>
      <c r="EVD99" s="445"/>
      <c r="EVE99" s="414"/>
      <c r="EVH99" s="445"/>
      <c r="EVI99" s="414"/>
      <c r="EVL99" s="445"/>
      <c r="EVM99" s="414"/>
      <c r="EVP99" s="445"/>
      <c r="EVQ99" s="414"/>
      <c r="EVT99" s="445"/>
      <c r="EVU99" s="414"/>
      <c r="EVX99" s="445"/>
      <c r="EVY99" s="414"/>
      <c r="EWB99" s="445"/>
      <c r="EWC99" s="414"/>
      <c r="EWF99" s="445"/>
      <c r="EWG99" s="414"/>
      <c r="EWJ99" s="445"/>
      <c r="EWK99" s="414"/>
      <c r="EWN99" s="445"/>
      <c r="EWO99" s="414"/>
      <c r="EWR99" s="445"/>
      <c r="EWS99" s="414"/>
      <c r="EWV99" s="445"/>
      <c r="EWW99" s="414"/>
      <c r="EWZ99" s="445"/>
      <c r="EXA99" s="414"/>
      <c r="EXD99" s="445"/>
      <c r="EXE99" s="414"/>
      <c r="EXH99" s="445"/>
      <c r="EXI99" s="414"/>
      <c r="EXL99" s="445"/>
      <c r="EXM99" s="414"/>
      <c r="EXP99" s="445"/>
      <c r="EXQ99" s="414"/>
      <c r="EXT99" s="445"/>
      <c r="EXU99" s="414"/>
      <c r="EXX99" s="445"/>
      <c r="EXY99" s="414"/>
      <c r="EYB99" s="445"/>
      <c r="EYC99" s="414"/>
      <c r="EYF99" s="445"/>
      <c r="EYG99" s="414"/>
      <c r="EYJ99" s="445"/>
      <c r="EYK99" s="414"/>
      <c r="EYN99" s="445"/>
      <c r="EYO99" s="414"/>
      <c r="EYR99" s="445"/>
      <c r="EYS99" s="414"/>
      <c r="EYV99" s="445"/>
      <c r="EYW99" s="414"/>
      <c r="EYZ99" s="445"/>
      <c r="EZA99" s="414"/>
      <c r="EZD99" s="445"/>
      <c r="EZE99" s="414"/>
      <c r="EZH99" s="445"/>
      <c r="EZI99" s="414"/>
      <c r="EZL99" s="445"/>
      <c r="EZM99" s="414"/>
      <c r="EZP99" s="445"/>
      <c r="EZQ99" s="414"/>
      <c r="EZT99" s="445"/>
      <c r="EZU99" s="414"/>
      <c r="EZX99" s="445"/>
      <c r="EZY99" s="414"/>
      <c r="FAB99" s="445"/>
      <c r="FAC99" s="414"/>
      <c r="FAF99" s="445"/>
      <c r="FAG99" s="414"/>
      <c r="FAJ99" s="445"/>
      <c r="FAK99" s="414"/>
      <c r="FAN99" s="445"/>
      <c r="FAO99" s="414"/>
      <c r="FAR99" s="445"/>
      <c r="FAS99" s="414"/>
      <c r="FAV99" s="445"/>
      <c r="FAW99" s="414"/>
      <c r="FAZ99" s="445"/>
      <c r="FBA99" s="414"/>
      <c r="FBD99" s="445"/>
      <c r="FBE99" s="414"/>
      <c r="FBH99" s="445"/>
      <c r="FBI99" s="414"/>
      <c r="FBL99" s="445"/>
      <c r="FBM99" s="414"/>
      <c r="FBP99" s="445"/>
      <c r="FBQ99" s="414"/>
      <c r="FBT99" s="445"/>
      <c r="FBU99" s="414"/>
      <c r="FBX99" s="445"/>
      <c r="FBY99" s="414"/>
      <c r="FCB99" s="445"/>
      <c r="FCC99" s="414"/>
      <c r="FCF99" s="445"/>
      <c r="FCG99" s="414"/>
      <c r="FCJ99" s="445"/>
      <c r="FCK99" s="414"/>
      <c r="FCN99" s="445"/>
      <c r="FCO99" s="414"/>
      <c r="FCR99" s="445"/>
      <c r="FCS99" s="414"/>
      <c r="FCV99" s="445"/>
      <c r="FCW99" s="414"/>
      <c r="FCZ99" s="445"/>
      <c r="FDA99" s="414"/>
      <c r="FDD99" s="445"/>
      <c r="FDE99" s="414"/>
      <c r="FDH99" s="445"/>
      <c r="FDI99" s="414"/>
      <c r="FDL99" s="445"/>
      <c r="FDM99" s="414"/>
      <c r="FDP99" s="445"/>
      <c r="FDQ99" s="414"/>
      <c r="FDT99" s="445"/>
      <c r="FDU99" s="414"/>
      <c r="FDX99" s="445"/>
      <c r="FDY99" s="414"/>
      <c r="FEB99" s="445"/>
      <c r="FEC99" s="414"/>
      <c r="FEF99" s="445"/>
      <c r="FEG99" s="414"/>
      <c r="FEJ99" s="445"/>
      <c r="FEK99" s="414"/>
      <c r="FEN99" s="445"/>
      <c r="FEO99" s="414"/>
      <c r="FER99" s="445"/>
      <c r="FES99" s="414"/>
      <c r="FEV99" s="445"/>
      <c r="FEW99" s="414"/>
      <c r="FEZ99" s="445"/>
      <c r="FFA99" s="414"/>
      <c r="FFD99" s="445"/>
      <c r="FFE99" s="414"/>
      <c r="FFH99" s="445"/>
      <c r="FFI99" s="414"/>
      <c r="FFL99" s="445"/>
      <c r="FFM99" s="414"/>
      <c r="FFP99" s="445"/>
      <c r="FFQ99" s="414"/>
      <c r="FFT99" s="445"/>
      <c r="FFU99" s="414"/>
      <c r="FFX99" s="445"/>
      <c r="FFY99" s="414"/>
      <c r="FGB99" s="445"/>
      <c r="FGC99" s="414"/>
      <c r="FGF99" s="445"/>
      <c r="FGG99" s="414"/>
      <c r="FGJ99" s="445"/>
      <c r="FGK99" s="414"/>
      <c r="FGN99" s="445"/>
      <c r="FGO99" s="414"/>
      <c r="FGR99" s="445"/>
      <c r="FGS99" s="414"/>
      <c r="FGV99" s="445"/>
      <c r="FGW99" s="414"/>
      <c r="FGZ99" s="445"/>
      <c r="FHA99" s="414"/>
      <c r="FHD99" s="445"/>
      <c r="FHE99" s="414"/>
      <c r="FHH99" s="445"/>
      <c r="FHI99" s="414"/>
      <c r="FHL99" s="445"/>
      <c r="FHM99" s="414"/>
      <c r="FHP99" s="445"/>
      <c r="FHQ99" s="414"/>
      <c r="FHT99" s="445"/>
      <c r="FHU99" s="414"/>
      <c r="FHX99" s="445"/>
      <c r="FHY99" s="414"/>
      <c r="FIB99" s="445"/>
      <c r="FIC99" s="414"/>
      <c r="FIF99" s="445"/>
      <c r="FIG99" s="414"/>
      <c r="FIJ99" s="445"/>
      <c r="FIK99" s="414"/>
      <c r="FIN99" s="445"/>
      <c r="FIO99" s="414"/>
      <c r="FIR99" s="445"/>
      <c r="FIS99" s="414"/>
      <c r="FIV99" s="445"/>
      <c r="FIW99" s="414"/>
      <c r="FIZ99" s="445"/>
      <c r="FJA99" s="414"/>
      <c r="FJD99" s="445"/>
      <c r="FJE99" s="414"/>
      <c r="FJH99" s="445"/>
      <c r="FJI99" s="414"/>
      <c r="FJL99" s="445"/>
      <c r="FJM99" s="414"/>
      <c r="FJP99" s="445"/>
      <c r="FJQ99" s="414"/>
      <c r="FJT99" s="445"/>
      <c r="FJU99" s="414"/>
      <c r="FJX99" s="445"/>
      <c r="FJY99" s="414"/>
      <c r="FKB99" s="445"/>
      <c r="FKC99" s="414"/>
      <c r="FKF99" s="445"/>
      <c r="FKG99" s="414"/>
      <c r="FKJ99" s="445"/>
      <c r="FKK99" s="414"/>
      <c r="FKN99" s="445"/>
      <c r="FKO99" s="414"/>
      <c r="FKR99" s="445"/>
      <c r="FKS99" s="414"/>
      <c r="FKV99" s="445"/>
      <c r="FKW99" s="414"/>
      <c r="FKZ99" s="445"/>
      <c r="FLA99" s="414"/>
      <c r="FLD99" s="445"/>
      <c r="FLE99" s="414"/>
      <c r="FLH99" s="445"/>
      <c r="FLI99" s="414"/>
      <c r="FLL99" s="445"/>
      <c r="FLM99" s="414"/>
      <c r="FLP99" s="445"/>
      <c r="FLQ99" s="414"/>
      <c r="FLT99" s="445"/>
      <c r="FLU99" s="414"/>
      <c r="FLX99" s="445"/>
      <c r="FLY99" s="414"/>
      <c r="FMB99" s="445"/>
      <c r="FMC99" s="414"/>
      <c r="FMF99" s="445"/>
      <c r="FMG99" s="414"/>
      <c r="FMJ99" s="445"/>
      <c r="FMK99" s="414"/>
      <c r="FMN99" s="445"/>
      <c r="FMO99" s="414"/>
      <c r="FMR99" s="445"/>
      <c r="FMS99" s="414"/>
      <c r="FMV99" s="445"/>
      <c r="FMW99" s="414"/>
      <c r="FMZ99" s="445"/>
      <c r="FNA99" s="414"/>
      <c r="FND99" s="445"/>
      <c r="FNE99" s="414"/>
      <c r="FNH99" s="445"/>
      <c r="FNI99" s="414"/>
      <c r="FNL99" s="445"/>
      <c r="FNM99" s="414"/>
      <c r="FNP99" s="445"/>
      <c r="FNQ99" s="414"/>
      <c r="FNT99" s="445"/>
      <c r="FNU99" s="414"/>
      <c r="FNX99" s="445"/>
      <c r="FNY99" s="414"/>
      <c r="FOB99" s="445"/>
      <c r="FOC99" s="414"/>
      <c r="FOF99" s="445"/>
      <c r="FOG99" s="414"/>
      <c r="FOJ99" s="445"/>
      <c r="FOK99" s="414"/>
      <c r="FON99" s="445"/>
      <c r="FOO99" s="414"/>
      <c r="FOR99" s="445"/>
      <c r="FOS99" s="414"/>
      <c r="FOV99" s="445"/>
      <c r="FOW99" s="414"/>
      <c r="FOZ99" s="445"/>
      <c r="FPA99" s="414"/>
      <c r="FPD99" s="445"/>
      <c r="FPE99" s="414"/>
      <c r="FPH99" s="445"/>
      <c r="FPI99" s="414"/>
      <c r="FPL99" s="445"/>
      <c r="FPM99" s="414"/>
      <c r="FPP99" s="445"/>
      <c r="FPQ99" s="414"/>
      <c r="FPT99" s="445"/>
      <c r="FPU99" s="414"/>
      <c r="FPX99" s="445"/>
      <c r="FPY99" s="414"/>
      <c r="FQB99" s="445"/>
      <c r="FQC99" s="414"/>
      <c r="FQF99" s="445"/>
      <c r="FQG99" s="414"/>
      <c r="FQJ99" s="445"/>
      <c r="FQK99" s="414"/>
      <c r="FQN99" s="445"/>
      <c r="FQO99" s="414"/>
      <c r="FQR99" s="445"/>
      <c r="FQS99" s="414"/>
      <c r="FQV99" s="445"/>
      <c r="FQW99" s="414"/>
      <c r="FQZ99" s="445"/>
      <c r="FRA99" s="414"/>
      <c r="FRD99" s="445"/>
      <c r="FRE99" s="414"/>
      <c r="FRH99" s="445"/>
      <c r="FRI99" s="414"/>
      <c r="FRL99" s="445"/>
      <c r="FRM99" s="414"/>
      <c r="FRP99" s="445"/>
      <c r="FRQ99" s="414"/>
      <c r="FRT99" s="445"/>
      <c r="FRU99" s="414"/>
      <c r="FRX99" s="445"/>
      <c r="FRY99" s="414"/>
      <c r="FSB99" s="445"/>
      <c r="FSC99" s="414"/>
      <c r="FSF99" s="445"/>
      <c r="FSG99" s="414"/>
      <c r="FSJ99" s="445"/>
      <c r="FSK99" s="414"/>
      <c r="FSN99" s="445"/>
      <c r="FSO99" s="414"/>
      <c r="FSR99" s="445"/>
      <c r="FSS99" s="414"/>
      <c r="FSV99" s="445"/>
      <c r="FSW99" s="414"/>
      <c r="FSZ99" s="445"/>
      <c r="FTA99" s="414"/>
      <c r="FTD99" s="445"/>
      <c r="FTE99" s="414"/>
      <c r="FTH99" s="445"/>
      <c r="FTI99" s="414"/>
      <c r="FTL99" s="445"/>
      <c r="FTM99" s="414"/>
      <c r="FTP99" s="445"/>
      <c r="FTQ99" s="414"/>
      <c r="FTT99" s="445"/>
      <c r="FTU99" s="414"/>
      <c r="FTX99" s="445"/>
      <c r="FTY99" s="414"/>
      <c r="FUB99" s="445"/>
      <c r="FUC99" s="414"/>
      <c r="FUF99" s="445"/>
      <c r="FUG99" s="414"/>
      <c r="FUJ99" s="445"/>
      <c r="FUK99" s="414"/>
      <c r="FUN99" s="445"/>
      <c r="FUO99" s="414"/>
      <c r="FUR99" s="445"/>
      <c r="FUS99" s="414"/>
      <c r="FUV99" s="445"/>
      <c r="FUW99" s="414"/>
      <c r="FUZ99" s="445"/>
      <c r="FVA99" s="414"/>
      <c r="FVD99" s="445"/>
      <c r="FVE99" s="414"/>
      <c r="FVH99" s="445"/>
      <c r="FVI99" s="414"/>
      <c r="FVL99" s="445"/>
      <c r="FVM99" s="414"/>
      <c r="FVP99" s="445"/>
      <c r="FVQ99" s="414"/>
      <c r="FVT99" s="445"/>
      <c r="FVU99" s="414"/>
      <c r="FVX99" s="445"/>
      <c r="FVY99" s="414"/>
      <c r="FWB99" s="445"/>
      <c r="FWC99" s="414"/>
      <c r="FWF99" s="445"/>
      <c r="FWG99" s="414"/>
      <c r="FWJ99" s="445"/>
      <c r="FWK99" s="414"/>
      <c r="FWN99" s="445"/>
      <c r="FWO99" s="414"/>
      <c r="FWR99" s="445"/>
      <c r="FWS99" s="414"/>
      <c r="FWV99" s="445"/>
      <c r="FWW99" s="414"/>
      <c r="FWZ99" s="445"/>
      <c r="FXA99" s="414"/>
      <c r="FXD99" s="445"/>
      <c r="FXE99" s="414"/>
      <c r="FXH99" s="445"/>
      <c r="FXI99" s="414"/>
      <c r="FXL99" s="445"/>
      <c r="FXM99" s="414"/>
      <c r="FXP99" s="445"/>
      <c r="FXQ99" s="414"/>
      <c r="FXT99" s="445"/>
      <c r="FXU99" s="414"/>
      <c r="FXX99" s="445"/>
      <c r="FXY99" s="414"/>
      <c r="FYB99" s="445"/>
      <c r="FYC99" s="414"/>
      <c r="FYF99" s="445"/>
      <c r="FYG99" s="414"/>
      <c r="FYJ99" s="445"/>
      <c r="FYK99" s="414"/>
      <c r="FYN99" s="445"/>
      <c r="FYO99" s="414"/>
      <c r="FYR99" s="445"/>
      <c r="FYS99" s="414"/>
      <c r="FYV99" s="445"/>
      <c r="FYW99" s="414"/>
      <c r="FYZ99" s="445"/>
      <c r="FZA99" s="414"/>
      <c r="FZD99" s="445"/>
      <c r="FZE99" s="414"/>
      <c r="FZH99" s="445"/>
      <c r="FZI99" s="414"/>
      <c r="FZL99" s="445"/>
      <c r="FZM99" s="414"/>
      <c r="FZP99" s="445"/>
      <c r="FZQ99" s="414"/>
      <c r="FZT99" s="445"/>
      <c r="FZU99" s="414"/>
      <c r="FZX99" s="445"/>
      <c r="FZY99" s="414"/>
      <c r="GAB99" s="445"/>
      <c r="GAC99" s="414"/>
      <c r="GAF99" s="445"/>
      <c r="GAG99" s="414"/>
      <c r="GAJ99" s="445"/>
      <c r="GAK99" s="414"/>
      <c r="GAN99" s="445"/>
      <c r="GAO99" s="414"/>
      <c r="GAR99" s="445"/>
      <c r="GAS99" s="414"/>
      <c r="GAV99" s="445"/>
      <c r="GAW99" s="414"/>
      <c r="GAZ99" s="445"/>
      <c r="GBA99" s="414"/>
      <c r="GBD99" s="445"/>
      <c r="GBE99" s="414"/>
      <c r="GBH99" s="445"/>
      <c r="GBI99" s="414"/>
      <c r="GBL99" s="445"/>
      <c r="GBM99" s="414"/>
      <c r="GBP99" s="445"/>
      <c r="GBQ99" s="414"/>
      <c r="GBT99" s="445"/>
      <c r="GBU99" s="414"/>
      <c r="GBX99" s="445"/>
      <c r="GBY99" s="414"/>
      <c r="GCB99" s="445"/>
      <c r="GCC99" s="414"/>
      <c r="GCF99" s="445"/>
      <c r="GCG99" s="414"/>
      <c r="GCJ99" s="445"/>
      <c r="GCK99" s="414"/>
      <c r="GCN99" s="445"/>
      <c r="GCO99" s="414"/>
      <c r="GCR99" s="445"/>
      <c r="GCS99" s="414"/>
      <c r="GCV99" s="445"/>
      <c r="GCW99" s="414"/>
      <c r="GCZ99" s="445"/>
      <c r="GDA99" s="414"/>
      <c r="GDD99" s="445"/>
      <c r="GDE99" s="414"/>
      <c r="GDH99" s="445"/>
      <c r="GDI99" s="414"/>
      <c r="GDL99" s="445"/>
      <c r="GDM99" s="414"/>
      <c r="GDP99" s="445"/>
      <c r="GDQ99" s="414"/>
      <c r="GDT99" s="445"/>
      <c r="GDU99" s="414"/>
      <c r="GDX99" s="445"/>
      <c r="GDY99" s="414"/>
      <c r="GEB99" s="445"/>
      <c r="GEC99" s="414"/>
      <c r="GEF99" s="445"/>
      <c r="GEG99" s="414"/>
      <c r="GEJ99" s="445"/>
      <c r="GEK99" s="414"/>
      <c r="GEN99" s="445"/>
      <c r="GEO99" s="414"/>
      <c r="GER99" s="445"/>
      <c r="GES99" s="414"/>
      <c r="GEV99" s="445"/>
      <c r="GEW99" s="414"/>
      <c r="GEZ99" s="445"/>
      <c r="GFA99" s="414"/>
      <c r="GFD99" s="445"/>
      <c r="GFE99" s="414"/>
      <c r="GFH99" s="445"/>
      <c r="GFI99" s="414"/>
      <c r="GFL99" s="445"/>
      <c r="GFM99" s="414"/>
      <c r="GFP99" s="445"/>
      <c r="GFQ99" s="414"/>
      <c r="GFT99" s="445"/>
      <c r="GFU99" s="414"/>
      <c r="GFX99" s="445"/>
      <c r="GFY99" s="414"/>
      <c r="GGB99" s="445"/>
      <c r="GGC99" s="414"/>
      <c r="GGF99" s="445"/>
      <c r="GGG99" s="414"/>
      <c r="GGJ99" s="445"/>
      <c r="GGK99" s="414"/>
      <c r="GGN99" s="445"/>
      <c r="GGO99" s="414"/>
      <c r="GGR99" s="445"/>
      <c r="GGS99" s="414"/>
      <c r="GGV99" s="445"/>
      <c r="GGW99" s="414"/>
      <c r="GGZ99" s="445"/>
      <c r="GHA99" s="414"/>
      <c r="GHD99" s="445"/>
      <c r="GHE99" s="414"/>
      <c r="GHH99" s="445"/>
      <c r="GHI99" s="414"/>
      <c r="GHL99" s="445"/>
      <c r="GHM99" s="414"/>
      <c r="GHP99" s="445"/>
      <c r="GHQ99" s="414"/>
      <c r="GHT99" s="445"/>
      <c r="GHU99" s="414"/>
      <c r="GHX99" s="445"/>
      <c r="GHY99" s="414"/>
      <c r="GIB99" s="445"/>
      <c r="GIC99" s="414"/>
      <c r="GIF99" s="445"/>
      <c r="GIG99" s="414"/>
      <c r="GIJ99" s="445"/>
      <c r="GIK99" s="414"/>
      <c r="GIN99" s="445"/>
      <c r="GIO99" s="414"/>
      <c r="GIR99" s="445"/>
      <c r="GIS99" s="414"/>
      <c r="GIV99" s="445"/>
      <c r="GIW99" s="414"/>
      <c r="GIZ99" s="445"/>
      <c r="GJA99" s="414"/>
      <c r="GJD99" s="445"/>
      <c r="GJE99" s="414"/>
      <c r="GJH99" s="445"/>
      <c r="GJI99" s="414"/>
      <c r="GJL99" s="445"/>
      <c r="GJM99" s="414"/>
      <c r="GJP99" s="445"/>
      <c r="GJQ99" s="414"/>
      <c r="GJT99" s="445"/>
      <c r="GJU99" s="414"/>
      <c r="GJX99" s="445"/>
      <c r="GJY99" s="414"/>
      <c r="GKB99" s="445"/>
      <c r="GKC99" s="414"/>
      <c r="GKF99" s="445"/>
      <c r="GKG99" s="414"/>
      <c r="GKJ99" s="445"/>
      <c r="GKK99" s="414"/>
      <c r="GKN99" s="445"/>
      <c r="GKO99" s="414"/>
      <c r="GKR99" s="445"/>
      <c r="GKS99" s="414"/>
      <c r="GKV99" s="445"/>
      <c r="GKW99" s="414"/>
      <c r="GKZ99" s="445"/>
      <c r="GLA99" s="414"/>
      <c r="GLD99" s="445"/>
      <c r="GLE99" s="414"/>
      <c r="GLH99" s="445"/>
      <c r="GLI99" s="414"/>
      <c r="GLL99" s="445"/>
      <c r="GLM99" s="414"/>
      <c r="GLP99" s="445"/>
      <c r="GLQ99" s="414"/>
      <c r="GLT99" s="445"/>
      <c r="GLU99" s="414"/>
      <c r="GLX99" s="445"/>
      <c r="GLY99" s="414"/>
      <c r="GMB99" s="445"/>
      <c r="GMC99" s="414"/>
      <c r="GMF99" s="445"/>
      <c r="GMG99" s="414"/>
      <c r="GMJ99" s="445"/>
      <c r="GMK99" s="414"/>
      <c r="GMN99" s="445"/>
      <c r="GMO99" s="414"/>
      <c r="GMR99" s="445"/>
      <c r="GMS99" s="414"/>
      <c r="GMV99" s="445"/>
      <c r="GMW99" s="414"/>
      <c r="GMZ99" s="445"/>
      <c r="GNA99" s="414"/>
      <c r="GND99" s="445"/>
      <c r="GNE99" s="414"/>
      <c r="GNH99" s="445"/>
      <c r="GNI99" s="414"/>
      <c r="GNL99" s="445"/>
      <c r="GNM99" s="414"/>
      <c r="GNP99" s="445"/>
      <c r="GNQ99" s="414"/>
      <c r="GNT99" s="445"/>
      <c r="GNU99" s="414"/>
      <c r="GNX99" s="445"/>
      <c r="GNY99" s="414"/>
      <c r="GOB99" s="445"/>
      <c r="GOC99" s="414"/>
      <c r="GOF99" s="445"/>
      <c r="GOG99" s="414"/>
      <c r="GOJ99" s="445"/>
      <c r="GOK99" s="414"/>
      <c r="GON99" s="445"/>
      <c r="GOO99" s="414"/>
      <c r="GOR99" s="445"/>
      <c r="GOS99" s="414"/>
      <c r="GOV99" s="445"/>
      <c r="GOW99" s="414"/>
      <c r="GOZ99" s="445"/>
      <c r="GPA99" s="414"/>
      <c r="GPD99" s="445"/>
      <c r="GPE99" s="414"/>
      <c r="GPH99" s="445"/>
      <c r="GPI99" s="414"/>
      <c r="GPL99" s="445"/>
      <c r="GPM99" s="414"/>
      <c r="GPP99" s="445"/>
      <c r="GPQ99" s="414"/>
      <c r="GPT99" s="445"/>
      <c r="GPU99" s="414"/>
      <c r="GPX99" s="445"/>
      <c r="GPY99" s="414"/>
      <c r="GQB99" s="445"/>
      <c r="GQC99" s="414"/>
      <c r="GQF99" s="445"/>
      <c r="GQG99" s="414"/>
      <c r="GQJ99" s="445"/>
      <c r="GQK99" s="414"/>
      <c r="GQN99" s="445"/>
      <c r="GQO99" s="414"/>
      <c r="GQR99" s="445"/>
      <c r="GQS99" s="414"/>
      <c r="GQV99" s="445"/>
      <c r="GQW99" s="414"/>
      <c r="GQZ99" s="445"/>
      <c r="GRA99" s="414"/>
      <c r="GRD99" s="445"/>
      <c r="GRE99" s="414"/>
      <c r="GRH99" s="445"/>
      <c r="GRI99" s="414"/>
      <c r="GRL99" s="445"/>
      <c r="GRM99" s="414"/>
      <c r="GRP99" s="445"/>
      <c r="GRQ99" s="414"/>
      <c r="GRT99" s="445"/>
      <c r="GRU99" s="414"/>
      <c r="GRX99" s="445"/>
      <c r="GRY99" s="414"/>
      <c r="GSB99" s="445"/>
      <c r="GSC99" s="414"/>
      <c r="GSF99" s="445"/>
      <c r="GSG99" s="414"/>
      <c r="GSJ99" s="445"/>
      <c r="GSK99" s="414"/>
      <c r="GSN99" s="445"/>
      <c r="GSO99" s="414"/>
      <c r="GSR99" s="445"/>
      <c r="GSS99" s="414"/>
      <c r="GSV99" s="445"/>
      <c r="GSW99" s="414"/>
      <c r="GSZ99" s="445"/>
      <c r="GTA99" s="414"/>
      <c r="GTD99" s="445"/>
      <c r="GTE99" s="414"/>
      <c r="GTH99" s="445"/>
      <c r="GTI99" s="414"/>
      <c r="GTL99" s="445"/>
      <c r="GTM99" s="414"/>
      <c r="GTP99" s="445"/>
      <c r="GTQ99" s="414"/>
      <c r="GTT99" s="445"/>
      <c r="GTU99" s="414"/>
      <c r="GTX99" s="445"/>
      <c r="GTY99" s="414"/>
      <c r="GUB99" s="445"/>
      <c r="GUC99" s="414"/>
      <c r="GUF99" s="445"/>
      <c r="GUG99" s="414"/>
      <c r="GUJ99" s="445"/>
      <c r="GUK99" s="414"/>
      <c r="GUN99" s="445"/>
      <c r="GUO99" s="414"/>
      <c r="GUR99" s="445"/>
      <c r="GUS99" s="414"/>
      <c r="GUV99" s="445"/>
      <c r="GUW99" s="414"/>
      <c r="GUZ99" s="445"/>
      <c r="GVA99" s="414"/>
      <c r="GVD99" s="445"/>
      <c r="GVE99" s="414"/>
      <c r="GVH99" s="445"/>
      <c r="GVI99" s="414"/>
      <c r="GVL99" s="445"/>
      <c r="GVM99" s="414"/>
      <c r="GVP99" s="445"/>
      <c r="GVQ99" s="414"/>
      <c r="GVT99" s="445"/>
      <c r="GVU99" s="414"/>
      <c r="GVX99" s="445"/>
      <c r="GVY99" s="414"/>
      <c r="GWB99" s="445"/>
      <c r="GWC99" s="414"/>
      <c r="GWF99" s="445"/>
      <c r="GWG99" s="414"/>
      <c r="GWJ99" s="445"/>
      <c r="GWK99" s="414"/>
      <c r="GWN99" s="445"/>
      <c r="GWO99" s="414"/>
      <c r="GWR99" s="445"/>
      <c r="GWS99" s="414"/>
      <c r="GWV99" s="445"/>
      <c r="GWW99" s="414"/>
      <c r="GWZ99" s="445"/>
      <c r="GXA99" s="414"/>
      <c r="GXD99" s="445"/>
      <c r="GXE99" s="414"/>
      <c r="GXH99" s="445"/>
      <c r="GXI99" s="414"/>
      <c r="GXL99" s="445"/>
      <c r="GXM99" s="414"/>
      <c r="GXP99" s="445"/>
      <c r="GXQ99" s="414"/>
      <c r="GXT99" s="445"/>
      <c r="GXU99" s="414"/>
      <c r="GXX99" s="445"/>
      <c r="GXY99" s="414"/>
      <c r="GYB99" s="445"/>
      <c r="GYC99" s="414"/>
      <c r="GYF99" s="445"/>
      <c r="GYG99" s="414"/>
      <c r="GYJ99" s="445"/>
      <c r="GYK99" s="414"/>
      <c r="GYN99" s="445"/>
      <c r="GYO99" s="414"/>
      <c r="GYR99" s="445"/>
      <c r="GYS99" s="414"/>
      <c r="GYV99" s="445"/>
      <c r="GYW99" s="414"/>
      <c r="GYZ99" s="445"/>
      <c r="GZA99" s="414"/>
      <c r="GZD99" s="445"/>
      <c r="GZE99" s="414"/>
      <c r="GZH99" s="445"/>
      <c r="GZI99" s="414"/>
      <c r="GZL99" s="445"/>
      <c r="GZM99" s="414"/>
      <c r="GZP99" s="445"/>
      <c r="GZQ99" s="414"/>
      <c r="GZT99" s="445"/>
      <c r="GZU99" s="414"/>
      <c r="GZX99" s="445"/>
      <c r="GZY99" s="414"/>
      <c r="HAB99" s="445"/>
      <c r="HAC99" s="414"/>
      <c r="HAF99" s="445"/>
      <c r="HAG99" s="414"/>
      <c r="HAJ99" s="445"/>
      <c r="HAK99" s="414"/>
      <c r="HAN99" s="445"/>
      <c r="HAO99" s="414"/>
      <c r="HAR99" s="445"/>
      <c r="HAS99" s="414"/>
      <c r="HAV99" s="445"/>
      <c r="HAW99" s="414"/>
      <c r="HAZ99" s="445"/>
      <c r="HBA99" s="414"/>
      <c r="HBD99" s="445"/>
      <c r="HBE99" s="414"/>
      <c r="HBH99" s="445"/>
      <c r="HBI99" s="414"/>
      <c r="HBL99" s="445"/>
      <c r="HBM99" s="414"/>
      <c r="HBP99" s="445"/>
      <c r="HBQ99" s="414"/>
      <c r="HBT99" s="445"/>
      <c r="HBU99" s="414"/>
      <c r="HBX99" s="445"/>
      <c r="HBY99" s="414"/>
      <c r="HCB99" s="445"/>
      <c r="HCC99" s="414"/>
      <c r="HCF99" s="445"/>
      <c r="HCG99" s="414"/>
      <c r="HCJ99" s="445"/>
      <c r="HCK99" s="414"/>
      <c r="HCN99" s="445"/>
      <c r="HCO99" s="414"/>
      <c r="HCR99" s="445"/>
      <c r="HCS99" s="414"/>
      <c r="HCV99" s="445"/>
      <c r="HCW99" s="414"/>
      <c r="HCZ99" s="445"/>
      <c r="HDA99" s="414"/>
      <c r="HDD99" s="445"/>
      <c r="HDE99" s="414"/>
      <c r="HDH99" s="445"/>
      <c r="HDI99" s="414"/>
      <c r="HDL99" s="445"/>
      <c r="HDM99" s="414"/>
      <c r="HDP99" s="445"/>
      <c r="HDQ99" s="414"/>
      <c r="HDT99" s="445"/>
      <c r="HDU99" s="414"/>
      <c r="HDX99" s="445"/>
      <c r="HDY99" s="414"/>
      <c r="HEB99" s="445"/>
      <c r="HEC99" s="414"/>
      <c r="HEF99" s="445"/>
      <c r="HEG99" s="414"/>
      <c r="HEJ99" s="445"/>
      <c r="HEK99" s="414"/>
      <c r="HEN99" s="445"/>
      <c r="HEO99" s="414"/>
      <c r="HER99" s="445"/>
      <c r="HES99" s="414"/>
      <c r="HEV99" s="445"/>
      <c r="HEW99" s="414"/>
      <c r="HEZ99" s="445"/>
      <c r="HFA99" s="414"/>
      <c r="HFD99" s="445"/>
      <c r="HFE99" s="414"/>
      <c r="HFH99" s="445"/>
      <c r="HFI99" s="414"/>
      <c r="HFL99" s="445"/>
      <c r="HFM99" s="414"/>
      <c r="HFP99" s="445"/>
      <c r="HFQ99" s="414"/>
      <c r="HFT99" s="445"/>
      <c r="HFU99" s="414"/>
      <c r="HFX99" s="445"/>
      <c r="HFY99" s="414"/>
      <c r="HGB99" s="445"/>
      <c r="HGC99" s="414"/>
      <c r="HGF99" s="445"/>
      <c r="HGG99" s="414"/>
      <c r="HGJ99" s="445"/>
      <c r="HGK99" s="414"/>
      <c r="HGN99" s="445"/>
      <c r="HGO99" s="414"/>
      <c r="HGR99" s="445"/>
      <c r="HGS99" s="414"/>
      <c r="HGV99" s="445"/>
      <c r="HGW99" s="414"/>
      <c r="HGZ99" s="445"/>
      <c r="HHA99" s="414"/>
      <c r="HHD99" s="445"/>
      <c r="HHE99" s="414"/>
      <c r="HHH99" s="445"/>
      <c r="HHI99" s="414"/>
      <c r="HHL99" s="445"/>
      <c r="HHM99" s="414"/>
      <c r="HHP99" s="445"/>
      <c r="HHQ99" s="414"/>
      <c r="HHT99" s="445"/>
      <c r="HHU99" s="414"/>
      <c r="HHX99" s="445"/>
      <c r="HHY99" s="414"/>
      <c r="HIB99" s="445"/>
      <c r="HIC99" s="414"/>
      <c r="HIF99" s="445"/>
      <c r="HIG99" s="414"/>
      <c r="HIJ99" s="445"/>
      <c r="HIK99" s="414"/>
      <c r="HIN99" s="445"/>
      <c r="HIO99" s="414"/>
      <c r="HIR99" s="445"/>
      <c r="HIS99" s="414"/>
      <c r="HIV99" s="445"/>
      <c r="HIW99" s="414"/>
      <c r="HIZ99" s="445"/>
      <c r="HJA99" s="414"/>
      <c r="HJD99" s="445"/>
      <c r="HJE99" s="414"/>
      <c r="HJH99" s="445"/>
      <c r="HJI99" s="414"/>
      <c r="HJL99" s="445"/>
      <c r="HJM99" s="414"/>
      <c r="HJP99" s="445"/>
      <c r="HJQ99" s="414"/>
      <c r="HJT99" s="445"/>
      <c r="HJU99" s="414"/>
      <c r="HJX99" s="445"/>
      <c r="HJY99" s="414"/>
      <c r="HKB99" s="445"/>
      <c r="HKC99" s="414"/>
      <c r="HKF99" s="445"/>
      <c r="HKG99" s="414"/>
      <c r="HKJ99" s="445"/>
      <c r="HKK99" s="414"/>
      <c r="HKN99" s="445"/>
      <c r="HKO99" s="414"/>
      <c r="HKR99" s="445"/>
      <c r="HKS99" s="414"/>
      <c r="HKV99" s="445"/>
      <c r="HKW99" s="414"/>
      <c r="HKZ99" s="445"/>
      <c r="HLA99" s="414"/>
      <c r="HLD99" s="445"/>
      <c r="HLE99" s="414"/>
      <c r="HLH99" s="445"/>
      <c r="HLI99" s="414"/>
      <c r="HLL99" s="445"/>
      <c r="HLM99" s="414"/>
      <c r="HLP99" s="445"/>
      <c r="HLQ99" s="414"/>
      <c r="HLT99" s="445"/>
      <c r="HLU99" s="414"/>
      <c r="HLX99" s="445"/>
      <c r="HLY99" s="414"/>
      <c r="HMB99" s="445"/>
      <c r="HMC99" s="414"/>
      <c r="HMF99" s="445"/>
      <c r="HMG99" s="414"/>
      <c r="HMJ99" s="445"/>
      <c r="HMK99" s="414"/>
      <c r="HMN99" s="445"/>
      <c r="HMO99" s="414"/>
      <c r="HMR99" s="445"/>
      <c r="HMS99" s="414"/>
      <c r="HMV99" s="445"/>
      <c r="HMW99" s="414"/>
      <c r="HMZ99" s="445"/>
      <c r="HNA99" s="414"/>
      <c r="HND99" s="445"/>
      <c r="HNE99" s="414"/>
      <c r="HNH99" s="445"/>
      <c r="HNI99" s="414"/>
      <c r="HNL99" s="445"/>
      <c r="HNM99" s="414"/>
      <c r="HNP99" s="445"/>
      <c r="HNQ99" s="414"/>
      <c r="HNT99" s="445"/>
      <c r="HNU99" s="414"/>
      <c r="HNX99" s="445"/>
      <c r="HNY99" s="414"/>
      <c r="HOB99" s="445"/>
      <c r="HOC99" s="414"/>
      <c r="HOF99" s="445"/>
      <c r="HOG99" s="414"/>
      <c r="HOJ99" s="445"/>
      <c r="HOK99" s="414"/>
      <c r="HON99" s="445"/>
      <c r="HOO99" s="414"/>
      <c r="HOR99" s="445"/>
      <c r="HOS99" s="414"/>
      <c r="HOV99" s="445"/>
      <c r="HOW99" s="414"/>
      <c r="HOZ99" s="445"/>
      <c r="HPA99" s="414"/>
      <c r="HPD99" s="445"/>
      <c r="HPE99" s="414"/>
      <c r="HPH99" s="445"/>
      <c r="HPI99" s="414"/>
      <c r="HPL99" s="445"/>
      <c r="HPM99" s="414"/>
      <c r="HPP99" s="445"/>
      <c r="HPQ99" s="414"/>
      <c r="HPT99" s="445"/>
      <c r="HPU99" s="414"/>
      <c r="HPX99" s="445"/>
      <c r="HPY99" s="414"/>
      <c r="HQB99" s="445"/>
      <c r="HQC99" s="414"/>
      <c r="HQF99" s="445"/>
      <c r="HQG99" s="414"/>
      <c r="HQJ99" s="445"/>
      <c r="HQK99" s="414"/>
      <c r="HQN99" s="445"/>
      <c r="HQO99" s="414"/>
      <c r="HQR99" s="445"/>
      <c r="HQS99" s="414"/>
      <c r="HQV99" s="445"/>
      <c r="HQW99" s="414"/>
      <c r="HQZ99" s="445"/>
      <c r="HRA99" s="414"/>
      <c r="HRD99" s="445"/>
      <c r="HRE99" s="414"/>
      <c r="HRH99" s="445"/>
      <c r="HRI99" s="414"/>
      <c r="HRL99" s="445"/>
      <c r="HRM99" s="414"/>
      <c r="HRP99" s="445"/>
      <c r="HRQ99" s="414"/>
      <c r="HRT99" s="445"/>
      <c r="HRU99" s="414"/>
      <c r="HRX99" s="445"/>
      <c r="HRY99" s="414"/>
      <c r="HSB99" s="445"/>
      <c r="HSC99" s="414"/>
      <c r="HSF99" s="445"/>
      <c r="HSG99" s="414"/>
      <c r="HSJ99" s="445"/>
      <c r="HSK99" s="414"/>
      <c r="HSN99" s="445"/>
      <c r="HSO99" s="414"/>
      <c r="HSR99" s="445"/>
      <c r="HSS99" s="414"/>
      <c r="HSV99" s="445"/>
      <c r="HSW99" s="414"/>
      <c r="HSZ99" s="445"/>
      <c r="HTA99" s="414"/>
      <c r="HTD99" s="445"/>
      <c r="HTE99" s="414"/>
      <c r="HTH99" s="445"/>
      <c r="HTI99" s="414"/>
      <c r="HTL99" s="445"/>
      <c r="HTM99" s="414"/>
      <c r="HTP99" s="445"/>
      <c r="HTQ99" s="414"/>
      <c r="HTT99" s="445"/>
      <c r="HTU99" s="414"/>
      <c r="HTX99" s="445"/>
      <c r="HTY99" s="414"/>
      <c r="HUB99" s="445"/>
      <c r="HUC99" s="414"/>
      <c r="HUF99" s="445"/>
      <c r="HUG99" s="414"/>
      <c r="HUJ99" s="445"/>
      <c r="HUK99" s="414"/>
      <c r="HUN99" s="445"/>
      <c r="HUO99" s="414"/>
      <c r="HUR99" s="445"/>
      <c r="HUS99" s="414"/>
      <c r="HUV99" s="445"/>
      <c r="HUW99" s="414"/>
      <c r="HUZ99" s="445"/>
      <c r="HVA99" s="414"/>
      <c r="HVD99" s="445"/>
      <c r="HVE99" s="414"/>
      <c r="HVH99" s="445"/>
      <c r="HVI99" s="414"/>
      <c r="HVL99" s="445"/>
      <c r="HVM99" s="414"/>
      <c r="HVP99" s="445"/>
      <c r="HVQ99" s="414"/>
      <c r="HVT99" s="445"/>
      <c r="HVU99" s="414"/>
      <c r="HVX99" s="445"/>
      <c r="HVY99" s="414"/>
      <c r="HWB99" s="445"/>
      <c r="HWC99" s="414"/>
      <c r="HWF99" s="445"/>
      <c r="HWG99" s="414"/>
      <c r="HWJ99" s="445"/>
      <c r="HWK99" s="414"/>
      <c r="HWN99" s="445"/>
      <c r="HWO99" s="414"/>
      <c r="HWR99" s="445"/>
      <c r="HWS99" s="414"/>
      <c r="HWV99" s="445"/>
      <c r="HWW99" s="414"/>
      <c r="HWZ99" s="445"/>
      <c r="HXA99" s="414"/>
      <c r="HXD99" s="445"/>
      <c r="HXE99" s="414"/>
      <c r="HXH99" s="445"/>
      <c r="HXI99" s="414"/>
      <c r="HXL99" s="445"/>
      <c r="HXM99" s="414"/>
      <c r="HXP99" s="445"/>
      <c r="HXQ99" s="414"/>
      <c r="HXT99" s="445"/>
      <c r="HXU99" s="414"/>
      <c r="HXX99" s="445"/>
      <c r="HXY99" s="414"/>
      <c r="HYB99" s="445"/>
      <c r="HYC99" s="414"/>
      <c r="HYF99" s="445"/>
      <c r="HYG99" s="414"/>
      <c r="HYJ99" s="445"/>
      <c r="HYK99" s="414"/>
      <c r="HYN99" s="445"/>
      <c r="HYO99" s="414"/>
      <c r="HYR99" s="445"/>
      <c r="HYS99" s="414"/>
      <c r="HYV99" s="445"/>
      <c r="HYW99" s="414"/>
      <c r="HYZ99" s="445"/>
      <c r="HZA99" s="414"/>
      <c r="HZD99" s="445"/>
      <c r="HZE99" s="414"/>
      <c r="HZH99" s="445"/>
      <c r="HZI99" s="414"/>
      <c r="HZL99" s="445"/>
      <c r="HZM99" s="414"/>
      <c r="HZP99" s="445"/>
      <c r="HZQ99" s="414"/>
      <c r="HZT99" s="445"/>
      <c r="HZU99" s="414"/>
      <c r="HZX99" s="445"/>
      <c r="HZY99" s="414"/>
      <c r="IAB99" s="445"/>
      <c r="IAC99" s="414"/>
      <c r="IAF99" s="445"/>
      <c r="IAG99" s="414"/>
      <c r="IAJ99" s="445"/>
      <c r="IAK99" s="414"/>
      <c r="IAN99" s="445"/>
      <c r="IAO99" s="414"/>
      <c r="IAR99" s="445"/>
      <c r="IAS99" s="414"/>
      <c r="IAV99" s="445"/>
      <c r="IAW99" s="414"/>
      <c r="IAZ99" s="445"/>
      <c r="IBA99" s="414"/>
      <c r="IBD99" s="445"/>
      <c r="IBE99" s="414"/>
      <c r="IBH99" s="445"/>
      <c r="IBI99" s="414"/>
      <c r="IBL99" s="445"/>
      <c r="IBM99" s="414"/>
      <c r="IBP99" s="445"/>
      <c r="IBQ99" s="414"/>
      <c r="IBT99" s="445"/>
      <c r="IBU99" s="414"/>
      <c r="IBX99" s="445"/>
      <c r="IBY99" s="414"/>
      <c r="ICB99" s="445"/>
      <c r="ICC99" s="414"/>
      <c r="ICF99" s="445"/>
      <c r="ICG99" s="414"/>
      <c r="ICJ99" s="445"/>
      <c r="ICK99" s="414"/>
      <c r="ICN99" s="445"/>
      <c r="ICO99" s="414"/>
      <c r="ICR99" s="445"/>
      <c r="ICS99" s="414"/>
      <c r="ICV99" s="445"/>
      <c r="ICW99" s="414"/>
      <c r="ICZ99" s="445"/>
      <c r="IDA99" s="414"/>
      <c r="IDD99" s="445"/>
      <c r="IDE99" s="414"/>
      <c r="IDH99" s="445"/>
      <c r="IDI99" s="414"/>
      <c r="IDL99" s="445"/>
      <c r="IDM99" s="414"/>
      <c r="IDP99" s="445"/>
      <c r="IDQ99" s="414"/>
      <c r="IDT99" s="445"/>
      <c r="IDU99" s="414"/>
      <c r="IDX99" s="445"/>
      <c r="IDY99" s="414"/>
      <c r="IEB99" s="445"/>
      <c r="IEC99" s="414"/>
      <c r="IEF99" s="445"/>
      <c r="IEG99" s="414"/>
      <c r="IEJ99" s="445"/>
      <c r="IEK99" s="414"/>
      <c r="IEN99" s="445"/>
      <c r="IEO99" s="414"/>
      <c r="IER99" s="445"/>
      <c r="IES99" s="414"/>
      <c r="IEV99" s="445"/>
      <c r="IEW99" s="414"/>
      <c r="IEZ99" s="445"/>
      <c r="IFA99" s="414"/>
      <c r="IFD99" s="445"/>
      <c r="IFE99" s="414"/>
      <c r="IFH99" s="445"/>
      <c r="IFI99" s="414"/>
      <c r="IFL99" s="445"/>
      <c r="IFM99" s="414"/>
      <c r="IFP99" s="445"/>
      <c r="IFQ99" s="414"/>
      <c r="IFT99" s="445"/>
      <c r="IFU99" s="414"/>
      <c r="IFX99" s="445"/>
      <c r="IFY99" s="414"/>
      <c r="IGB99" s="445"/>
      <c r="IGC99" s="414"/>
      <c r="IGF99" s="445"/>
      <c r="IGG99" s="414"/>
      <c r="IGJ99" s="445"/>
      <c r="IGK99" s="414"/>
      <c r="IGN99" s="445"/>
      <c r="IGO99" s="414"/>
      <c r="IGR99" s="445"/>
      <c r="IGS99" s="414"/>
      <c r="IGV99" s="445"/>
      <c r="IGW99" s="414"/>
      <c r="IGZ99" s="445"/>
      <c r="IHA99" s="414"/>
      <c r="IHD99" s="445"/>
      <c r="IHE99" s="414"/>
      <c r="IHH99" s="445"/>
      <c r="IHI99" s="414"/>
      <c r="IHL99" s="445"/>
      <c r="IHM99" s="414"/>
      <c r="IHP99" s="445"/>
      <c r="IHQ99" s="414"/>
      <c r="IHT99" s="445"/>
      <c r="IHU99" s="414"/>
      <c r="IHX99" s="445"/>
      <c r="IHY99" s="414"/>
      <c r="IIB99" s="445"/>
      <c r="IIC99" s="414"/>
      <c r="IIF99" s="445"/>
      <c r="IIG99" s="414"/>
      <c r="IIJ99" s="445"/>
      <c r="IIK99" s="414"/>
      <c r="IIN99" s="445"/>
      <c r="IIO99" s="414"/>
      <c r="IIR99" s="445"/>
      <c r="IIS99" s="414"/>
      <c r="IIV99" s="445"/>
      <c r="IIW99" s="414"/>
      <c r="IIZ99" s="445"/>
      <c r="IJA99" s="414"/>
      <c r="IJD99" s="445"/>
      <c r="IJE99" s="414"/>
      <c r="IJH99" s="445"/>
      <c r="IJI99" s="414"/>
      <c r="IJL99" s="445"/>
      <c r="IJM99" s="414"/>
      <c r="IJP99" s="445"/>
      <c r="IJQ99" s="414"/>
      <c r="IJT99" s="445"/>
      <c r="IJU99" s="414"/>
      <c r="IJX99" s="445"/>
      <c r="IJY99" s="414"/>
      <c r="IKB99" s="445"/>
      <c r="IKC99" s="414"/>
      <c r="IKF99" s="445"/>
      <c r="IKG99" s="414"/>
      <c r="IKJ99" s="445"/>
      <c r="IKK99" s="414"/>
      <c r="IKN99" s="445"/>
      <c r="IKO99" s="414"/>
      <c r="IKR99" s="445"/>
      <c r="IKS99" s="414"/>
      <c r="IKV99" s="445"/>
      <c r="IKW99" s="414"/>
      <c r="IKZ99" s="445"/>
      <c r="ILA99" s="414"/>
      <c r="ILD99" s="445"/>
      <c r="ILE99" s="414"/>
      <c r="ILH99" s="445"/>
      <c r="ILI99" s="414"/>
      <c r="ILL99" s="445"/>
      <c r="ILM99" s="414"/>
      <c r="ILP99" s="445"/>
      <c r="ILQ99" s="414"/>
      <c r="ILT99" s="445"/>
      <c r="ILU99" s="414"/>
      <c r="ILX99" s="445"/>
      <c r="ILY99" s="414"/>
      <c r="IMB99" s="445"/>
      <c r="IMC99" s="414"/>
      <c r="IMF99" s="445"/>
      <c r="IMG99" s="414"/>
      <c r="IMJ99" s="445"/>
      <c r="IMK99" s="414"/>
      <c r="IMN99" s="445"/>
      <c r="IMO99" s="414"/>
      <c r="IMR99" s="445"/>
      <c r="IMS99" s="414"/>
      <c r="IMV99" s="445"/>
      <c r="IMW99" s="414"/>
      <c r="IMZ99" s="445"/>
      <c r="INA99" s="414"/>
      <c r="IND99" s="445"/>
      <c r="INE99" s="414"/>
      <c r="INH99" s="445"/>
      <c r="INI99" s="414"/>
      <c r="INL99" s="445"/>
      <c r="INM99" s="414"/>
      <c r="INP99" s="445"/>
      <c r="INQ99" s="414"/>
      <c r="INT99" s="445"/>
      <c r="INU99" s="414"/>
      <c r="INX99" s="445"/>
      <c r="INY99" s="414"/>
      <c r="IOB99" s="445"/>
      <c r="IOC99" s="414"/>
      <c r="IOF99" s="445"/>
      <c r="IOG99" s="414"/>
      <c r="IOJ99" s="445"/>
      <c r="IOK99" s="414"/>
      <c r="ION99" s="445"/>
      <c r="IOO99" s="414"/>
      <c r="IOR99" s="445"/>
      <c r="IOS99" s="414"/>
      <c r="IOV99" s="445"/>
      <c r="IOW99" s="414"/>
      <c r="IOZ99" s="445"/>
      <c r="IPA99" s="414"/>
      <c r="IPD99" s="445"/>
      <c r="IPE99" s="414"/>
      <c r="IPH99" s="445"/>
      <c r="IPI99" s="414"/>
      <c r="IPL99" s="445"/>
      <c r="IPM99" s="414"/>
      <c r="IPP99" s="445"/>
      <c r="IPQ99" s="414"/>
      <c r="IPT99" s="445"/>
      <c r="IPU99" s="414"/>
      <c r="IPX99" s="445"/>
      <c r="IPY99" s="414"/>
      <c r="IQB99" s="445"/>
      <c r="IQC99" s="414"/>
      <c r="IQF99" s="445"/>
      <c r="IQG99" s="414"/>
      <c r="IQJ99" s="445"/>
      <c r="IQK99" s="414"/>
      <c r="IQN99" s="445"/>
      <c r="IQO99" s="414"/>
      <c r="IQR99" s="445"/>
      <c r="IQS99" s="414"/>
      <c r="IQV99" s="445"/>
      <c r="IQW99" s="414"/>
      <c r="IQZ99" s="445"/>
      <c r="IRA99" s="414"/>
      <c r="IRD99" s="445"/>
      <c r="IRE99" s="414"/>
      <c r="IRH99" s="445"/>
      <c r="IRI99" s="414"/>
      <c r="IRL99" s="445"/>
      <c r="IRM99" s="414"/>
      <c r="IRP99" s="445"/>
      <c r="IRQ99" s="414"/>
      <c r="IRT99" s="445"/>
      <c r="IRU99" s="414"/>
      <c r="IRX99" s="445"/>
      <c r="IRY99" s="414"/>
      <c r="ISB99" s="445"/>
      <c r="ISC99" s="414"/>
      <c r="ISF99" s="445"/>
      <c r="ISG99" s="414"/>
      <c r="ISJ99" s="445"/>
      <c r="ISK99" s="414"/>
      <c r="ISN99" s="445"/>
      <c r="ISO99" s="414"/>
      <c r="ISR99" s="445"/>
      <c r="ISS99" s="414"/>
      <c r="ISV99" s="445"/>
      <c r="ISW99" s="414"/>
      <c r="ISZ99" s="445"/>
      <c r="ITA99" s="414"/>
      <c r="ITD99" s="445"/>
      <c r="ITE99" s="414"/>
      <c r="ITH99" s="445"/>
      <c r="ITI99" s="414"/>
      <c r="ITL99" s="445"/>
      <c r="ITM99" s="414"/>
      <c r="ITP99" s="445"/>
      <c r="ITQ99" s="414"/>
      <c r="ITT99" s="445"/>
      <c r="ITU99" s="414"/>
      <c r="ITX99" s="445"/>
      <c r="ITY99" s="414"/>
      <c r="IUB99" s="445"/>
      <c r="IUC99" s="414"/>
      <c r="IUF99" s="445"/>
      <c r="IUG99" s="414"/>
      <c r="IUJ99" s="445"/>
      <c r="IUK99" s="414"/>
      <c r="IUN99" s="445"/>
      <c r="IUO99" s="414"/>
      <c r="IUR99" s="445"/>
      <c r="IUS99" s="414"/>
      <c r="IUV99" s="445"/>
      <c r="IUW99" s="414"/>
      <c r="IUZ99" s="445"/>
      <c r="IVA99" s="414"/>
      <c r="IVD99" s="445"/>
      <c r="IVE99" s="414"/>
      <c r="IVH99" s="445"/>
      <c r="IVI99" s="414"/>
      <c r="IVL99" s="445"/>
      <c r="IVM99" s="414"/>
      <c r="IVP99" s="445"/>
      <c r="IVQ99" s="414"/>
      <c r="IVT99" s="445"/>
      <c r="IVU99" s="414"/>
      <c r="IVX99" s="445"/>
      <c r="IVY99" s="414"/>
      <c r="IWB99" s="445"/>
      <c r="IWC99" s="414"/>
      <c r="IWF99" s="445"/>
      <c r="IWG99" s="414"/>
      <c r="IWJ99" s="445"/>
      <c r="IWK99" s="414"/>
      <c r="IWN99" s="445"/>
      <c r="IWO99" s="414"/>
      <c r="IWR99" s="445"/>
      <c r="IWS99" s="414"/>
      <c r="IWV99" s="445"/>
      <c r="IWW99" s="414"/>
      <c r="IWZ99" s="445"/>
      <c r="IXA99" s="414"/>
      <c r="IXD99" s="445"/>
      <c r="IXE99" s="414"/>
      <c r="IXH99" s="445"/>
      <c r="IXI99" s="414"/>
      <c r="IXL99" s="445"/>
      <c r="IXM99" s="414"/>
      <c r="IXP99" s="445"/>
      <c r="IXQ99" s="414"/>
      <c r="IXT99" s="445"/>
      <c r="IXU99" s="414"/>
      <c r="IXX99" s="445"/>
      <c r="IXY99" s="414"/>
      <c r="IYB99" s="445"/>
      <c r="IYC99" s="414"/>
      <c r="IYF99" s="445"/>
      <c r="IYG99" s="414"/>
      <c r="IYJ99" s="445"/>
      <c r="IYK99" s="414"/>
      <c r="IYN99" s="445"/>
      <c r="IYO99" s="414"/>
      <c r="IYR99" s="445"/>
      <c r="IYS99" s="414"/>
      <c r="IYV99" s="445"/>
      <c r="IYW99" s="414"/>
      <c r="IYZ99" s="445"/>
      <c r="IZA99" s="414"/>
      <c r="IZD99" s="445"/>
      <c r="IZE99" s="414"/>
      <c r="IZH99" s="445"/>
      <c r="IZI99" s="414"/>
      <c r="IZL99" s="445"/>
      <c r="IZM99" s="414"/>
      <c r="IZP99" s="445"/>
      <c r="IZQ99" s="414"/>
      <c r="IZT99" s="445"/>
      <c r="IZU99" s="414"/>
      <c r="IZX99" s="445"/>
      <c r="IZY99" s="414"/>
      <c r="JAB99" s="445"/>
      <c r="JAC99" s="414"/>
      <c r="JAF99" s="445"/>
      <c r="JAG99" s="414"/>
      <c r="JAJ99" s="445"/>
      <c r="JAK99" s="414"/>
      <c r="JAN99" s="445"/>
      <c r="JAO99" s="414"/>
      <c r="JAR99" s="445"/>
      <c r="JAS99" s="414"/>
      <c r="JAV99" s="445"/>
      <c r="JAW99" s="414"/>
      <c r="JAZ99" s="445"/>
      <c r="JBA99" s="414"/>
      <c r="JBD99" s="445"/>
      <c r="JBE99" s="414"/>
      <c r="JBH99" s="445"/>
      <c r="JBI99" s="414"/>
      <c r="JBL99" s="445"/>
      <c r="JBM99" s="414"/>
      <c r="JBP99" s="445"/>
      <c r="JBQ99" s="414"/>
      <c r="JBT99" s="445"/>
      <c r="JBU99" s="414"/>
      <c r="JBX99" s="445"/>
      <c r="JBY99" s="414"/>
      <c r="JCB99" s="445"/>
      <c r="JCC99" s="414"/>
      <c r="JCF99" s="445"/>
      <c r="JCG99" s="414"/>
      <c r="JCJ99" s="445"/>
      <c r="JCK99" s="414"/>
      <c r="JCN99" s="445"/>
      <c r="JCO99" s="414"/>
      <c r="JCR99" s="445"/>
      <c r="JCS99" s="414"/>
      <c r="JCV99" s="445"/>
      <c r="JCW99" s="414"/>
      <c r="JCZ99" s="445"/>
      <c r="JDA99" s="414"/>
      <c r="JDD99" s="445"/>
      <c r="JDE99" s="414"/>
      <c r="JDH99" s="445"/>
      <c r="JDI99" s="414"/>
      <c r="JDL99" s="445"/>
      <c r="JDM99" s="414"/>
      <c r="JDP99" s="445"/>
      <c r="JDQ99" s="414"/>
      <c r="JDT99" s="445"/>
      <c r="JDU99" s="414"/>
      <c r="JDX99" s="445"/>
      <c r="JDY99" s="414"/>
      <c r="JEB99" s="445"/>
      <c r="JEC99" s="414"/>
      <c r="JEF99" s="445"/>
      <c r="JEG99" s="414"/>
      <c r="JEJ99" s="445"/>
      <c r="JEK99" s="414"/>
      <c r="JEN99" s="445"/>
      <c r="JEO99" s="414"/>
      <c r="JER99" s="445"/>
      <c r="JES99" s="414"/>
      <c r="JEV99" s="445"/>
      <c r="JEW99" s="414"/>
      <c r="JEZ99" s="445"/>
      <c r="JFA99" s="414"/>
      <c r="JFD99" s="445"/>
      <c r="JFE99" s="414"/>
      <c r="JFH99" s="445"/>
      <c r="JFI99" s="414"/>
      <c r="JFL99" s="445"/>
      <c r="JFM99" s="414"/>
      <c r="JFP99" s="445"/>
      <c r="JFQ99" s="414"/>
      <c r="JFT99" s="445"/>
      <c r="JFU99" s="414"/>
      <c r="JFX99" s="445"/>
      <c r="JFY99" s="414"/>
      <c r="JGB99" s="445"/>
      <c r="JGC99" s="414"/>
      <c r="JGF99" s="445"/>
      <c r="JGG99" s="414"/>
      <c r="JGJ99" s="445"/>
      <c r="JGK99" s="414"/>
      <c r="JGN99" s="445"/>
      <c r="JGO99" s="414"/>
      <c r="JGR99" s="445"/>
      <c r="JGS99" s="414"/>
      <c r="JGV99" s="445"/>
      <c r="JGW99" s="414"/>
      <c r="JGZ99" s="445"/>
      <c r="JHA99" s="414"/>
      <c r="JHD99" s="445"/>
      <c r="JHE99" s="414"/>
      <c r="JHH99" s="445"/>
      <c r="JHI99" s="414"/>
      <c r="JHL99" s="445"/>
      <c r="JHM99" s="414"/>
      <c r="JHP99" s="445"/>
      <c r="JHQ99" s="414"/>
      <c r="JHT99" s="445"/>
      <c r="JHU99" s="414"/>
      <c r="JHX99" s="445"/>
      <c r="JHY99" s="414"/>
      <c r="JIB99" s="445"/>
      <c r="JIC99" s="414"/>
      <c r="JIF99" s="445"/>
      <c r="JIG99" s="414"/>
      <c r="JIJ99" s="445"/>
      <c r="JIK99" s="414"/>
      <c r="JIN99" s="445"/>
      <c r="JIO99" s="414"/>
      <c r="JIR99" s="445"/>
      <c r="JIS99" s="414"/>
      <c r="JIV99" s="445"/>
      <c r="JIW99" s="414"/>
      <c r="JIZ99" s="445"/>
      <c r="JJA99" s="414"/>
      <c r="JJD99" s="445"/>
      <c r="JJE99" s="414"/>
      <c r="JJH99" s="445"/>
      <c r="JJI99" s="414"/>
      <c r="JJL99" s="445"/>
      <c r="JJM99" s="414"/>
      <c r="JJP99" s="445"/>
      <c r="JJQ99" s="414"/>
      <c r="JJT99" s="445"/>
      <c r="JJU99" s="414"/>
      <c r="JJX99" s="445"/>
      <c r="JJY99" s="414"/>
      <c r="JKB99" s="445"/>
      <c r="JKC99" s="414"/>
      <c r="JKF99" s="445"/>
      <c r="JKG99" s="414"/>
      <c r="JKJ99" s="445"/>
      <c r="JKK99" s="414"/>
      <c r="JKN99" s="445"/>
      <c r="JKO99" s="414"/>
      <c r="JKR99" s="445"/>
      <c r="JKS99" s="414"/>
      <c r="JKV99" s="445"/>
      <c r="JKW99" s="414"/>
      <c r="JKZ99" s="445"/>
      <c r="JLA99" s="414"/>
      <c r="JLD99" s="445"/>
      <c r="JLE99" s="414"/>
      <c r="JLH99" s="445"/>
      <c r="JLI99" s="414"/>
      <c r="JLL99" s="445"/>
      <c r="JLM99" s="414"/>
      <c r="JLP99" s="445"/>
      <c r="JLQ99" s="414"/>
      <c r="JLT99" s="445"/>
      <c r="JLU99" s="414"/>
      <c r="JLX99" s="445"/>
      <c r="JLY99" s="414"/>
      <c r="JMB99" s="445"/>
      <c r="JMC99" s="414"/>
      <c r="JMF99" s="445"/>
      <c r="JMG99" s="414"/>
      <c r="JMJ99" s="445"/>
      <c r="JMK99" s="414"/>
      <c r="JMN99" s="445"/>
      <c r="JMO99" s="414"/>
      <c r="JMR99" s="445"/>
      <c r="JMS99" s="414"/>
      <c r="JMV99" s="445"/>
      <c r="JMW99" s="414"/>
      <c r="JMZ99" s="445"/>
      <c r="JNA99" s="414"/>
      <c r="JND99" s="445"/>
      <c r="JNE99" s="414"/>
      <c r="JNH99" s="445"/>
      <c r="JNI99" s="414"/>
      <c r="JNL99" s="445"/>
      <c r="JNM99" s="414"/>
      <c r="JNP99" s="445"/>
      <c r="JNQ99" s="414"/>
      <c r="JNT99" s="445"/>
      <c r="JNU99" s="414"/>
      <c r="JNX99" s="445"/>
      <c r="JNY99" s="414"/>
      <c r="JOB99" s="445"/>
      <c r="JOC99" s="414"/>
      <c r="JOF99" s="445"/>
      <c r="JOG99" s="414"/>
      <c r="JOJ99" s="445"/>
      <c r="JOK99" s="414"/>
      <c r="JON99" s="445"/>
      <c r="JOO99" s="414"/>
      <c r="JOR99" s="445"/>
      <c r="JOS99" s="414"/>
      <c r="JOV99" s="445"/>
      <c r="JOW99" s="414"/>
      <c r="JOZ99" s="445"/>
      <c r="JPA99" s="414"/>
      <c r="JPD99" s="445"/>
      <c r="JPE99" s="414"/>
      <c r="JPH99" s="445"/>
      <c r="JPI99" s="414"/>
      <c r="JPL99" s="445"/>
      <c r="JPM99" s="414"/>
      <c r="JPP99" s="445"/>
      <c r="JPQ99" s="414"/>
      <c r="JPT99" s="445"/>
      <c r="JPU99" s="414"/>
      <c r="JPX99" s="445"/>
      <c r="JPY99" s="414"/>
      <c r="JQB99" s="445"/>
      <c r="JQC99" s="414"/>
      <c r="JQF99" s="445"/>
      <c r="JQG99" s="414"/>
      <c r="JQJ99" s="445"/>
      <c r="JQK99" s="414"/>
      <c r="JQN99" s="445"/>
      <c r="JQO99" s="414"/>
      <c r="JQR99" s="445"/>
      <c r="JQS99" s="414"/>
      <c r="JQV99" s="445"/>
      <c r="JQW99" s="414"/>
      <c r="JQZ99" s="445"/>
      <c r="JRA99" s="414"/>
      <c r="JRD99" s="445"/>
      <c r="JRE99" s="414"/>
      <c r="JRH99" s="445"/>
      <c r="JRI99" s="414"/>
      <c r="JRL99" s="445"/>
      <c r="JRM99" s="414"/>
      <c r="JRP99" s="445"/>
      <c r="JRQ99" s="414"/>
      <c r="JRT99" s="445"/>
      <c r="JRU99" s="414"/>
      <c r="JRX99" s="445"/>
      <c r="JRY99" s="414"/>
      <c r="JSB99" s="445"/>
      <c r="JSC99" s="414"/>
      <c r="JSF99" s="445"/>
      <c r="JSG99" s="414"/>
      <c r="JSJ99" s="445"/>
      <c r="JSK99" s="414"/>
      <c r="JSN99" s="445"/>
      <c r="JSO99" s="414"/>
      <c r="JSR99" s="445"/>
      <c r="JSS99" s="414"/>
      <c r="JSV99" s="445"/>
      <c r="JSW99" s="414"/>
      <c r="JSZ99" s="445"/>
      <c r="JTA99" s="414"/>
      <c r="JTD99" s="445"/>
      <c r="JTE99" s="414"/>
      <c r="JTH99" s="445"/>
      <c r="JTI99" s="414"/>
      <c r="JTL99" s="445"/>
      <c r="JTM99" s="414"/>
      <c r="JTP99" s="445"/>
      <c r="JTQ99" s="414"/>
      <c r="JTT99" s="445"/>
      <c r="JTU99" s="414"/>
      <c r="JTX99" s="445"/>
      <c r="JTY99" s="414"/>
      <c r="JUB99" s="445"/>
      <c r="JUC99" s="414"/>
      <c r="JUF99" s="445"/>
      <c r="JUG99" s="414"/>
      <c r="JUJ99" s="445"/>
      <c r="JUK99" s="414"/>
      <c r="JUN99" s="445"/>
      <c r="JUO99" s="414"/>
      <c r="JUR99" s="445"/>
      <c r="JUS99" s="414"/>
      <c r="JUV99" s="445"/>
      <c r="JUW99" s="414"/>
      <c r="JUZ99" s="445"/>
      <c r="JVA99" s="414"/>
      <c r="JVD99" s="445"/>
      <c r="JVE99" s="414"/>
      <c r="JVH99" s="445"/>
      <c r="JVI99" s="414"/>
      <c r="JVL99" s="445"/>
      <c r="JVM99" s="414"/>
      <c r="JVP99" s="445"/>
      <c r="JVQ99" s="414"/>
      <c r="JVT99" s="445"/>
      <c r="JVU99" s="414"/>
      <c r="JVX99" s="445"/>
      <c r="JVY99" s="414"/>
      <c r="JWB99" s="445"/>
      <c r="JWC99" s="414"/>
      <c r="JWF99" s="445"/>
      <c r="JWG99" s="414"/>
      <c r="JWJ99" s="445"/>
      <c r="JWK99" s="414"/>
      <c r="JWN99" s="445"/>
      <c r="JWO99" s="414"/>
      <c r="JWR99" s="445"/>
      <c r="JWS99" s="414"/>
      <c r="JWV99" s="445"/>
      <c r="JWW99" s="414"/>
      <c r="JWZ99" s="445"/>
      <c r="JXA99" s="414"/>
      <c r="JXD99" s="445"/>
      <c r="JXE99" s="414"/>
      <c r="JXH99" s="445"/>
      <c r="JXI99" s="414"/>
      <c r="JXL99" s="445"/>
      <c r="JXM99" s="414"/>
      <c r="JXP99" s="445"/>
      <c r="JXQ99" s="414"/>
      <c r="JXT99" s="445"/>
      <c r="JXU99" s="414"/>
      <c r="JXX99" s="445"/>
      <c r="JXY99" s="414"/>
      <c r="JYB99" s="445"/>
      <c r="JYC99" s="414"/>
      <c r="JYF99" s="445"/>
      <c r="JYG99" s="414"/>
      <c r="JYJ99" s="445"/>
      <c r="JYK99" s="414"/>
      <c r="JYN99" s="445"/>
      <c r="JYO99" s="414"/>
      <c r="JYR99" s="445"/>
      <c r="JYS99" s="414"/>
      <c r="JYV99" s="445"/>
      <c r="JYW99" s="414"/>
      <c r="JYZ99" s="445"/>
      <c r="JZA99" s="414"/>
      <c r="JZD99" s="445"/>
      <c r="JZE99" s="414"/>
      <c r="JZH99" s="445"/>
      <c r="JZI99" s="414"/>
      <c r="JZL99" s="445"/>
      <c r="JZM99" s="414"/>
      <c r="JZP99" s="445"/>
      <c r="JZQ99" s="414"/>
      <c r="JZT99" s="445"/>
      <c r="JZU99" s="414"/>
      <c r="JZX99" s="445"/>
      <c r="JZY99" s="414"/>
      <c r="KAB99" s="445"/>
      <c r="KAC99" s="414"/>
      <c r="KAF99" s="445"/>
      <c r="KAG99" s="414"/>
      <c r="KAJ99" s="445"/>
      <c r="KAK99" s="414"/>
      <c r="KAN99" s="445"/>
      <c r="KAO99" s="414"/>
      <c r="KAR99" s="445"/>
      <c r="KAS99" s="414"/>
      <c r="KAV99" s="445"/>
      <c r="KAW99" s="414"/>
      <c r="KAZ99" s="445"/>
      <c r="KBA99" s="414"/>
      <c r="KBD99" s="445"/>
      <c r="KBE99" s="414"/>
      <c r="KBH99" s="445"/>
      <c r="KBI99" s="414"/>
      <c r="KBL99" s="445"/>
      <c r="KBM99" s="414"/>
      <c r="KBP99" s="445"/>
      <c r="KBQ99" s="414"/>
      <c r="KBT99" s="445"/>
      <c r="KBU99" s="414"/>
      <c r="KBX99" s="445"/>
      <c r="KBY99" s="414"/>
      <c r="KCB99" s="445"/>
      <c r="KCC99" s="414"/>
      <c r="KCF99" s="445"/>
      <c r="KCG99" s="414"/>
      <c r="KCJ99" s="445"/>
      <c r="KCK99" s="414"/>
      <c r="KCN99" s="445"/>
      <c r="KCO99" s="414"/>
      <c r="KCR99" s="445"/>
      <c r="KCS99" s="414"/>
      <c r="KCV99" s="445"/>
      <c r="KCW99" s="414"/>
      <c r="KCZ99" s="445"/>
      <c r="KDA99" s="414"/>
      <c r="KDD99" s="445"/>
      <c r="KDE99" s="414"/>
      <c r="KDH99" s="445"/>
      <c r="KDI99" s="414"/>
      <c r="KDL99" s="445"/>
      <c r="KDM99" s="414"/>
      <c r="KDP99" s="445"/>
      <c r="KDQ99" s="414"/>
      <c r="KDT99" s="445"/>
      <c r="KDU99" s="414"/>
      <c r="KDX99" s="445"/>
      <c r="KDY99" s="414"/>
      <c r="KEB99" s="445"/>
      <c r="KEC99" s="414"/>
      <c r="KEF99" s="445"/>
      <c r="KEG99" s="414"/>
      <c r="KEJ99" s="445"/>
      <c r="KEK99" s="414"/>
      <c r="KEN99" s="445"/>
      <c r="KEO99" s="414"/>
      <c r="KER99" s="445"/>
      <c r="KES99" s="414"/>
      <c r="KEV99" s="445"/>
      <c r="KEW99" s="414"/>
      <c r="KEZ99" s="445"/>
      <c r="KFA99" s="414"/>
      <c r="KFD99" s="445"/>
      <c r="KFE99" s="414"/>
      <c r="KFH99" s="445"/>
      <c r="KFI99" s="414"/>
      <c r="KFL99" s="445"/>
      <c r="KFM99" s="414"/>
      <c r="KFP99" s="445"/>
      <c r="KFQ99" s="414"/>
      <c r="KFT99" s="445"/>
      <c r="KFU99" s="414"/>
      <c r="KFX99" s="445"/>
      <c r="KFY99" s="414"/>
      <c r="KGB99" s="445"/>
      <c r="KGC99" s="414"/>
      <c r="KGF99" s="445"/>
      <c r="KGG99" s="414"/>
      <c r="KGJ99" s="445"/>
      <c r="KGK99" s="414"/>
      <c r="KGN99" s="445"/>
      <c r="KGO99" s="414"/>
      <c r="KGR99" s="445"/>
      <c r="KGS99" s="414"/>
      <c r="KGV99" s="445"/>
      <c r="KGW99" s="414"/>
      <c r="KGZ99" s="445"/>
      <c r="KHA99" s="414"/>
      <c r="KHD99" s="445"/>
      <c r="KHE99" s="414"/>
      <c r="KHH99" s="445"/>
      <c r="KHI99" s="414"/>
      <c r="KHL99" s="445"/>
      <c r="KHM99" s="414"/>
      <c r="KHP99" s="445"/>
      <c r="KHQ99" s="414"/>
      <c r="KHT99" s="445"/>
      <c r="KHU99" s="414"/>
      <c r="KHX99" s="445"/>
      <c r="KHY99" s="414"/>
      <c r="KIB99" s="445"/>
      <c r="KIC99" s="414"/>
      <c r="KIF99" s="445"/>
      <c r="KIG99" s="414"/>
      <c r="KIJ99" s="445"/>
      <c r="KIK99" s="414"/>
      <c r="KIN99" s="445"/>
      <c r="KIO99" s="414"/>
      <c r="KIR99" s="445"/>
      <c r="KIS99" s="414"/>
      <c r="KIV99" s="445"/>
      <c r="KIW99" s="414"/>
      <c r="KIZ99" s="445"/>
      <c r="KJA99" s="414"/>
      <c r="KJD99" s="445"/>
      <c r="KJE99" s="414"/>
      <c r="KJH99" s="445"/>
      <c r="KJI99" s="414"/>
      <c r="KJL99" s="445"/>
      <c r="KJM99" s="414"/>
      <c r="KJP99" s="445"/>
      <c r="KJQ99" s="414"/>
      <c r="KJT99" s="445"/>
      <c r="KJU99" s="414"/>
      <c r="KJX99" s="445"/>
      <c r="KJY99" s="414"/>
      <c r="KKB99" s="445"/>
      <c r="KKC99" s="414"/>
      <c r="KKF99" s="445"/>
      <c r="KKG99" s="414"/>
      <c r="KKJ99" s="445"/>
      <c r="KKK99" s="414"/>
      <c r="KKN99" s="445"/>
      <c r="KKO99" s="414"/>
      <c r="KKR99" s="445"/>
      <c r="KKS99" s="414"/>
      <c r="KKV99" s="445"/>
      <c r="KKW99" s="414"/>
      <c r="KKZ99" s="445"/>
      <c r="KLA99" s="414"/>
      <c r="KLD99" s="445"/>
      <c r="KLE99" s="414"/>
      <c r="KLH99" s="445"/>
      <c r="KLI99" s="414"/>
      <c r="KLL99" s="445"/>
      <c r="KLM99" s="414"/>
      <c r="KLP99" s="445"/>
      <c r="KLQ99" s="414"/>
      <c r="KLT99" s="445"/>
      <c r="KLU99" s="414"/>
      <c r="KLX99" s="445"/>
      <c r="KLY99" s="414"/>
      <c r="KMB99" s="445"/>
      <c r="KMC99" s="414"/>
      <c r="KMF99" s="445"/>
      <c r="KMG99" s="414"/>
      <c r="KMJ99" s="445"/>
      <c r="KMK99" s="414"/>
      <c r="KMN99" s="445"/>
      <c r="KMO99" s="414"/>
      <c r="KMR99" s="445"/>
      <c r="KMS99" s="414"/>
      <c r="KMV99" s="445"/>
      <c r="KMW99" s="414"/>
      <c r="KMZ99" s="445"/>
      <c r="KNA99" s="414"/>
      <c r="KND99" s="445"/>
      <c r="KNE99" s="414"/>
      <c r="KNH99" s="445"/>
      <c r="KNI99" s="414"/>
      <c r="KNL99" s="445"/>
      <c r="KNM99" s="414"/>
      <c r="KNP99" s="445"/>
      <c r="KNQ99" s="414"/>
      <c r="KNT99" s="445"/>
      <c r="KNU99" s="414"/>
      <c r="KNX99" s="445"/>
      <c r="KNY99" s="414"/>
      <c r="KOB99" s="445"/>
      <c r="KOC99" s="414"/>
      <c r="KOF99" s="445"/>
      <c r="KOG99" s="414"/>
      <c r="KOJ99" s="445"/>
      <c r="KOK99" s="414"/>
      <c r="KON99" s="445"/>
      <c r="KOO99" s="414"/>
      <c r="KOR99" s="445"/>
      <c r="KOS99" s="414"/>
      <c r="KOV99" s="445"/>
      <c r="KOW99" s="414"/>
      <c r="KOZ99" s="445"/>
      <c r="KPA99" s="414"/>
      <c r="KPD99" s="445"/>
      <c r="KPE99" s="414"/>
      <c r="KPH99" s="445"/>
      <c r="KPI99" s="414"/>
      <c r="KPL99" s="445"/>
      <c r="KPM99" s="414"/>
      <c r="KPP99" s="445"/>
      <c r="KPQ99" s="414"/>
      <c r="KPT99" s="445"/>
      <c r="KPU99" s="414"/>
      <c r="KPX99" s="445"/>
      <c r="KPY99" s="414"/>
      <c r="KQB99" s="445"/>
      <c r="KQC99" s="414"/>
      <c r="KQF99" s="445"/>
      <c r="KQG99" s="414"/>
      <c r="KQJ99" s="445"/>
      <c r="KQK99" s="414"/>
      <c r="KQN99" s="445"/>
      <c r="KQO99" s="414"/>
      <c r="KQR99" s="445"/>
      <c r="KQS99" s="414"/>
      <c r="KQV99" s="445"/>
      <c r="KQW99" s="414"/>
      <c r="KQZ99" s="445"/>
      <c r="KRA99" s="414"/>
      <c r="KRD99" s="445"/>
      <c r="KRE99" s="414"/>
      <c r="KRH99" s="445"/>
      <c r="KRI99" s="414"/>
      <c r="KRL99" s="445"/>
      <c r="KRM99" s="414"/>
      <c r="KRP99" s="445"/>
      <c r="KRQ99" s="414"/>
      <c r="KRT99" s="445"/>
      <c r="KRU99" s="414"/>
      <c r="KRX99" s="445"/>
      <c r="KRY99" s="414"/>
      <c r="KSB99" s="445"/>
      <c r="KSC99" s="414"/>
      <c r="KSF99" s="445"/>
      <c r="KSG99" s="414"/>
      <c r="KSJ99" s="445"/>
      <c r="KSK99" s="414"/>
      <c r="KSN99" s="445"/>
      <c r="KSO99" s="414"/>
      <c r="KSR99" s="445"/>
      <c r="KSS99" s="414"/>
      <c r="KSV99" s="445"/>
      <c r="KSW99" s="414"/>
      <c r="KSZ99" s="445"/>
      <c r="KTA99" s="414"/>
      <c r="KTD99" s="445"/>
      <c r="KTE99" s="414"/>
      <c r="KTH99" s="445"/>
      <c r="KTI99" s="414"/>
      <c r="KTL99" s="445"/>
      <c r="KTM99" s="414"/>
      <c r="KTP99" s="445"/>
      <c r="KTQ99" s="414"/>
      <c r="KTT99" s="445"/>
      <c r="KTU99" s="414"/>
      <c r="KTX99" s="445"/>
      <c r="KTY99" s="414"/>
      <c r="KUB99" s="445"/>
      <c r="KUC99" s="414"/>
      <c r="KUF99" s="445"/>
      <c r="KUG99" s="414"/>
      <c r="KUJ99" s="445"/>
      <c r="KUK99" s="414"/>
      <c r="KUN99" s="445"/>
      <c r="KUO99" s="414"/>
      <c r="KUR99" s="445"/>
      <c r="KUS99" s="414"/>
      <c r="KUV99" s="445"/>
      <c r="KUW99" s="414"/>
      <c r="KUZ99" s="445"/>
      <c r="KVA99" s="414"/>
      <c r="KVD99" s="445"/>
      <c r="KVE99" s="414"/>
      <c r="KVH99" s="445"/>
      <c r="KVI99" s="414"/>
      <c r="KVL99" s="445"/>
      <c r="KVM99" s="414"/>
      <c r="KVP99" s="445"/>
      <c r="KVQ99" s="414"/>
      <c r="KVT99" s="445"/>
      <c r="KVU99" s="414"/>
      <c r="KVX99" s="445"/>
      <c r="KVY99" s="414"/>
      <c r="KWB99" s="445"/>
      <c r="KWC99" s="414"/>
      <c r="KWF99" s="445"/>
      <c r="KWG99" s="414"/>
      <c r="KWJ99" s="445"/>
      <c r="KWK99" s="414"/>
      <c r="KWN99" s="445"/>
      <c r="KWO99" s="414"/>
      <c r="KWR99" s="445"/>
      <c r="KWS99" s="414"/>
      <c r="KWV99" s="445"/>
      <c r="KWW99" s="414"/>
      <c r="KWZ99" s="445"/>
      <c r="KXA99" s="414"/>
      <c r="KXD99" s="445"/>
      <c r="KXE99" s="414"/>
      <c r="KXH99" s="445"/>
      <c r="KXI99" s="414"/>
      <c r="KXL99" s="445"/>
      <c r="KXM99" s="414"/>
      <c r="KXP99" s="445"/>
      <c r="KXQ99" s="414"/>
      <c r="KXT99" s="445"/>
      <c r="KXU99" s="414"/>
      <c r="KXX99" s="445"/>
      <c r="KXY99" s="414"/>
      <c r="KYB99" s="445"/>
      <c r="KYC99" s="414"/>
      <c r="KYF99" s="445"/>
      <c r="KYG99" s="414"/>
      <c r="KYJ99" s="445"/>
      <c r="KYK99" s="414"/>
      <c r="KYN99" s="445"/>
      <c r="KYO99" s="414"/>
      <c r="KYR99" s="445"/>
      <c r="KYS99" s="414"/>
      <c r="KYV99" s="445"/>
      <c r="KYW99" s="414"/>
      <c r="KYZ99" s="445"/>
      <c r="KZA99" s="414"/>
      <c r="KZD99" s="445"/>
      <c r="KZE99" s="414"/>
      <c r="KZH99" s="445"/>
      <c r="KZI99" s="414"/>
      <c r="KZL99" s="445"/>
      <c r="KZM99" s="414"/>
      <c r="KZP99" s="445"/>
      <c r="KZQ99" s="414"/>
      <c r="KZT99" s="445"/>
      <c r="KZU99" s="414"/>
      <c r="KZX99" s="445"/>
      <c r="KZY99" s="414"/>
      <c r="LAB99" s="445"/>
      <c r="LAC99" s="414"/>
      <c r="LAF99" s="445"/>
      <c r="LAG99" s="414"/>
      <c r="LAJ99" s="445"/>
      <c r="LAK99" s="414"/>
      <c r="LAN99" s="445"/>
      <c r="LAO99" s="414"/>
      <c r="LAR99" s="445"/>
      <c r="LAS99" s="414"/>
      <c r="LAV99" s="445"/>
      <c r="LAW99" s="414"/>
      <c r="LAZ99" s="445"/>
      <c r="LBA99" s="414"/>
      <c r="LBD99" s="445"/>
      <c r="LBE99" s="414"/>
      <c r="LBH99" s="445"/>
      <c r="LBI99" s="414"/>
      <c r="LBL99" s="445"/>
      <c r="LBM99" s="414"/>
      <c r="LBP99" s="445"/>
      <c r="LBQ99" s="414"/>
      <c r="LBT99" s="445"/>
      <c r="LBU99" s="414"/>
      <c r="LBX99" s="445"/>
      <c r="LBY99" s="414"/>
      <c r="LCB99" s="445"/>
      <c r="LCC99" s="414"/>
      <c r="LCF99" s="445"/>
      <c r="LCG99" s="414"/>
      <c r="LCJ99" s="445"/>
      <c r="LCK99" s="414"/>
      <c r="LCN99" s="445"/>
      <c r="LCO99" s="414"/>
      <c r="LCR99" s="445"/>
      <c r="LCS99" s="414"/>
      <c r="LCV99" s="445"/>
      <c r="LCW99" s="414"/>
      <c r="LCZ99" s="445"/>
      <c r="LDA99" s="414"/>
      <c r="LDD99" s="445"/>
      <c r="LDE99" s="414"/>
      <c r="LDH99" s="445"/>
      <c r="LDI99" s="414"/>
      <c r="LDL99" s="445"/>
      <c r="LDM99" s="414"/>
      <c r="LDP99" s="445"/>
      <c r="LDQ99" s="414"/>
      <c r="LDT99" s="445"/>
      <c r="LDU99" s="414"/>
      <c r="LDX99" s="445"/>
      <c r="LDY99" s="414"/>
      <c r="LEB99" s="445"/>
      <c r="LEC99" s="414"/>
      <c r="LEF99" s="445"/>
      <c r="LEG99" s="414"/>
      <c r="LEJ99" s="445"/>
      <c r="LEK99" s="414"/>
      <c r="LEN99" s="445"/>
      <c r="LEO99" s="414"/>
      <c r="LER99" s="445"/>
      <c r="LES99" s="414"/>
      <c r="LEV99" s="445"/>
      <c r="LEW99" s="414"/>
      <c r="LEZ99" s="445"/>
      <c r="LFA99" s="414"/>
      <c r="LFD99" s="445"/>
      <c r="LFE99" s="414"/>
      <c r="LFH99" s="445"/>
      <c r="LFI99" s="414"/>
      <c r="LFL99" s="445"/>
      <c r="LFM99" s="414"/>
      <c r="LFP99" s="445"/>
      <c r="LFQ99" s="414"/>
      <c r="LFT99" s="445"/>
      <c r="LFU99" s="414"/>
      <c r="LFX99" s="445"/>
      <c r="LFY99" s="414"/>
      <c r="LGB99" s="445"/>
      <c r="LGC99" s="414"/>
      <c r="LGF99" s="445"/>
      <c r="LGG99" s="414"/>
      <c r="LGJ99" s="445"/>
      <c r="LGK99" s="414"/>
      <c r="LGN99" s="445"/>
      <c r="LGO99" s="414"/>
      <c r="LGR99" s="445"/>
      <c r="LGS99" s="414"/>
      <c r="LGV99" s="445"/>
      <c r="LGW99" s="414"/>
      <c r="LGZ99" s="445"/>
      <c r="LHA99" s="414"/>
      <c r="LHD99" s="445"/>
      <c r="LHE99" s="414"/>
      <c r="LHH99" s="445"/>
      <c r="LHI99" s="414"/>
      <c r="LHL99" s="445"/>
      <c r="LHM99" s="414"/>
      <c r="LHP99" s="445"/>
      <c r="LHQ99" s="414"/>
      <c r="LHT99" s="445"/>
      <c r="LHU99" s="414"/>
      <c r="LHX99" s="445"/>
      <c r="LHY99" s="414"/>
      <c r="LIB99" s="445"/>
      <c r="LIC99" s="414"/>
      <c r="LIF99" s="445"/>
      <c r="LIG99" s="414"/>
      <c r="LIJ99" s="445"/>
      <c r="LIK99" s="414"/>
      <c r="LIN99" s="445"/>
      <c r="LIO99" s="414"/>
      <c r="LIR99" s="445"/>
      <c r="LIS99" s="414"/>
      <c r="LIV99" s="445"/>
      <c r="LIW99" s="414"/>
      <c r="LIZ99" s="445"/>
      <c r="LJA99" s="414"/>
      <c r="LJD99" s="445"/>
      <c r="LJE99" s="414"/>
      <c r="LJH99" s="445"/>
      <c r="LJI99" s="414"/>
      <c r="LJL99" s="445"/>
      <c r="LJM99" s="414"/>
      <c r="LJP99" s="445"/>
      <c r="LJQ99" s="414"/>
      <c r="LJT99" s="445"/>
      <c r="LJU99" s="414"/>
      <c r="LJX99" s="445"/>
      <c r="LJY99" s="414"/>
      <c r="LKB99" s="445"/>
      <c r="LKC99" s="414"/>
      <c r="LKF99" s="445"/>
      <c r="LKG99" s="414"/>
      <c r="LKJ99" s="445"/>
      <c r="LKK99" s="414"/>
      <c r="LKN99" s="445"/>
      <c r="LKO99" s="414"/>
      <c r="LKR99" s="445"/>
      <c r="LKS99" s="414"/>
      <c r="LKV99" s="445"/>
      <c r="LKW99" s="414"/>
      <c r="LKZ99" s="445"/>
      <c r="LLA99" s="414"/>
      <c r="LLD99" s="445"/>
      <c r="LLE99" s="414"/>
      <c r="LLH99" s="445"/>
      <c r="LLI99" s="414"/>
      <c r="LLL99" s="445"/>
      <c r="LLM99" s="414"/>
      <c r="LLP99" s="445"/>
      <c r="LLQ99" s="414"/>
      <c r="LLT99" s="445"/>
      <c r="LLU99" s="414"/>
      <c r="LLX99" s="445"/>
      <c r="LLY99" s="414"/>
      <c r="LMB99" s="445"/>
      <c r="LMC99" s="414"/>
      <c r="LMF99" s="445"/>
      <c r="LMG99" s="414"/>
      <c r="LMJ99" s="445"/>
      <c r="LMK99" s="414"/>
      <c r="LMN99" s="445"/>
      <c r="LMO99" s="414"/>
      <c r="LMR99" s="445"/>
      <c r="LMS99" s="414"/>
      <c r="LMV99" s="445"/>
      <c r="LMW99" s="414"/>
      <c r="LMZ99" s="445"/>
      <c r="LNA99" s="414"/>
      <c r="LND99" s="445"/>
      <c r="LNE99" s="414"/>
      <c r="LNH99" s="445"/>
      <c r="LNI99" s="414"/>
      <c r="LNL99" s="445"/>
      <c r="LNM99" s="414"/>
      <c r="LNP99" s="445"/>
      <c r="LNQ99" s="414"/>
      <c r="LNT99" s="445"/>
      <c r="LNU99" s="414"/>
      <c r="LNX99" s="445"/>
      <c r="LNY99" s="414"/>
      <c r="LOB99" s="445"/>
      <c r="LOC99" s="414"/>
      <c r="LOF99" s="445"/>
      <c r="LOG99" s="414"/>
      <c r="LOJ99" s="445"/>
      <c r="LOK99" s="414"/>
      <c r="LON99" s="445"/>
      <c r="LOO99" s="414"/>
      <c r="LOR99" s="445"/>
      <c r="LOS99" s="414"/>
      <c r="LOV99" s="445"/>
      <c r="LOW99" s="414"/>
      <c r="LOZ99" s="445"/>
      <c r="LPA99" s="414"/>
      <c r="LPD99" s="445"/>
      <c r="LPE99" s="414"/>
      <c r="LPH99" s="445"/>
      <c r="LPI99" s="414"/>
      <c r="LPL99" s="445"/>
      <c r="LPM99" s="414"/>
      <c r="LPP99" s="445"/>
      <c r="LPQ99" s="414"/>
      <c r="LPT99" s="445"/>
      <c r="LPU99" s="414"/>
      <c r="LPX99" s="445"/>
      <c r="LPY99" s="414"/>
      <c r="LQB99" s="445"/>
      <c r="LQC99" s="414"/>
      <c r="LQF99" s="445"/>
      <c r="LQG99" s="414"/>
      <c r="LQJ99" s="445"/>
      <c r="LQK99" s="414"/>
      <c r="LQN99" s="445"/>
      <c r="LQO99" s="414"/>
      <c r="LQR99" s="445"/>
      <c r="LQS99" s="414"/>
      <c r="LQV99" s="445"/>
      <c r="LQW99" s="414"/>
      <c r="LQZ99" s="445"/>
      <c r="LRA99" s="414"/>
      <c r="LRD99" s="445"/>
      <c r="LRE99" s="414"/>
      <c r="LRH99" s="445"/>
      <c r="LRI99" s="414"/>
      <c r="LRL99" s="445"/>
      <c r="LRM99" s="414"/>
      <c r="LRP99" s="445"/>
      <c r="LRQ99" s="414"/>
      <c r="LRT99" s="445"/>
      <c r="LRU99" s="414"/>
      <c r="LRX99" s="445"/>
      <c r="LRY99" s="414"/>
      <c r="LSB99" s="445"/>
      <c r="LSC99" s="414"/>
      <c r="LSF99" s="445"/>
      <c r="LSG99" s="414"/>
      <c r="LSJ99" s="445"/>
      <c r="LSK99" s="414"/>
      <c r="LSN99" s="445"/>
      <c r="LSO99" s="414"/>
      <c r="LSR99" s="445"/>
      <c r="LSS99" s="414"/>
      <c r="LSV99" s="445"/>
      <c r="LSW99" s="414"/>
      <c r="LSZ99" s="445"/>
      <c r="LTA99" s="414"/>
      <c r="LTD99" s="445"/>
      <c r="LTE99" s="414"/>
      <c r="LTH99" s="445"/>
      <c r="LTI99" s="414"/>
      <c r="LTL99" s="445"/>
      <c r="LTM99" s="414"/>
      <c r="LTP99" s="445"/>
      <c r="LTQ99" s="414"/>
      <c r="LTT99" s="445"/>
      <c r="LTU99" s="414"/>
      <c r="LTX99" s="445"/>
      <c r="LTY99" s="414"/>
      <c r="LUB99" s="445"/>
      <c r="LUC99" s="414"/>
      <c r="LUF99" s="445"/>
      <c r="LUG99" s="414"/>
      <c r="LUJ99" s="445"/>
      <c r="LUK99" s="414"/>
      <c r="LUN99" s="445"/>
      <c r="LUO99" s="414"/>
      <c r="LUR99" s="445"/>
      <c r="LUS99" s="414"/>
      <c r="LUV99" s="445"/>
      <c r="LUW99" s="414"/>
      <c r="LUZ99" s="445"/>
      <c r="LVA99" s="414"/>
      <c r="LVD99" s="445"/>
      <c r="LVE99" s="414"/>
      <c r="LVH99" s="445"/>
      <c r="LVI99" s="414"/>
      <c r="LVL99" s="445"/>
      <c r="LVM99" s="414"/>
      <c r="LVP99" s="445"/>
      <c r="LVQ99" s="414"/>
      <c r="LVT99" s="445"/>
      <c r="LVU99" s="414"/>
      <c r="LVX99" s="445"/>
      <c r="LVY99" s="414"/>
      <c r="LWB99" s="445"/>
      <c r="LWC99" s="414"/>
      <c r="LWF99" s="445"/>
      <c r="LWG99" s="414"/>
      <c r="LWJ99" s="445"/>
      <c r="LWK99" s="414"/>
      <c r="LWN99" s="445"/>
      <c r="LWO99" s="414"/>
      <c r="LWR99" s="445"/>
      <c r="LWS99" s="414"/>
      <c r="LWV99" s="445"/>
      <c r="LWW99" s="414"/>
      <c r="LWZ99" s="445"/>
      <c r="LXA99" s="414"/>
      <c r="LXD99" s="445"/>
      <c r="LXE99" s="414"/>
      <c r="LXH99" s="445"/>
      <c r="LXI99" s="414"/>
      <c r="LXL99" s="445"/>
      <c r="LXM99" s="414"/>
      <c r="LXP99" s="445"/>
      <c r="LXQ99" s="414"/>
      <c r="LXT99" s="445"/>
      <c r="LXU99" s="414"/>
      <c r="LXX99" s="445"/>
      <c r="LXY99" s="414"/>
      <c r="LYB99" s="445"/>
      <c r="LYC99" s="414"/>
      <c r="LYF99" s="445"/>
      <c r="LYG99" s="414"/>
      <c r="LYJ99" s="445"/>
      <c r="LYK99" s="414"/>
      <c r="LYN99" s="445"/>
      <c r="LYO99" s="414"/>
      <c r="LYR99" s="445"/>
      <c r="LYS99" s="414"/>
      <c r="LYV99" s="445"/>
      <c r="LYW99" s="414"/>
      <c r="LYZ99" s="445"/>
      <c r="LZA99" s="414"/>
      <c r="LZD99" s="445"/>
      <c r="LZE99" s="414"/>
      <c r="LZH99" s="445"/>
      <c r="LZI99" s="414"/>
      <c r="LZL99" s="445"/>
      <c r="LZM99" s="414"/>
      <c r="LZP99" s="445"/>
      <c r="LZQ99" s="414"/>
      <c r="LZT99" s="445"/>
      <c r="LZU99" s="414"/>
      <c r="LZX99" s="445"/>
      <c r="LZY99" s="414"/>
      <c r="MAB99" s="445"/>
      <c r="MAC99" s="414"/>
      <c r="MAF99" s="445"/>
      <c r="MAG99" s="414"/>
      <c r="MAJ99" s="445"/>
      <c r="MAK99" s="414"/>
      <c r="MAN99" s="445"/>
      <c r="MAO99" s="414"/>
      <c r="MAR99" s="445"/>
      <c r="MAS99" s="414"/>
      <c r="MAV99" s="445"/>
      <c r="MAW99" s="414"/>
      <c r="MAZ99" s="445"/>
      <c r="MBA99" s="414"/>
      <c r="MBD99" s="445"/>
      <c r="MBE99" s="414"/>
      <c r="MBH99" s="445"/>
      <c r="MBI99" s="414"/>
      <c r="MBL99" s="445"/>
      <c r="MBM99" s="414"/>
      <c r="MBP99" s="445"/>
      <c r="MBQ99" s="414"/>
      <c r="MBT99" s="445"/>
      <c r="MBU99" s="414"/>
      <c r="MBX99" s="445"/>
      <c r="MBY99" s="414"/>
      <c r="MCB99" s="445"/>
      <c r="MCC99" s="414"/>
      <c r="MCF99" s="445"/>
      <c r="MCG99" s="414"/>
      <c r="MCJ99" s="445"/>
      <c r="MCK99" s="414"/>
      <c r="MCN99" s="445"/>
      <c r="MCO99" s="414"/>
      <c r="MCR99" s="445"/>
      <c r="MCS99" s="414"/>
      <c r="MCV99" s="445"/>
      <c r="MCW99" s="414"/>
      <c r="MCZ99" s="445"/>
      <c r="MDA99" s="414"/>
      <c r="MDD99" s="445"/>
      <c r="MDE99" s="414"/>
      <c r="MDH99" s="445"/>
      <c r="MDI99" s="414"/>
      <c r="MDL99" s="445"/>
      <c r="MDM99" s="414"/>
      <c r="MDP99" s="445"/>
      <c r="MDQ99" s="414"/>
      <c r="MDT99" s="445"/>
      <c r="MDU99" s="414"/>
      <c r="MDX99" s="445"/>
      <c r="MDY99" s="414"/>
      <c r="MEB99" s="445"/>
      <c r="MEC99" s="414"/>
      <c r="MEF99" s="445"/>
      <c r="MEG99" s="414"/>
      <c r="MEJ99" s="445"/>
      <c r="MEK99" s="414"/>
      <c r="MEN99" s="445"/>
      <c r="MEO99" s="414"/>
      <c r="MER99" s="445"/>
      <c r="MES99" s="414"/>
      <c r="MEV99" s="445"/>
      <c r="MEW99" s="414"/>
      <c r="MEZ99" s="445"/>
      <c r="MFA99" s="414"/>
      <c r="MFD99" s="445"/>
      <c r="MFE99" s="414"/>
      <c r="MFH99" s="445"/>
      <c r="MFI99" s="414"/>
      <c r="MFL99" s="445"/>
      <c r="MFM99" s="414"/>
      <c r="MFP99" s="445"/>
      <c r="MFQ99" s="414"/>
      <c r="MFT99" s="445"/>
      <c r="MFU99" s="414"/>
      <c r="MFX99" s="445"/>
      <c r="MFY99" s="414"/>
      <c r="MGB99" s="445"/>
      <c r="MGC99" s="414"/>
      <c r="MGF99" s="445"/>
      <c r="MGG99" s="414"/>
      <c r="MGJ99" s="445"/>
      <c r="MGK99" s="414"/>
      <c r="MGN99" s="445"/>
      <c r="MGO99" s="414"/>
      <c r="MGR99" s="445"/>
      <c r="MGS99" s="414"/>
      <c r="MGV99" s="445"/>
      <c r="MGW99" s="414"/>
      <c r="MGZ99" s="445"/>
      <c r="MHA99" s="414"/>
      <c r="MHD99" s="445"/>
      <c r="MHE99" s="414"/>
      <c r="MHH99" s="445"/>
      <c r="MHI99" s="414"/>
      <c r="MHL99" s="445"/>
      <c r="MHM99" s="414"/>
      <c r="MHP99" s="445"/>
      <c r="MHQ99" s="414"/>
      <c r="MHT99" s="445"/>
      <c r="MHU99" s="414"/>
      <c r="MHX99" s="445"/>
      <c r="MHY99" s="414"/>
      <c r="MIB99" s="445"/>
      <c r="MIC99" s="414"/>
      <c r="MIF99" s="445"/>
      <c r="MIG99" s="414"/>
      <c r="MIJ99" s="445"/>
      <c r="MIK99" s="414"/>
      <c r="MIN99" s="445"/>
      <c r="MIO99" s="414"/>
      <c r="MIR99" s="445"/>
      <c r="MIS99" s="414"/>
      <c r="MIV99" s="445"/>
      <c r="MIW99" s="414"/>
      <c r="MIZ99" s="445"/>
      <c r="MJA99" s="414"/>
      <c r="MJD99" s="445"/>
      <c r="MJE99" s="414"/>
      <c r="MJH99" s="445"/>
      <c r="MJI99" s="414"/>
      <c r="MJL99" s="445"/>
      <c r="MJM99" s="414"/>
      <c r="MJP99" s="445"/>
      <c r="MJQ99" s="414"/>
      <c r="MJT99" s="445"/>
      <c r="MJU99" s="414"/>
      <c r="MJX99" s="445"/>
      <c r="MJY99" s="414"/>
      <c r="MKB99" s="445"/>
      <c r="MKC99" s="414"/>
      <c r="MKF99" s="445"/>
      <c r="MKG99" s="414"/>
      <c r="MKJ99" s="445"/>
      <c r="MKK99" s="414"/>
      <c r="MKN99" s="445"/>
      <c r="MKO99" s="414"/>
      <c r="MKR99" s="445"/>
      <c r="MKS99" s="414"/>
      <c r="MKV99" s="445"/>
      <c r="MKW99" s="414"/>
      <c r="MKZ99" s="445"/>
      <c r="MLA99" s="414"/>
      <c r="MLD99" s="445"/>
      <c r="MLE99" s="414"/>
      <c r="MLH99" s="445"/>
      <c r="MLI99" s="414"/>
      <c r="MLL99" s="445"/>
      <c r="MLM99" s="414"/>
      <c r="MLP99" s="445"/>
      <c r="MLQ99" s="414"/>
      <c r="MLT99" s="445"/>
      <c r="MLU99" s="414"/>
      <c r="MLX99" s="445"/>
      <c r="MLY99" s="414"/>
      <c r="MMB99" s="445"/>
      <c r="MMC99" s="414"/>
      <c r="MMF99" s="445"/>
      <c r="MMG99" s="414"/>
      <c r="MMJ99" s="445"/>
      <c r="MMK99" s="414"/>
      <c r="MMN99" s="445"/>
      <c r="MMO99" s="414"/>
      <c r="MMR99" s="445"/>
      <c r="MMS99" s="414"/>
      <c r="MMV99" s="445"/>
      <c r="MMW99" s="414"/>
      <c r="MMZ99" s="445"/>
      <c r="MNA99" s="414"/>
      <c r="MND99" s="445"/>
      <c r="MNE99" s="414"/>
      <c r="MNH99" s="445"/>
      <c r="MNI99" s="414"/>
      <c r="MNL99" s="445"/>
      <c r="MNM99" s="414"/>
      <c r="MNP99" s="445"/>
      <c r="MNQ99" s="414"/>
      <c r="MNT99" s="445"/>
      <c r="MNU99" s="414"/>
      <c r="MNX99" s="445"/>
      <c r="MNY99" s="414"/>
      <c r="MOB99" s="445"/>
      <c r="MOC99" s="414"/>
      <c r="MOF99" s="445"/>
      <c r="MOG99" s="414"/>
      <c r="MOJ99" s="445"/>
      <c r="MOK99" s="414"/>
      <c r="MON99" s="445"/>
      <c r="MOO99" s="414"/>
      <c r="MOR99" s="445"/>
      <c r="MOS99" s="414"/>
      <c r="MOV99" s="445"/>
      <c r="MOW99" s="414"/>
      <c r="MOZ99" s="445"/>
      <c r="MPA99" s="414"/>
      <c r="MPD99" s="445"/>
      <c r="MPE99" s="414"/>
      <c r="MPH99" s="445"/>
      <c r="MPI99" s="414"/>
      <c r="MPL99" s="445"/>
      <c r="MPM99" s="414"/>
      <c r="MPP99" s="445"/>
      <c r="MPQ99" s="414"/>
      <c r="MPT99" s="445"/>
      <c r="MPU99" s="414"/>
      <c r="MPX99" s="445"/>
      <c r="MPY99" s="414"/>
      <c r="MQB99" s="445"/>
      <c r="MQC99" s="414"/>
      <c r="MQF99" s="445"/>
      <c r="MQG99" s="414"/>
      <c r="MQJ99" s="445"/>
      <c r="MQK99" s="414"/>
      <c r="MQN99" s="445"/>
      <c r="MQO99" s="414"/>
      <c r="MQR99" s="445"/>
      <c r="MQS99" s="414"/>
      <c r="MQV99" s="445"/>
      <c r="MQW99" s="414"/>
      <c r="MQZ99" s="445"/>
      <c r="MRA99" s="414"/>
      <c r="MRD99" s="445"/>
      <c r="MRE99" s="414"/>
      <c r="MRH99" s="445"/>
      <c r="MRI99" s="414"/>
      <c r="MRL99" s="445"/>
      <c r="MRM99" s="414"/>
      <c r="MRP99" s="445"/>
      <c r="MRQ99" s="414"/>
      <c r="MRT99" s="445"/>
      <c r="MRU99" s="414"/>
      <c r="MRX99" s="445"/>
      <c r="MRY99" s="414"/>
      <c r="MSB99" s="445"/>
      <c r="MSC99" s="414"/>
      <c r="MSF99" s="445"/>
      <c r="MSG99" s="414"/>
      <c r="MSJ99" s="445"/>
      <c r="MSK99" s="414"/>
      <c r="MSN99" s="445"/>
      <c r="MSO99" s="414"/>
      <c r="MSR99" s="445"/>
      <c r="MSS99" s="414"/>
      <c r="MSV99" s="445"/>
      <c r="MSW99" s="414"/>
      <c r="MSZ99" s="445"/>
      <c r="MTA99" s="414"/>
      <c r="MTD99" s="445"/>
      <c r="MTE99" s="414"/>
      <c r="MTH99" s="445"/>
      <c r="MTI99" s="414"/>
      <c r="MTL99" s="445"/>
      <c r="MTM99" s="414"/>
      <c r="MTP99" s="445"/>
      <c r="MTQ99" s="414"/>
      <c r="MTT99" s="445"/>
      <c r="MTU99" s="414"/>
      <c r="MTX99" s="445"/>
      <c r="MTY99" s="414"/>
      <c r="MUB99" s="445"/>
      <c r="MUC99" s="414"/>
      <c r="MUF99" s="445"/>
      <c r="MUG99" s="414"/>
      <c r="MUJ99" s="445"/>
      <c r="MUK99" s="414"/>
      <c r="MUN99" s="445"/>
      <c r="MUO99" s="414"/>
      <c r="MUR99" s="445"/>
      <c r="MUS99" s="414"/>
      <c r="MUV99" s="445"/>
      <c r="MUW99" s="414"/>
      <c r="MUZ99" s="445"/>
      <c r="MVA99" s="414"/>
      <c r="MVD99" s="445"/>
      <c r="MVE99" s="414"/>
      <c r="MVH99" s="445"/>
      <c r="MVI99" s="414"/>
      <c r="MVL99" s="445"/>
      <c r="MVM99" s="414"/>
      <c r="MVP99" s="445"/>
      <c r="MVQ99" s="414"/>
      <c r="MVT99" s="445"/>
      <c r="MVU99" s="414"/>
      <c r="MVX99" s="445"/>
      <c r="MVY99" s="414"/>
      <c r="MWB99" s="445"/>
      <c r="MWC99" s="414"/>
      <c r="MWF99" s="445"/>
      <c r="MWG99" s="414"/>
      <c r="MWJ99" s="445"/>
      <c r="MWK99" s="414"/>
      <c r="MWN99" s="445"/>
      <c r="MWO99" s="414"/>
      <c r="MWR99" s="445"/>
      <c r="MWS99" s="414"/>
      <c r="MWV99" s="445"/>
      <c r="MWW99" s="414"/>
      <c r="MWZ99" s="445"/>
      <c r="MXA99" s="414"/>
      <c r="MXD99" s="445"/>
      <c r="MXE99" s="414"/>
      <c r="MXH99" s="445"/>
      <c r="MXI99" s="414"/>
      <c r="MXL99" s="445"/>
      <c r="MXM99" s="414"/>
      <c r="MXP99" s="445"/>
      <c r="MXQ99" s="414"/>
      <c r="MXT99" s="445"/>
      <c r="MXU99" s="414"/>
      <c r="MXX99" s="445"/>
      <c r="MXY99" s="414"/>
      <c r="MYB99" s="445"/>
      <c r="MYC99" s="414"/>
      <c r="MYF99" s="445"/>
      <c r="MYG99" s="414"/>
      <c r="MYJ99" s="445"/>
      <c r="MYK99" s="414"/>
      <c r="MYN99" s="445"/>
      <c r="MYO99" s="414"/>
      <c r="MYR99" s="445"/>
      <c r="MYS99" s="414"/>
      <c r="MYV99" s="445"/>
      <c r="MYW99" s="414"/>
      <c r="MYZ99" s="445"/>
      <c r="MZA99" s="414"/>
      <c r="MZD99" s="445"/>
      <c r="MZE99" s="414"/>
      <c r="MZH99" s="445"/>
      <c r="MZI99" s="414"/>
      <c r="MZL99" s="445"/>
      <c r="MZM99" s="414"/>
      <c r="MZP99" s="445"/>
      <c r="MZQ99" s="414"/>
      <c r="MZT99" s="445"/>
      <c r="MZU99" s="414"/>
      <c r="MZX99" s="445"/>
      <c r="MZY99" s="414"/>
      <c r="NAB99" s="445"/>
      <c r="NAC99" s="414"/>
      <c r="NAF99" s="445"/>
      <c r="NAG99" s="414"/>
      <c r="NAJ99" s="445"/>
      <c r="NAK99" s="414"/>
      <c r="NAN99" s="445"/>
      <c r="NAO99" s="414"/>
      <c r="NAR99" s="445"/>
      <c r="NAS99" s="414"/>
      <c r="NAV99" s="445"/>
      <c r="NAW99" s="414"/>
      <c r="NAZ99" s="445"/>
      <c r="NBA99" s="414"/>
      <c r="NBD99" s="445"/>
      <c r="NBE99" s="414"/>
      <c r="NBH99" s="445"/>
      <c r="NBI99" s="414"/>
      <c r="NBL99" s="445"/>
      <c r="NBM99" s="414"/>
      <c r="NBP99" s="445"/>
      <c r="NBQ99" s="414"/>
      <c r="NBT99" s="445"/>
      <c r="NBU99" s="414"/>
      <c r="NBX99" s="445"/>
      <c r="NBY99" s="414"/>
      <c r="NCB99" s="445"/>
      <c r="NCC99" s="414"/>
      <c r="NCF99" s="445"/>
      <c r="NCG99" s="414"/>
      <c r="NCJ99" s="445"/>
      <c r="NCK99" s="414"/>
      <c r="NCN99" s="445"/>
      <c r="NCO99" s="414"/>
      <c r="NCR99" s="445"/>
      <c r="NCS99" s="414"/>
      <c r="NCV99" s="445"/>
      <c r="NCW99" s="414"/>
      <c r="NCZ99" s="445"/>
      <c r="NDA99" s="414"/>
      <c r="NDD99" s="445"/>
      <c r="NDE99" s="414"/>
      <c r="NDH99" s="445"/>
      <c r="NDI99" s="414"/>
      <c r="NDL99" s="445"/>
      <c r="NDM99" s="414"/>
      <c r="NDP99" s="445"/>
      <c r="NDQ99" s="414"/>
      <c r="NDT99" s="445"/>
      <c r="NDU99" s="414"/>
      <c r="NDX99" s="445"/>
      <c r="NDY99" s="414"/>
      <c r="NEB99" s="445"/>
      <c r="NEC99" s="414"/>
      <c r="NEF99" s="445"/>
      <c r="NEG99" s="414"/>
      <c r="NEJ99" s="445"/>
      <c r="NEK99" s="414"/>
      <c r="NEN99" s="445"/>
      <c r="NEO99" s="414"/>
      <c r="NER99" s="445"/>
      <c r="NES99" s="414"/>
      <c r="NEV99" s="445"/>
      <c r="NEW99" s="414"/>
      <c r="NEZ99" s="445"/>
      <c r="NFA99" s="414"/>
      <c r="NFD99" s="445"/>
      <c r="NFE99" s="414"/>
      <c r="NFH99" s="445"/>
      <c r="NFI99" s="414"/>
      <c r="NFL99" s="445"/>
      <c r="NFM99" s="414"/>
      <c r="NFP99" s="445"/>
      <c r="NFQ99" s="414"/>
      <c r="NFT99" s="445"/>
      <c r="NFU99" s="414"/>
      <c r="NFX99" s="445"/>
      <c r="NFY99" s="414"/>
      <c r="NGB99" s="445"/>
      <c r="NGC99" s="414"/>
      <c r="NGF99" s="445"/>
      <c r="NGG99" s="414"/>
      <c r="NGJ99" s="445"/>
      <c r="NGK99" s="414"/>
      <c r="NGN99" s="445"/>
      <c r="NGO99" s="414"/>
      <c r="NGR99" s="445"/>
      <c r="NGS99" s="414"/>
      <c r="NGV99" s="445"/>
      <c r="NGW99" s="414"/>
      <c r="NGZ99" s="445"/>
      <c r="NHA99" s="414"/>
      <c r="NHD99" s="445"/>
      <c r="NHE99" s="414"/>
      <c r="NHH99" s="445"/>
      <c r="NHI99" s="414"/>
      <c r="NHL99" s="445"/>
      <c r="NHM99" s="414"/>
      <c r="NHP99" s="445"/>
      <c r="NHQ99" s="414"/>
      <c r="NHT99" s="445"/>
      <c r="NHU99" s="414"/>
      <c r="NHX99" s="445"/>
      <c r="NHY99" s="414"/>
      <c r="NIB99" s="445"/>
      <c r="NIC99" s="414"/>
      <c r="NIF99" s="445"/>
      <c r="NIG99" s="414"/>
      <c r="NIJ99" s="445"/>
      <c r="NIK99" s="414"/>
      <c r="NIN99" s="445"/>
      <c r="NIO99" s="414"/>
      <c r="NIR99" s="445"/>
      <c r="NIS99" s="414"/>
      <c r="NIV99" s="445"/>
      <c r="NIW99" s="414"/>
      <c r="NIZ99" s="445"/>
      <c r="NJA99" s="414"/>
      <c r="NJD99" s="445"/>
      <c r="NJE99" s="414"/>
      <c r="NJH99" s="445"/>
      <c r="NJI99" s="414"/>
      <c r="NJL99" s="445"/>
      <c r="NJM99" s="414"/>
      <c r="NJP99" s="445"/>
      <c r="NJQ99" s="414"/>
      <c r="NJT99" s="445"/>
      <c r="NJU99" s="414"/>
      <c r="NJX99" s="445"/>
      <c r="NJY99" s="414"/>
      <c r="NKB99" s="445"/>
      <c r="NKC99" s="414"/>
      <c r="NKF99" s="445"/>
      <c r="NKG99" s="414"/>
      <c r="NKJ99" s="445"/>
      <c r="NKK99" s="414"/>
      <c r="NKN99" s="445"/>
      <c r="NKO99" s="414"/>
      <c r="NKR99" s="445"/>
      <c r="NKS99" s="414"/>
      <c r="NKV99" s="445"/>
      <c r="NKW99" s="414"/>
      <c r="NKZ99" s="445"/>
      <c r="NLA99" s="414"/>
      <c r="NLD99" s="445"/>
      <c r="NLE99" s="414"/>
      <c r="NLH99" s="445"/>
      <c r="NLI99" s="414"/>
      <c r="NLL99" s="445"/>
      <c r="NLM99" s="414"/>
      <c r="NLP99" s="445"/>
      <c r="NLQ99" s="414"/>
      <c r="NLT99" s="445"/>
      <c r="NLU99" s="414"/>
      <c r="NLX99" s="445"/>
      <c r="NLY99" s="414"/>
      <c r="NMB99" s="445"/>
      <c r="NMC99" s="414"/>
      <c r="NMF99" s="445"/>
      <c r="NMG99" s="414"/>
      <c r="NMJ99" s="445"/>
      <c r="NMK99" s="414"/>
      <c r="NMN99" s="445"/>
      <c r="NMO99" s="414"/>
      <c r="NMR99" s="445"/>
      <c r="NMS99" s="414"/>
      <c r="NMV99" s="445"/>
      <c r="NMW99" s="414"/>
      <c r="NMZ99" s="445"/>
      <c r="NNA99" s="414"/>
      <c r="NND99" s="445"/>
      <c r="NNE99" s="414"/>
      <c r="NNH99" s="445"/>
      <c r="NNI99" s="414"/>
      <c r="NNL99" s="445"/>
      <c r="NNM99" s="414"/>
      <c r="NNP99" s="445"/>
      <c r="NNQ99" s="414"/>
      <c r="NNT99" s="445"/>
      <c r="NNU99" s="414"/>
      <c r="NNX99" s="445"/>
      <c r="NNY99" s="414"/>
      <c r="NOB99" s="445"/>
      <c r="NOC99" s="414"/>
      <c r="NOF99" s="445"/>
      <c r="NOG99" s="414"/>
      <c r="NOJ99" s="445"/>
      <c r="NOK99" s="414"/>
      <c r="NON99" s="445"/>
      <c r="NOO99" s="414"/>
      <c r="NOR99" s="445"/>
      <c r="NOS99" s="414"/>
      <c r="NOV99" s="445"/>
      <c r="NOW99" s="414"/>
      <c r="NOZ99" s="445"/>
      <c r="NPA99" s="414"/>
      <c r="NPD99" s="445"/>
      <c r="NPE99" s="414"/>
      <c r="NPH99" s="445"/>
      <c r="NPI99" s="414"/>
      <c r="NPL99" s="445"/>
      <c r="NPM99" s="414"/>
      <c r="NPP99" s="445"/>
      <c r="NPQ99" s="414"/>
      <c r="NPT99" s="445"/>
      <c r="NPU99" s="414"/>
      <c r="NPX99" s="445"/>
      <c r="NPY99" s="414"/>
      <c r="NQB99" s="445"/>
      <c r="NQC99" s="414"/>
      <c r="NQF99" s="445"/>
      <c r="NQG99" s="414"/>
      <c r="NQJ99" s="445"/>
      <c r="NQK99" s="414"/>
      <c r="NQN99" s="445"/>
      <c r="NQO99" s="414"/>
      <c r="NQR99" s="445"/>
      <c r="NQS99" s="414"/>
      <c r="NQV99" s="445"/>
      <c r="NQW99" s="414"/>
      <c r="NQZ99" s="445"/>
      <c r="NRA99" s="414"/>
      <c r="NRD99" s="445"/>
      <c r="NRE99" s="414"/>
      <c r="NRH99" s="445"/>
      <c r="NRI99" s="414"/>
      <c r="NRL99" s="445"/>
      <c r="NRM99" s="414"/>
      <c r="NRP99" s="445"/>
      <c r="NRQ99" s="414"/>
      <c r="NRT99" s="445"/>
      <c r="NRU99" s="414"/>
      <c r="NRX99" s="445"/>
      <c r="NRY99" s="414"/>
      <c r="NSB99" s="445"/>
      <c r="NSC99" s="414"/>
      <c r="NSF99" s="445"/>
      <c r="NSG99" s="414"/>
      <c r="NSJ99" s="445"/>
      <c r="NSK99" s="414"/>
      <c r="NSN99" s="445"/>
      <c r="NSO99" s="414"/>
      <c r="NSR99" s="445"/>
      <c r="NSS99" s="414"/>
      <c r="NSV99" s="445"/>
      <c r="NSW99" s="414"/>
      <c r="NSZ99" s="445"/>
      <c r="NTA99" s="414"/>
      <c r="NTD99" s="445"/>
      <c r="NTE99" s="414"/>
      <c r="NTH99" s="445"/>
      <c r="NTI99" s="414"/>
      <c r="NTL99" s="445"/>
      <c r="NTM99" s="414"/>
      <c r="NTP99" s="445"/>
      <c r="NTQ99" s="414"/>
      <c r="NTT99" s="445"/>
      <c r="NTU99" s="414"/>
      <c r="NTX99" s="445"/>
      <c r="NTY99" s="414"/>
      <c r="NUB99" s="445"/>
      <c r="NUC99" s="414"/>
      <c r="NUF99" s="445"/>
      <c r="NUG99" s="414"/>
      <c r="NUJ99" s="445"/>
      <c r="NUK99" s="414"/>
      <c r="NUN99" s="445"/>
      <c r="NUO99" s="414"/>
      <c r="NUR99" s="445"/>
      <c r="NUS99" s="414"/>
      <c r="NUV99" s="445"/>
      <c r="NUW99" s="414"/>
      <c r="NUZ99" s="445"/>
      <c r="NVA99" s="414"/>
      <c r="NVD99" s="445"/>
      <c r="NVE99" s="414"/>
      <c r="NVH99" s="445"/>
      <c r="NVI99" s="414"/>
      <c r="NVL99" s="445"/>
      <c r="NVM99" s="414"/>
      <c r="NVP99" s="445"/>
      <c r="NVQ99" s="414"/>
      <c r="NVT99" s="445"/>
      <c r="NVU99" s="414"/>
      <c r="NVX99" s="445"/>
      <c r="NVY99" s="414"/>
      <c r="NWB99" s="445"/>
      <c r="NWC99" s="414"/>
      <c r="NWF99" s="445"/>
      <c r="NWG99" s="414"/>
      <c r="NWJ99" s="445"/>
      <c r="NWK99" s="414"/>
      <c r="NWN99" s="445"/>
      <c r="NWO99" s="414"/>
      <c r="NWR99" s="445"/>
      <c r="NWS99" s="414"/>
      <c r="NWV99" s="445"/>
      <c r="NWW99" s="414"/>
      <c r="NWZ99" s="445"/>
      <c r="NXA99" s="414"/>
      <c r="NXD99" s="445"/>
      <c r="NXE99" s="414"/>
      <c r="NXH99" s="445"/>
      <c r="NXI99" s="414"/>
      <c r="NXL99" s="445"/>
      <c r="NXM99" s="414"/>
      <c r="NXP99" s="445"/>
      <c r="NXQ99" s="414"/>
      <c r="NXT99" s="445"/>
      <c r="NXU99" s="414"/>
      <c r="NXX99" s="445"/>
      <c r="NXY99" s="414"/>
      <c r="NYB99" s="445"/>
      <c r="NYC99" s="414"/>
      <c r="NYF99" s="445"/>
      <c r="NYG99" s="414"/>
      <c r="NYJ99" s="445"/>
      <c r="NYK99" s="414"/>
      <c r="NYN99" s="445"/>
      <c r="NYO99" s="414"/>
      <c r="NYR99" s="445"/>
      <c r="NYS99" s="414"/>
      <c r="NYV99" s="445"/>
      <c r="NYW99" s="414"/>
      <c r="NYZ99" s="445"/>
      <c r="NZA99" s="414"/>
      <c r="NZD99" s="445"/>
      <c r="NZE99" s="414"/>
      <c r="NZH99" s="445"/>
      <c r="NZI99" s="414"/>
      <c r="NZL99" s="445"/>
      <c r="NZM99" s="414"/>
      <c r="NZP99" s="445"/>
      <c r="NZQ99" s="414"/>
      <c r="NZT99" s="445"/>
      <c r="NZU99" s="414"/>
      <c r="NZX99" s="445"/>
      <c r="NZY99" s="414"/>
      <c r="OAB99" s="445"/>
      <c r="OAC99" s="414"/>
      <c r="OAF99" s="445"/>
      <c r="OAG99" s="414"/>
      <c r="OAJ99" s="445"/>
      <c r="OAK99" s="414"/>
      <c r="OAN99" s="445"/>
      <c r="OAO99" s="414"/>
      <c r="OAR99" s="445"/>
      <c r="OAS99" s="414"/>
      <c r="OAV99" s="445"/>
      <c r="OAW99" s="414"/>
      <c r="OAZ99" s="445"/>
      <c r="OBA99" s="414"/>
      <c r="OBD99" s="445"/>
      <c r="OBE99" s="414"/>
      <c r="OBH99" s="445"/>
      <c r="OBI99" s="414"/>
      <c r="OBL99" s="445"/>
      <c r="OBM99" s="414"/>
      <c r="OBP99" s="445"/>
      <c r="OBQ99" s="414"/>
      <c r="OBT99" s="445"/>
      <c r="OBU99" s="414"/>
      <c r="OBX99" s="445"/>
      <c r="OBY99" s="414"/>
      <c r="OCB99" s="445"/>
      <c r="OCC99" s="414"/>
      <c r="OCF99" s="445"/>
      <c r="OCG99" s="414"/>
      <c r="OCJ99" s="445"/>
      <c r="OCK99" s="414"/>
      <c r="OCN99" s="445"/>
      <c r="OCO99" s="414"/>
      <c r="OCR99" s="445"/>
      <c r="OCS99" s="414"/>
      <c r="OCV99" s="445"/>
      <c r="OCW99" s="414"/>
      <c r="OCZ99" s="445"/>
      <c r="ODA99" s="414"/>
      <c r="ODD99" s="445"/>
      <c r="ODE99" s="414"/>
      <c r="ODH99" s="445"/>
      <c r="ODI99" s="414"/>
      <c r="ODL99" s="445"/>
      <c r="ODM99" s="414"/>
      <c r="ODP99" s="445"/>
      <c r="ODQ99" s="414"/>
      <c r="ODT99" s="445"/>
      <c r="ODU99" s="414"/>
      <c r="ODX99" s="445"/>
      <c r="ODY99" s="414"/>
      <c r="OEB99" s="445"/>
      <c r="OEC99" s="414"/>
      <c r="OEF99" s="445"/>
      <c r="OEG99" s="414"/>
      <c r="OEJ99" s="445"/>
      <c r="OEK99" s="414"/>
      <c r="OEN99" s="445"/>
      <c r="OEO99" s="414"/>
      <c r="OER99" s="445"/>
      <c r="OES99" s="414"/>
      <c r="OEV99" s="445"/>
      <c r="OEW99" s="414"/>
      <c r="OEZ99" s="445"/>
      <c r="OFA99" s="414"/>
      <c r="OFD99" s="445"/>
      <c r="OFE99" s="414"/>
      <c r="OFH99" s="445"/>
      <c r="OFI99" s="414"/>
      <c r="OFL99" s="445"/>
      <c r="OFM99" s="414"/>
      <c r="OFP99" s="445"/>
      <c r="OFQ99" s="414"/>
      <c r="OFT99" s="445"/>
      <c r="OFU99" s="414"/>
      <c r="OFX99" s="445"/>
      <c r="OFY99" s="414"/>
      <c r="OGB99" s="445"/>
      <c r="OGC99" s="414"/>
      <c r="OGF99" s="445"/>
      <c r="OGG99" s="414"/>
      <c r="OGJ99" s="445"/>
      <c r="OGK99" s="414"/>
      <c r="OGN99" s="445"/>
      <c r="OGO99" s="414"/>
      <c r="OGR99" s="445"/>
      <c r="OGS99" s="414"/>
      <c r="OGV99" s="445"/>
      <c r="OGW99" s="414"/>
      <c r="OGZ99" s="445"/>
      <c r="OHA99" s="414"/>
      <c r="OHD99" s="445"/>
      <c r="OHE99" s="414"/>
      <c r="OHH99" s="445"/>
      <c r="OHI99" s="414"/>
      <c r="OHL99" s="445"/>
      <c r="OHM99" s="414"/>
      <c r="OHP99" s="445"/>
      <c r="OHQ99" s="414"/>
      <c r="OHT99" s="445"/>
      <c r="OHU99" s="414"/>
      <c r="OHX99" s="445"/>
      <c r="OHY99" s="414"/>
      <c r="OIB99" s="445"/>
      <c r="OIC99" s="414"/>
      <c r="OIF99" s="445"/>
      <c r="OIG99" s="414"/>
      <c r="OIJ99" s="445"/>
      <c r="OIK99" s="414"/>
      <c r="OIN99" s="445"/>
      <c r="OIO99" s="414"/>
      <c r="OIR99" s="445"/>
      <c r="OIS99" s="414"/>
      <c r="OIV99" s="445"/>
      <c r="OIW99" s="414"/>
      <c r="OIZ99" s="445"/>
      <c r="OJA99" s="414"/>
      <c r="OJD99" s="445"/>
      <c r="OJE99" s="414"/>
      <c r="OJH99" s="445"/>
      <c r="OJI99" s="414"/>
      <c r="OJL99" s="445"/>
      <c r="OJM99" s="414"/>
      <c r="OJP99" s="445"/>
      <c r="OJQ99" s="414"/>
      <c r="OJT99" s="445"/>
      <c r="OJU99" s="414"/>
      <c r="OJX99" s="445"/>
      <c r="OJY99" s="414"/>
      <c r="OKB99" s="445"/>
      <c r="OKC99" s="414"/>
      <c r="OKF99" s="445"/>
      <c r="OKG99" s="414"/>
      <c r="OKJ99" s="445"/>
      <c r="OKK99" s="414"/>
      <c r="OKN99" s="445"/>
      <c r="OKO99" s="414"/>
      <c r="OKR99" s="445"/>
      <c r="OKS99" s="414"/>
      <c r="OKV99" s="445"/>
      <c r="OKW99" s="414"/>
      <c r="OKZ99" s="445"/>
      <c r="OLA99" s="414"/>
      <c r="OLD99" s="445"/>
      <c r="OLE99" s="414"/>
      <c r="OLH99" s="445"/>
      <c r="OLI99" s="414"/>
      <c r="OLL99" s="445"/>
      <c r="OLM99" s="414"/>
      <c r="OLP99" s="445"/>
      <c r="OLQ99" s="414"/>
      <c r="OLT99" s="445"/>
      <c r="OLU99" s="414"/>
      <c r="OLX99" s="445"/>
      <c r="OLY99" s="414"/>
      <c r="OMB99" s="445"/>
      <c r="OMC99" s="414"/>
      <c r="OMF99" s="445"/>
      <c r="OMG99" s="414"/>
      <c r="OMJ99" s="445"/>
      <c r="OMK99" s="414"/>
      <c r="OMN99" s="445"/>
      <c r="OMO99" s="414"/>
      <c r="OMR99" s="445"/>
      <c r="OMS99" s="414"/>
      <c r="OMV99" s="445"/>
      <c r="OMW99" s="414"/>
      <c r="OMZ99" s="445"/>
      <c r="ONA99" s="414"/>
      <c r="OND99" s="445"/>
      <c r="ONE99" s="414"/>
      <c r="ONH99" s="445"/>
      <c r="ONI99" s="414"/>
      <c r="ONL99" s="445"/>
      <c r="ONM99" s="414"/>
      <c r="ONP99" s="445"/>
      <c r="ONQ99" s="414"/>
      <c r="ONT99" s="445"/>
      <c r="ONU99" s="414"/>
      <c r="ONX99" s="445"/>
      <c r="ONY99" s="414"/>
      <c r="OOB99" s="445"/>
      <c r="OOC99" s="414"/>
      <c r="OOF99" s="445"/>
      <c r="OOG99" s="414"/>
      <c r="OOJ99" s="445"/>
      <c r="OOK99" s="414"/>
      <c r="OON99" s="445"/>
      <c r="OOO99" s="414"/>
      <c r="OOR99" s="445"/>
      <c r="OOS99" s="414"/>
      <c r="OOV99" s="445"/>
      <c r="OOW99" s="414"/>
      <c r="OOZ99" s="445"/>
      <c r="OPA99" s="414"/>
      <c r="OPD99" s="445"/>
      <c r="OPE99" s="414"/>
      <c r="OPH99" s="445"/>
      <c r="OPI99" s="414"/>
      <c r="OPL99" s="445"/>
      <c r="OPM99" s="414"/>
      <c r="OPP99" s="445"/>
      <c r="OPQ99" s="414"/>
      <c r="OPT99" s="445"/>
      <c r="OPU99" s="414"/>
      <c r="OPX99" s="445"/>
      <c r="OPY99" s="414"/>
      <c r="OQB99" s="445"/>
      <c r="OQC99" s="414"/>
      <c r="OQF99" s="445"/>
      <c r="OQG99" s="414"/>
      <c r="OQJ99" s="445"/>
      <c r="OQK99" s="414"/>
      <c r="OQN99" s="445"/>
      <c r="OQO99" s="414"/>
      <c r="OQR99" s="445"/>
      <c r="OQS99" s="414"/>
      <c r="OQV99" s="445"/>
      <c r="OQW99" s="414"/>
      <c r="OQZ99" s="445"/>
      <c r="ORA99" s="414"/>
      <c r="ORD99" s="445"/>
      <c r="ORE99" s="414"/>
      <c r="ORH99" s="445"/>
      <c r="ORI99" s="414"/>
      <c r="ORL99" s="445"/>
      <c r="ORM99" s="414"/>
      <c r="ORP99" s="445"/>
      <c r="ORQ99" s="414"/>
      <c r="ORT99" s="445"/>
      <c r="ORU99" s="414"/>
      <c r="ORX99" s="445"/>
      <c r="ORY99" s="414"/>
      <c r="OSB99" s="445"/>
      <c r="OSC99" s="414"/>
      <c r="OSF99" s="445"/>
      <c r="OSG99" s="414"/>
      <c r="OSJ99" s="445"/>
      <c r="OSK99" s="414"/>
      <c r="OSN99" s="445"/>
      <c r="OSO99" s="414"/>
      <c r="OSR99" s="445"/>
      <c r="OSS99" s="414"/>
      <c r="OSV99" s="445"/>
      <c r="OSW99" s="414"/>
      <c r="OSZ99" s="445"/>
      <c r="OTA99" s="414"/>
      <c r="OTD99" s="445"/>
      <c r="OTE99" s="414"/>
      <c r="OTH99" s="445"/>
      <c r="OTI99" s="414"/>
      <c r="OTL99" s="445"/>
      <c r="OTM99" s="414"/>
      <c r="OTP99" s="445"/>
      <c r="OTQ99" s="414"/>
      <c r="OTT99" s="445"/>
      <c r="OTU99" s="414"/>
      <c r="OTX99" s="445"/>
      <c r="OTY99" s="414"/>
      <c r="OUB99" s="445"/>
      <c r="OUC99" s="414"/>
      <c r="OUF99" s="445"/>
      <c r="OUG99" s="414"/>
      <c r="OUJ99" s="445"/>
      <c r="OUK99" s="414"/>
      <c r="OUN99" s="445"/>
      <c r="OUO99" s="414"/>
      <c r="OUR99" s="445"/>
      <c r="OUS99" s="414"/>
      <c r="OUV99" s="445"/>
      <c r="OUW99" s="414"/>
      <c r="OUZ99" s="445"/>
      <c r="OVA99" s="414"/>
      <c r="OVD99" s="445"/>
      <c r="OVE99" s="414"/>
      <c r="OVH99" s="445"/>
      <c r="OVI99" s="414"/>
      <c r="OVL99" s="445"/>
      <c r="OVM99" s="414"/>
      <c r="OVP99" s="445"/>
      <c r="OVQ99" s="414"/>
      <c r="OVT99" s="445"/>
      <c r="OVU99" s="414"/>
      <c r="OVX99" s="445"/>
      <c r="OVY99" s="414"/>
      <c r="OWB99" s="445"/>
      <c r="OWC99" s="414"/>
      <c r="OWF99" s="445"/>
      <c r="OWG99" s="414"/>
      <c r="OWJ99" s="445"/>
      <c r="OWK99" s="414"/>
      <c r="OWN99" s="445"/>
      <c r="OWO99" s="414"/>
      <c r="OWR99" s="445"/>
      <c r="OWS99" s="414"/>
      <c r="OWV99" s="445"/>
      <c r="OWW99" s="414"/>
      <c r="OWZ99" s="445"/>
      <c r="OXA99" s="414"/>
      <c r="OXD99" s="445"/>
      <c r="OXE99" s="414"/>
      <c r="OXH99" s="445"/>
      <c r="OXI99" s="414"/>
      <c r="OXL99" s="445"/>
      <c r="OXM99" s="414"/>
      <c r="OXP99" s="445"/>
      <c r="OXQ99" s="414"/>
      <c r="OXT99" s="445"/>
      <c r="OXU99" s="414"/>
      <c r="OXX99" s="445"/>
      <c r="OXY99" s="414"/>
      <c r="OYB99" s="445"/>
      <c r="OYC99" s="414"/>
      <c r="OYF99" s="445"/>
      <c r="OYG99" s="414"/>
      <c r="OYJ99" s="445"/>
      <c r="OYK99" s="414"/>
      <c r="OYN99" s="445"/>
      <c r="OYO99" s="414"/>
      <c r="OYR99" s="445"/>
      <c r="OYS99" s="414"/>
      <c r="OYV99" s="445"/>
      <c r="OYW99" s="414"/>
      <c r="OYZ99" s="445"/>
      <c r="OZA99" s="414"/>
      <c r="OZD99" s="445"/>
      <c r="OZE99" s="414"/>
      <c r="OZH99" s="445"/>
      <c r="OZI99" s="414"/>
      <c r="OZL99" s="445"/>
      <c r="OZM99" s="414"/>
      <c r="OZP99" s="445"/>
      <c r="OZQ99" s="414"/>
      <c r="OZT99" s="445"/>
      <c r="OZU99" s="414"/>
      <c r="OZX99" s="445"/>
      <c r="OZY99" s="414"/>
      <c r="PAB99" s="445"/>
      <c r="PAC99" s="414"/>
      <c r="PAF99" s="445"/>
      <c r="PAG99" s="414"/>
      <c r="PAJ99" s="445"/>
      <c r="PAK99" s="414"/>
      <c r="PAN99" s="445"/>
      <c r="PAO99" s="414"/>
      <c r="PAR99" s="445"/>
      <c r="PAS99" s="414"/>
      <c r="PAV99" s="445"/>
      <c r="PAW99" s="414"/>
      <c r="PAZ99" s="445"/>
      <c r="PBA99" s="414"/>
      <c r="PBD99" s="445"/>
      <c r="PBE99" s="414"/>
      <c r="PBH99" s="445"/>
      <c r="PBI99" s="414"/>
      <c r="PBL99" s="445"/>
      <c r="PBM99" s="414"/>
      <c r="PBP99" s="445"/>
      <c r="PBQ99" s="414"/>
      <c r="PBT99" s="445"/>
      <c r="PBU99" s="414"/>
      <c r="PBX99" s="445"/>
      <c r="PBY99" s="414"/>
      <c r="PCB99" s="445"/>
      <c r="PCC99" s="414"/>
      <c r="PCF99" s="445"/>
      <c r="PCG99" s="414"/>
      <c r="PCJ99" s="445"/>
      <c r="PCK99" s="414"/>
      <c r="PCN99" s="445"/>
      <c r="PCO99" s="414"/>
      <c r="PCR99" s="445"/>
      <c r="PCS99" s="414"/>
      <c r="PCV99" s="445"/>
      <c r="PCW99" s="414"/>
      <c r="PCZ99" s="445"/>
      <c r="PDA99" s="414"/>
      <c r="PDD99" s="445"/>
      <c r="PDE99" s="414"/>
      <c r="PDH99" s="445"/>
      <c r="PDI99" s="414"/>
      <c r="PDL99" s="445"/>
      <c r="PDM99" s="414"/>
      <c r="PDP99" s="445"/>
      <c r="PDQ99" s="414"/>
      <c r="PDT99" s="445"/>
      <c r="PDU99" s="414"/>
      <c r="PDX99" s="445"/>
      <c r="PDY99" s="414"/>
      <c r="PEB99" s="445"/>
      <c r="PEC99" s="414"/>
      <c r="PEF99" s="445"/>
      <c r="PEG99" s="414"/>
      <c r="PEJ99" s="445"/>
      <c r="PEK99" s="414"/>
      <c r="PEN99" s="445"/>
      <c r="PEO99" s="414"/>
      <c r="PER99" s="445"/>
      <c r="PES99" s="414"/>
      <c r="PEV99" s="445"/>
      <c r="PEW99" s="414"/>
      <c r="PEZ99" s="445"/>
      <c r="PFA99" s="414"/>
      <c r="PFD99" s="445"/>
      <c r="PFE99" s="414"/>
      <c r="PFH99" s="445"/>
      <c r="PFI99" s="414"/>
      <c r="PFL99" s="445"/>
      <c r="PFM99" s="414"/>
      <c r="PFP99" s="445"/>
      <c r="PFQ99" s="414"/>
      <c r="PFT99" s="445"/>
      <c r="PFU99" s="414"/>
      <c r="PFX99" s="445"/>
      <c r="PFY99" s="414"/>
      <c r="PGB99" s="445"/>
      <c r="PGC99" s="414"/>
      <c r="PGF99" s="445"/>
      <c r="PGG99" s="414"/>
      <c r="PGJ99" s="445"/>
      <c r="PGK99" s="414"/>
      <c r="PGN99" s="445"/>
      <c r="PGO99" s="414"/>
      <c r="PGR99" s="445"/>
      <c r="PGS99" s="414"/>
      <c r="PGV99" s="445"/>
      <c r="PGW99" s="414"/>
      <c r="PGZ99" s="445"/>
      <c r="PHA99" s="414"/>
      <c r="PHD99" s="445"/>
      <c r="PHE99" s="414"/>
      <c r="PHH99" s="445"/>
      <c r="PHI99" s="414"/>
      <c r="PHL99" s="445"/>
      <c r="PHM99" s="414"/>
      <c r="PHP99" s="445"/>
      <c r="PHQ99" s="414"/>
      <c r="PHT99" s="445"/>
      <c r="PHU99" s="414"/>
      <c r="PHX99" s="445"/>
      <c r="PHY99" s="414"/>
      <c r="PIB99" s="445"/>
      <c r="PIC99" s="414"/>
      <c r="PIF99" s="445"/>
      <c r="PIG99" s="414"/>
      <c r="PIJ99" s="445"/>
      <c r="PIK99" s="414"/>
      <c r="PIN99" s="445"/>
      <c r="PIO99" s="414"/>
      <c r="PIR99" s="445"/>
      <c r="PIS99" s="414"/>
      <c r="PIV99" s="445"/>
      <c r="PIW99" s="414"/>
      <c r="PIZ99" s="445"/>
      <c r="PJA99" s="414"/>
      <c r="PJD99" s="445"/>
      <c r="PJE99" s="414"/>
      <c r="PJH99" s="445"/>
      <c r="PJI99" s="414"/>
      <c r="PJL99" s="445"/>
      <c r="PJM99" s="414"/>
      <c r="PJP99" s="445"/>
      <c r="PJQ99" s="414"/>
      <c r="PJT99" s="445"/>
      <c r="PJU99" s="414"/>
      <c r="PJX99" s="445"/>
      <c r="PJY99" s="414"/>
      <c r="PKB99" s="445"/>
      <c r="PKC99" s="414"/>
      <c r="PKF99" s="445"/>
      <c r="PKG99" s="414"/>
      <c r="PKJ99" s="445"/>
      <c r="PKK99" s="414"/>
      <c r="PKN99" s="445"/>
      <c r="PKO99" s="414"/>
      <c r="PKR99" s="445"/>
      <c r="PKS99" s="414"/>
      <c r="PKV99" s="445"/>
      <c r="PKW99" s="414"/>
      <c r="PKZ99" s="445"/>
      <c r="PLA99" s="414"/>
      <c r="PLD99" s="445"/>
      <c r="PLE99" s="414"/>
      <c r="PLH99" s="445"/>
      <c r="PLI99" s="414"/>
      <c r="PLL99" s="445"/>
      <c r="PLM99" s="414"/>
      <c r="PLP99" s="445"/>
      <c r="PLQ99" s="414"/>
      <c r="PLT99" s="445"/>
      <c r="PLU99" s="414"/>
      <c r="PLX99" s="445"/>
      <c r="PLY99" s="414"/>
      <c r="PMB99" s="445"/>
      <c r="PMC99" s="414"/>
      <c r="PMF99" s="445"/>
      <c r="PMG99" s="414"/>
      <c r="PMJ99" s="445"/>
      <c r="PMK99" s="414"/>
      <c r="PMN99" s="445"/>
      <c r="PMO99" s="414"/>
      <c r="PMR99" s="445"/>
      <c r="PMS99" s="414"/>
      <c r="PMV99" s="445"/>
      <c r="PMW99" s="414"/>
      <c r="PMZ99" s="445"/>
      <c r="PNA99" s="414"/>
      <c r="PND99" s="445"/>
      <c r="PNE99" s="414"/>
      <c r="PNH99" s="445"/>
      <c r="PNI99" s="414"/>
      <c r="PNL99" s="445"/>
      <c r="PNM99" s="414"/>
      <c r="PNP99" s="445"/>
      <c r="PNQ99" s="414"/>
      <c r="PNT99" s="445"/>
      <c r="PNU99" s="414"/>
      <c r="PNX99" s="445"/>
      <c r="PNY99" s="414"/>
      <c r="POB99" s="445"/>
      <c r="POC99" s="414"/>
      <c r="POF99" s="445"/>
      <c r="POG99" s="414"/>
      <c r="POJ99" s="445"/>
      <c r="POK99" s="414"/>
      <c r="PON99" s="445"/>
      <c r="POO99" s="414"/>
      <c r="POR99" s="445"/>
      <c r="POS99" s="414"/>
      <c r="POV99" s="445"/>
      <c r="POW99" s="414"/>
      <c r="POZ99" s="445"/>
      <c r="PPA99" s="414"/>
      <c r="PPD99" s="445"/>
      <c r="PPE99" s="414"/>
      <c r="PPH99" s="445"/>
      <c r="PPI99" s="414"/>
      <c r="PPL99" s="445"/>
      <c r="PPM99" s="414"/>
      <c r="PPP99" s="445"/>
      <c r="PPQ99" s="414"/>
      <c r="PPT99" s="445"/>
      <c r="PPU99" s="414"/>
      <c r="PPX99" s="445"/>
      <c r="PPY99" s="414"/>
      <c r="PQB99" s="445"/>
      <c r="PQC99" s="414"/>
      <c r="PQF99" s="445"/>
      <c r="PQG99" s="414"/>
      <c r="PQJ99" s="445"/>
      <c r="PQK99" s="414"/>
      <c r="PQN99" s="445"/>
      <c r="PQO99" s="414"/>
      <c r="PQR99" s="445"/>
      <c r="PQS99" s="414"/>
      <c r="PQV99" s="445"/>
      <c r="PQW99" s="414"/>
      <c r="PQZ99" s="445"/>
      <c r="PRA99" s="414"/>
      <c r="PRD99" s="445"/>
      <c r="PRE99" s="414"/>
      <c r="PRH99" s="445"/>
      <c r="PRI99" s="414"/>
      <c r="PRL99" s="445"/>
      <c r="PRM99" s="414"/>
      <c r="PRP99" s="445"/>
      <c r="PRQ99" s="414"/>
      <c r="PRT99" s="445"/>
      <c r="PRU99" s="414"/>
      <c r="PRX99" s="445"/>
      <c r="PRY99" s="414"/>
      <c r="PSB99" s="445"/>
      <c r="PSC99" s="414"/>
      <c r="PSF99" s="445"/>
      <c r="PSG99" s="414"/>
      <c r="PSJ99" s="445"/>
      <c r="PSK99" s="414"/>
      <c r="PSN99" s="445"/>
      <c r="PSO99" s="414"/>
      <c r="PSR99" s="445"/>
      <c r="PSS99" s="414"/>
      <c r="PSV99" s="445"/>
      <c r="PSW99" s="414"/>
      <c r="PSZ99" s="445"/>
      <c r="PTA99" s="414"/>
      <c r="PTD99" s="445"/>
      <c r="PTE99" s="414"/>
      <c r="PTH99" s="445"/>
      <c r="PTI99" s="414"/>
      <c r="PTL99" s="445"/>
      <c r="PTM99" s="414"/>
      <c r="PTP99" s="445"/>
      <c r="PTQ99" s="414"/>
      <c r="PTT99" s="445"/>
      <c r="PTU99" s="414"/>
      <c r="PTX99" s="445"/>
      <c r="PTY99" s="414"/>
      <c r="PUB99" s="445"/>
      <c r="PUC99" s="414"/>
      <c r="PUF99" s="445"/>
      <c r="PUG99" s="414"/>
      <c r="PUJ99" s="445"/>
      <c r="PUK99" s="414"/>
      <c r="PUN99" s="445"/>
      <c r="PUO99" s="414"/>
      <c r="PUR99" s="445"/>
      <c r="PUS99" s="414"/>
      <c r="PUV99" s="445"/>
      <c r="PUW99" s="414"/>
      <c r="PUZ99" s="445"/>
      <c r="PVA99" s="414"/>
      <c r="PVD99" s="445"/>
      <c r="PVE99" s="414"/>
      <c r="PVH99" s="445"/>
      <c r="PVI99" s="414"/>
      <c r="PVL99" s="445"/>
      <c r="PVM99" s="414"/>
      <c r="PVP99" s="445"/>
      <c r="PVQ99" s="414"/>
      <c r="PVT99" s="445"/>
      <c r="PVU99" s="414"/>
      <c r="PVX99" s="445"/>
      <c r="PVY99" s="414"/>
      <c r="PWB99" s="445"/>
      <c r="PWC99" s="414"/>
      <c r="PWF99" s="445"/>
      <c r="PWG99" s="414"/>
      <c r="PWJ99" s="445"/>
      <c r="PWK99" s="414"/>
      <c r="PWN99" s="445"/>
      <c r="PWO99" s="414"/>
      <c r="PWR99" s="445"/>
      <c r="PWS99" s="414"/>
      <c r="PWV99" s="445"/>
      <c r="PWW99" s="414"/>
      <c r="PWZ99" s="445"/>
      <c r="PXA99" s="414"/>
      <c r="PXD99" s="445"/>
      <c r="PXE99" s="414"/>
      <c r="PXH99" s="445"/>
      <c r="PXI99" s="414"/>
      <c r="PXL99" s="445"/>
      <c r="PXM99" s="414"/>
      <c r="PXP99" s="445"/>
      <c r="PXQ99" s="414"/>
      <c r="PXT99" s="445"/>
      <c r="PXU99" s="414"/>
      <c r="PXX99" s="445"/>
      <c r="PXY99" s="414"/>
      <c r="PYB99" s="445"/>
      <c r="PYC99" s="414"/>
      <c r="PYF99" s="445"/>
      <c r="PYG99" s="414"/>
      <c r="PYJ99" s="445"/>
      <c r="PYK99" s="414"/>
      <c r="PYN99" s="445"/>
      <c r="PYO99" s="414"/>
      <c r="PYR99" s="445"/>
      <c r="PYS99" s="414"/>
      <c r="PYV99" s="445"/>
      <c r="PYW99" s="414"/>
      <c r="PYZ99" s="445"/>
      <c r="PZA99" s="414"/>
      <c r="PZD99" s="445"/>
      <c r="PZE99" s="414"/>
      <c r="PZH99" s="445"/>
      <c r="PZI99" s="414"/>
      <c r="PZL99" s="445"/>
      <c r="PZM99" s="414"/>
      <c r="PZP99" s="445"/>
      <c r="PZQ99" s="414"/>
      <c r="PZT99" s="445"/>
      <c r="PZU99" s="414"/>
      <c r="PZX99" s="445"/>
      <c r="PZY99" s="414"/>
      <c r="QAB99" s="445"/>
      <c r="QAC99" s="414"/>
      <c r="QAF99" s="445"/>
      <c r="QAG99" s="414"/>
      <c r="QAJ99" s="445"/>
      <c r="QAK99" s="414"/>
      <c r="QAN99" s="445"/>
      <c r="QAO99" s="414"/>
      <c r="QAR99" s="445"/>
      <c r="QAS99" s="414"/>
      <c r="QAV99" s="445"/>
      <c r="QAW99" s="414"/>
      <c r="QAZ99" s="445"/>
      <c r="QBA99" s="414"/>
      <c r="QBD99" s="445"/>
      <c r="QBE99" s="414"/>
      <c r="QBH99" s="445"/>
      <c r="QBI99" s="414"/>
      <c r="QBL99" s="445"/>
      <c r="QBM99" s="414"/>
      <c r="QBP99" s="445"/>
      <c r="QBQ99" s="414"/>
      <c r="QBT99" s="445"/>
      <c r="QBU99" s="414"/>
      <c r="QBX99" s="445"/>
      <c r="QBY99" s="414"/>
      <c r="QCB99" s="445"/>
      <c r="QCC99" s="414"/>
      <c r="QCF99" s="445"/>
      <c r="QCG99" s="414"/>
      <c r="QCJ99" s="445"/>
      <c r="QCK99" s="414"/>
      <c r="QCN99" s="445"/>
      <c r="QCO99" s="414"/>
      <c r="QCR99" s="445"/>
      <c r="QCS99" s="414"/>
      <c r="QCV99" s="445"/>
      <c r="QCW99" s="414"/>
      <c r="QCZ99" s="445"/>
      <c r="QDA99" s="414"/>
      <c r="QDD99" s="445"/>
      <c r="QDE99" s="414"/>
      <c r="QDH99" s="445"/>
      <c r="QDI99" s="414"/>
      <c r="QDL99" s="445"/>
      <c r="QDM99" s="414"/>
      <c r="QDP99" s="445"/>
      <c r="QDQ99" s="414"/>
      <c r="QDT99" s="445"/>
      <c r="QDU99" s="414"/>
      <c r="QDX99" s="445"/>
      <c r="QDY99" s="414"/>
      <c r="QEB99" s="445"/>
      <c r="QEC99" s="414"/>
      <c r="QEF99" s="445"/>
      <c r="QEG99" s="414"/>
      <c r="QEJ99" s="445"/>
      <c r="QEK99" s="414"/>
      <c r="QEN99" s="445"/>
      <c r="QEO99" s="414"/>
      <c r="QER99" s="445"/>
      <c r="QES99" s="414"/>
      <c r="QEV99" s="445"/>
      <c r="QEW99" s="414"/>
      <c r="QEZ99" s="445"/>
      <c r="QFA99" s="414"/>
      <c r="QFD99" s="445"/>
      <c r="QFE99" s="414"/>
      <c r="QFH99" s="445"/>
      <c r="QFI99" s="414"/>
      <c r="QFL99" s="445"/>
      <c r="QFM99" s="414"/>
      <c r="QFP99" s="445"/>
      <c r="QFQ99" s="414"/>
      <c r="QFT99" s="445"/>
      <c r="QFU99" s="414"/>
      <c r="QFX99" s="445"/>
      <c r="QFY99" s="414"/>
      <c r="QGB99" s="445"/>
      <c r="QGC99" s="414"/>
      <c r="QGF99" s="445"/>
      <c r="QGG99" s="414"/>
      <c r="QGJ99" s="445"/>
      <c r="QGK99" s="414"/>
      <c r="QGN99" s="445"/>
      <c r="QGO99" s="414"/>
      <c r="QGR99" s="445"/>
      <c r="QGS99" s="414"/>
      <c r="QGV99" s="445"/>
      <c r="QGW99" s="414"/>
      <c r="QGZ99" s="445"/>
      <c r="QHA99" s="414"/>
      <c r="QHD99" s="445"/>
      <c r="QHE99" s="414"/>
      <c r="QHH99" s="445"/>
      <c r="QHI99" s="414"/>
      <c r="QHL99" s="445"/>
      <c r="QHM99" s="414"/>
      <c r="QHP99" s="445"/>
      <c r="QHQ99" s="414"/>
      <c r="QHT99" s="445"/>
      <c r="QHU99" s="414"/>
      <c r="QHX99" s="445"/>
      <c r="QHY99" s="414"/>
      <c r="QIB99" s="445"/>
      <c r="QIC99" s="414"/>
      <c r="QIF99" s="445"/>
      <c r="QIG99" s="414"/>
      <c r="QIJ99" s="445"/>
      <c r="QIK99" s="414"/>
      <c r="QIN99" s="445"/>
      <c r="QIO99" s="414"/>
      <c r="QIR99" s="445"/>
      <c r="QIS99" s="414"/>
      <c r="QIV99" s="445"/>
      <c r="QIW99" s="414"/>
      <c r="QIZ99" s="445"/>
      <c r="QJA99" s="414"/>
      <c r="QJD99" s="445"/>
      <c r="QJE99" s="414"/>
      <c r="QJH99" s="445"/>
      <c r="QJI99" s="414"/>
      <c r="QJL99" s="445"/>
      <c r="QJM99" s="414"/>
      <c r="QJP99" s="445"/>
      <c r="QJQ99" s="414"/>
      <c r="QJT99" s="445"/>
      <c r="QJU99" s="414"/>
      <c r="QJX99" s="445"/>
      <c r="QJY99" s="414"/>
      <c r="QKB99" s="445"/>
      <c r="QKC99" s="414"/>
      <c r="QKF99" s="445"/>
      <c r="QKG99" s="414"/>
      <c r="QKJ99" s="445"/>
      <c r="QKK99" s="414"/>
      <c r="QKN99" s="445"/>
      <c r="QKO99" s="414"/>
      <c r="QKR99" s="445"/>
      <c r="QKS99" s="414"/>
      <c r="QKV99" s="445"/>
      <c r="QKW99" s="414"/>
      <c r="QKZ99" s="445"/>
      <c r="QLA99" s="414"/>
      <c r="QLD99" s="445"/>
      <c r="QLE99" s="414"/>
      <c r="QLH99" s="445"/>
      <c r="QLI99" s="414"/>
      <c r="QLL99" s="445"/>
      <c r="QLM99" s="414"/>
      <c r="QLP99" s="445"/>
      <c r="QLQ99" s="414"/>
      <c r="QLT99" s="445"/>
      <c r="QLU99" s="414"/>
      <c r="QLX99" s="445"/>
      <c r="QLY99" s="414"/>
      <c r="QMB99" s="445"/>
      <c r="QMC99" s="414"/>
      <c r="QMF99" s="445"/>
      <c r="QMG99" s="414"/>
      <c r="QMJ99" s="445"/>
      <c r="QMK99" s="414"/>
      <c r="QMN99" s="445"/>
      <c r="QMO99" s="414"/>
      <c r="QMR99" s="445"/>
      <c r="QMS99" s="414"/>
      <c r="QMV99" s="445"/>
      <c r="QMW99" s="414"/>
      <c r="QMZ99" s="445"/>
      <c r="QNA99" s="414"/>
      <c r="QND99" s="445"/>
      <c r="QNE99" s="414"/>
      <c r="QNH99" s="445"/>
      <c r="QNI99" s="414"/>
      <c r="QNL99" s="445"/>
      <c r="QNM99" s="414"/>
      <c r="QNP99" s="445"/>
      <c r="QNQ99" s="414"/>
      <c r="QNT99" s="445"/>
      <c r="QNU99" s="414"/>
      <c r="QNX99" s="445"/>
      <c r="QNY99" s="414"/>
      <c r="QOB99" s="445"/>
      <c r="QOC99" s="414"/>
      <c r="QOF99" s="445"/>
      <c r="QOG99" s="414"/>
      <c r="QOJ99" s="445"/>
      <c r="QOK99" s="414"/>
      <c r="QON99" s="445"/>
      <c r="QOO99" s="414"/>
      <c r="QOR99" s="445"/>
      <c r="QOS99" s="414"/>
      <c r="QOV99" s="445"/>
      <c r="QOW99" s="414"/>
      <c r="QOZ99" s="445"/>
      <c r="QPA99" s="414"/>
      <c r="QPD99" s="445"/>
      <c r="QPE99" s="414"/>
      <c r="QPH99" s="445"/>
      <c r="QPI99" s="414"/>
      <c r="QPL99" s="445"/>
      <c r="QPM99" s="414"/>
      <c r="QPP99" s="445"/>
      <c r="QPQ99" s="414"/>
      <c r="QPT99" s="445"/>
      <c r="QPU99" s="414"/>
      <c r="QPX99" s="445"/>
      <c r="QPY99" s="414"/>
      <c r="QQB99" s="445"/>
      <c r="QQC99" s="414"/>
      <c r="QQF99" s="445"/>
      <c r="QQG99" s="414"/>
      <c r="QQJ99" s="445"/>
      <c r="QQK99" s="414"/>
      <c r="QQN99" s="445"/>
      <c r="QQO99" s="414"/>
      <c r="QQR99" s="445"/>
      <c r="QQS99" s="414"/>
      <c r="QQV99" s="445"/>
      <c r="QQW99" s="414"/>
      <c r="QQZ99" s="445"/>
      <c r="QRA99" s="414"/>
      <c r="QRD99" s="445"/>
      <c r="QRE99" s="414"/>
      <c r="QRH99" s="445"/>
      <c r="QRI99" s="414"/>
      <c r="QRL99" s="445"/>
      <c r="QRM99" s="414"/>
      <c r="QRP99" s="445"/>
      <c r="QRQ99" s="414"/>
      <c r="QRT99" s="445"/>
      <c r="QRU99" s="414"/>
      <c r="QRX99" s="445"/>
      <c r="QRY99" s="414"/>
      <c r="QSB99" s="445"/>
      <c r="QSC99" s="414"/>
      <c r="QSF99" s="445"/>
      <c r="QSG99" s="414"/>
      <c r="QSJ99" s="445"/>
      <c r="QSK99" s="414"/>
      <c r="QSN99" s="445"/>
      <c r="QSO99" s="414"/>
      <c r="QSR99" s="445"/>
      <c r="QSS99" s="414"/>
      <c r="QSV99" s="445"/>
      <c r="QSW99" s="414"/>
      <c r="QSZ99" s="445"/>
      <c r="QTA99" s="414"/>
      <c r="QTD99" s="445"/>
      <c r="QTE99" s="414"/>
      <c r="QTH99" s="445"/>
      <c r="QTI99" s="414"/>
      <c r="QTL99" s="445"/>
      <c r="QTM99" s="414"/>
      <c r="QTP99" s="445"/>
      <c r="QTQ99" s="414"/>
      <c r="QTT99" s="445"/>
      <c r="QTU99" s="414"/>
      <c r="QTX99" s="445"/>
      <c r="QTY99" s="414"/>
      <c r="QUB99" s="445"/>
      <c r="QUC99" s="414"/>
      <c r="QUF99" s="445"/>
      <c r="QUG99" s="414"/>
      <c r="QUJ99" s="445"/>
      <c r="QUK99" s="414"/>
      <c r="QUN99" s="445"/>
      <c r="QUO99" s="414"/>
      <c r="QUR99" s="445"/>
      <c r="QUS99" s="414"/>
      <c r="QUV99" s="445"/>
      <c r="QUW99" s="414"/>
      <c r="QUZ99" s="445"/>
      <c r="QVA99" s="414"/>
      <c r="QVD99" s="445"/>
      <c r="QVE99" s="414"/>
      <c r="QVH99" s="445"/>
      <c r="QVI99" s="414"/>
      <c r="QVL99" s="445"/>
      <c r="QVM99" s="414"/>
      <c r="QVP99" s="445"/>
      <c r="QVQ99" s="414"/>
      <c r="QVT99" s="445"/>
      <c r="QVU99" s="414"/>
      <c r="QVX99" s="445"/>
      <c r="QVY99" s="414"/>
      <c r="QWB99" s="445"/>
      <c r="QWC99" s="414"/>
      <c r="QWF99" s="445"/>
      <c r="QWG99" s="414"/>
      <c r="QWJ99" s="445"/>
      <c r="QWK99" s="414"/>
      <c r="QWN99" s="445"/>
      <c r="QWO99" s="414"/>
      <c r="QWR99" s="445"/>
      <c r="QWS99" s="414"/>
      <c r="QWV99" s="445"/>
      <c r="QWW99" s="414"/>
      <c r="QWZ99" s="445"/>
      <c r="QXA99" s="414"/>
      <c r="QXD99" s="445"/>
      <c r="QXE99" s="414"/>
      <c r="QXH99" s="445"/>
      <c r="QXI99" s="414"/>
      <c r="QXL99" s="445"/>
      <c r="QXM99" s="414"/>
      <c r="QXP99" s="445"/>
      <c r="QXQ99" s="414"/>
      <c r="QXT99" s="445"/>
      <c r="QXU99" s="414"/>
      <c r="QXX99" s="445"/>
      <c r="QXY99" s="414"/>
      <c r="QYB99" s="445"/>
      <c r="QYC99" s="414"/>
      <c r="QYF99" s="445"/>
      <c r="QYG99" s="414"/>
      <c r="QYJ99" s="445"/>
      <c r="QYK99" s="414"/>
      <c r="QYN99" s="445"/>
      <c r="QYO99" s="414"/>
      <c r="QYR99" s="445"/>
      <c r="QYS99" s="414"/>
      <c r="QYV99" s="445"/>
      <c r="QYW99" s="414"/>
      <c r="QYZ99" s="445"/>
      <c r="QZA99" s="414"/>
      <c r="QZD99" s="445"/>
      <c r="QZE99" s="414"/>
      <c r="QZH99" s="445"/>
      <c r="QZI99" s="414"/>
      <c r="QZL99" s="445"/>
      <c r="QZM99" s="414"/>
      <c r="QZP99" s="445"/>
      <c r="QZQ99" s="414"/>
      <c r="QZT99" s="445"/>
      <c r="QZU99" s="414"/>
      <c r="QZX99" s="445"/>
      <c r="QZY99" s="414"/>
      <c r="RAB99" s="445"/>
      <c r="RAC99" s="414"/>
      <c r="RAF99" s="445"/>
      <c r="RAG99" s="414"/>
      <c r="RAJ99" s="445"/>
      <c r="RAK99" s="414"/>
      <c r="RAN99" s="445"/>
      <c r="RAO99" s="414"/>
      <c r="RAR99" s="445"/>
      <c r="RAS99" s="414"/>
      <c r="RAV99" s="445"/>
      <c r="RAW99" s="414"/>
      <c r="RAZ99" s="445"/>
      <c r="RBA99" s="414"/>
      <c r="RBD99" s="445"/>
      <c r="RBE99" s="414"/>
      <c r="RBH99" s="445"/>
      <c r="RBI99" s="414"/>
      <c r="RBL99" s="445"/>
      <c r="RBM99" s="414"/>
      <c r="RBP99" s="445"/>
      <c r="RBQ99" s="414"/>
      <c r="RBT99" s="445"/>
      <c r="RBU99" s="414"/>
      <c r="RBX99" s="445"/>
      <c r="RBY99" s="414"/>
      <c r="RCB99" s="445"/>
      <c r="RCC99" s="414"/>
      <c r="RCF99" s="445"/>
      <c r="RCG99" s="414"/>
      <c r="RCJ99" s="445"/>
      <c r="RCK99" s="414"/>
      <c r="RCN99" s="445"/>
      <c r="RCO99" s="414"/>
      <c r="RCR99" s="445"/>
      <c r="RCS99" s="414"/>
      <c r="RCV99" s="445"/>
      <c r="RCW99" s="414"/>
      <c r="RCZ99" s="445"/>
      <c r="RDA99" s="414"/>
      <c r="RDD99" s="445"/>
      <c r="RDE99" s="414"/>
      <c r="RDH99" s="445"/>
      <c r="RDI99" s="414"/>
      <c r="RDL99" s="445"/>
      <c r="RDM99" s="414"/>
      <c r="RDP99" s="445"/>
      <c r="RDQ99" s="414"/>
      <c r="RDT99" s="445"/>
      <c r="RDU99" s="414"/>
      <c r="RDX99" s="445"/>
      <c r="RDY99" s="414"/>
      <c r="REB99" s="445"/>
      <c r="REC99" s="414"/>
      <c r="REF99" s="445"/>
      <c r="REG99" s="414"/>
      <c r="REJ99" s="445"/>
      <c r="REK99" s="414"/>
      <c r="REN99" s="445"/>
      <c r="REO99" s="414"/>
      <c r="RER99" s="445"/>
      <c r="RES99" s="414"/>
      <c r="REV99" s="445"/>
      <c r="REW99" s="414"/>
      <c r="REZ99" s="445"/>
      <c r="RFA99" s="414"/>
      <c r="RFD99" s="445"/>
      <c r="RFE99" s="414"/>
      <c r="RFH99" s="445"/>
      <c r="RFI99" s="414"/>
      <c r="RFL99" s="445"/>
      <c r="RFM99" s="414"/>
      <c r="RFP99" s="445"/>
      <c r="RFQ99" s="414"/>
      <c r="RFT99" s="445"/>
      <c r="RFU99" s="414"/>
      <c r="RFX99" s="445"/>
      <c r="RFY99" s="414"/>
      <c r="RGB99" s="445"/>
      <c r="RGC99" s="414"/>
      <c r="RGF99" s="445"/>
      <c r="RGG99" s="414"/>
      <c r="RGJ99" s="445"/>
      <c r="RGK99" s="414"/>
      <c r="RGN99" s="445"/>
      <c r="RGO99" s="414"/>
      <c r="RGR99" s="445"/>
      <c r="RGS99" s="414"/>
      <c r="RGV99" s="445"/>
      <c r="RGW99" s="414"/>
      <c r="RGZ99" s="445"/>
      <c r="RHA99" s="414"/>
      <c r="RHD99" s="445"/>
      <c r="RHE99" s="414"/>
      <c r="RHH99" s="445"/>
      <c r="RHI99" s="414"/>
      <c r="RHL99" s="445"/>
      <c r="RHM99" s="414"/>
      <c r="RHP99" s="445"/>
      <c r="RHQ99" s="414"/>
      <c r="RHT99" s="445"/>
      <c r="RHU99" s="414"/>
      <c r="RHX99" s="445"/>
      <c r="RHY99" s="414"/>
      <c r="RIB99" s="445"/>
      <c r="RIC99" s="414"/>
      <c r="RIF99" s="445"/>
      <c r="RIG99" s="414"/>
      <c r="RIJ99" s="445"/>
      <c r="RIK99" s="414"/>
      <c r="RIN99" s="445"/>
      <c r="RIO99" s="414"/>
      <c r="RIR99" s="445"/>
      <c r="RIS99" s="414"/>
      <c r="RIV99" s="445"/>
      <c r="RIW99" s="414"/>
      <c r="RIZ99" s="445"/>
      <c r="RJA99" s="414"/>
      <c r="RJD99" s="445"/>
      <c r="RJE99" s="414"/>
      <c r="RJH99" s="445"/>
      <c r="RJI99" s="414"/>
      <c r="RJL99" s="445"/>
      <c r="RJM99" s="414"/>
      <c r="RJP99" s="445"/>
      <c r="RJQ99" s="414"/>
      <c r="RJT99" s="445"/>
      <c r="RJU99" s="414"/>
      <c r="RJX99" s="445"/>
      <c r="RJY99" s="414"/>
      <c r="RKB99" s="445"/>
      <c r="RKC99" s="414"/>
      <c r="RKF99" s="445"/>
      <c r="RKG99" s="414"/>
      <c r="RKJ99" s="445"/>
      <c r="RKK99" s="414"/>
      <c r="RKN99" s="445"/>
      <c r="RKO99" s="414"/>
      <c r="RKR99" s="445"/>
      <c r="RKS99" s="414"/>
      <c r="RKV99" s="445"/>
      <c r="RKW99" s="414"/>
      <c r="RKZ99" s="445"/>
      <c r="RLA99" s="414"/>
      <c r="RLD99" s="445"/>
      <c r="RLE99" s="414"/>
      <c r="RLH99" s="445"/>
      <c r="RLI99" s="414"/>
      <c r="RLL99" s="445"/>
      <c r="RLM99" s="414"/>
      <c r="RLP99" s="445"/>
      <c r="RLQ99" s="414"/>
      <c r="RLT99" s="445"/>
      <c r="RLU99" s="414"/>
      <c r="RLX99" s="445"/>
      <c r="RLY99" s="414"/>
      <c r="RMB99" s="445"/>
      <c r="RMC99" s="414"/>
      <c r="RMF99" s="445"/>
      <c r="RMG99" s="414"/>
      <c r="RMJ99" s="445"/>
      <c r="RMK99" s="414"/>
      <c r="RMN99" s="445"/>
      <c r="RMO99" s="414"/>
      <c r="RMR99" s="445"/>
      <c r="RMS99" s="414"/>
      <c r="RMV99" s="445"/>
      <c r="RMW99" s="414"/>
      <c r="RMZ99" s="445"/>
      <c r="RNA99" s="414"/>
      <c r="RND99" s="445"/>
      <c r="RNE99" s="414"/>
      <c r="RNH99" s="445"/>
      <c r="RNI99" s="414"/>
      <c r="RNL99" s="445"/>
      <c r="RNM99" s="414"/>
      <c r="RNP99" s="445"/>
      <c r="RNQ99" s="414"/>
      <c r="RNT99" s="445"/>
      <c r="RNU99" s="414"/>
      <c r="RNX99" s="445"/>
      <c r="RNY99" s="414"/>
      <c r="ROB99" s="445"/>
      <c r="ROC99" s="414"/>
      <c r="ROF99" s="445"/>
      <c r="ROG99" s="414"/>
      <c r="ROJ99" s="445"/>
      <c r="ROK99" s="414"/>
      <c r="RON99" s="445"/>
      <c r="ROO99" s="414"/>
      <c r="ROR99" s="445"/>
      <c r="ROS99" s="414"/>
      <c r="ROV99" s="445"/>
      <c r="ROW99" s="414"/>
      <c r="ROZ99" s="445"/>
      <c r="RPA99" s="414"/>
      <c r="RPD99" s="445"/>
      <c r="RPE99" s="414"/>
      <c r="RPH99" s="445"/>
      <c r="RPI99" s="414"/>
      <c r="RPL99" s="445"/>
      <c r="RPM99" s="414"/>
      <c r="RPP99" s="445"/>
      <c r="RPQ99" s="414"/>
      <c r="RPT99" s="445"/>
      <c r="RPU99" s="414"/>
      <c r="RPX99" s="445"/>
      <c r="RPY99" s="414"/>
      <c r="RQB99" s="445"/>
      <c r="RQC99" s="414"/>
      <c r="RQF99" s="445"/>
      <c r="RQG99" s="414"/>
      <c r="RQJ99" s="445"/>
      <c r="RQK99" s="414"/>
      <c r="RQN99" s="445"/>
      <c r="RQO99" s="414"/>
      <c r="RQR99" s="445"/>
      <c r="RQS99" s="414"/>
      <c r="RQV99" s="445"/>
      <c r="RQW99" s="414"/>
      <c r="RQZ99" s="445"/>
      <c r="RRA99" s="414"/>
      <c r="RRD99" s="445"/>
      <c r="RRE99" s="414"/>
      <c r="RRH99" s="445"/>
      <c r="RRI99" s="414"/>
      <c r="RRL99" s="445"/>
      <c r="RRM99" s="414"/>
      <c r="RRP99" s="445"/>
      <c r="RRQ99" s="414"/>
      <c r="RRT99" s="445"/>
      <c r="RRU99" s="414"/>
      <c r="RRX99" s="445"/>
      <c r="RRY99" s="414"/>
      <c r="RSB99" s="445"/>
      <c r="RSC99" s="414"/>
      <c r="RSF99" s="445"/>
      <c r="RSG99" s="414"/>
      <c r="RSJ99" s="445"/>
      <c r="RSK99" s="414"/>
      <c r="RSN99" s="445"/>
      <c r="RSO99" s="414"/>
      <c r="RSR99" s="445"/>
      <c r="RSS99" s="414"/>
      <c r="RSV99" s="445"/>
      <c r="RSW99" s="414"/>
      <c r="RSZ99" s="445"/>
      <c r="RTA99" s="414"/>
      <c r="RTD99" s="445"/>
      <c r="RTE99" s="414"/>
      <c r="RTH99" s="445"/>
      <c r="RTI99" s="414"/>
      <c r="RTL99" s="445"/>
      <c r="RTM99" s="414"/>
      <c r="RTP99" s="445"/>
      <c r="RTQ99" s="414"/>
      <c r="RTT99" s="445"/>
      <c r="RTU99" s="414"/>
      <c r="RTX99" s="445"/>
      <c r="RTY99" s="414"/>
      <c r="RUB99" s="445"/>
      <c r="RUC99" s="414"/>
      <c r="RUF99" s="445"/>
      <c r="RUG99" s="414"/>
      <c r="RUJ99" s="445"/>
      <c r="RUK99" s="414"/>
      <c r="RUN99" s="445"/>
      <c r="RUO99" s="414"/>
      <c r="RUR99" s="445"/>
      <c r="RUS99" s="414"/>
      <c r="RUV99" s="445"/>
      <c r="RUW99" s="414"/>
      <c r="RUZ99" s="445"/>
      <c r="RVA99" s="414"/>
      <c r="RVD99" s="445"/>
      <c r="RVE99" s="414"/>
      <c r="RVH99" s="445"/>
      <c r="RVI99" s="414"/>
      <c r="RVL99" s="445"/>
      <c r="RVM99" s="414"/>
      <c r="RVP99" s="445"/>
      <c r="RVQ99" s="414"/>
      <c r="RVT99" s="445"/>
      <c r="RVU99" s="414"/>
      <c r="RVX99" s="445"/>
      <c r="RVY99" s="414"/>
      <c r="RWB99" s="445"/>
      <c r="RWC99" s="414"/>
      <c r="RWF99" s="445"/>
      <c r="RWG99" s="414"/>
      <c r="RWJ99" s="445"/>
      <c r="RWK99" s="414"/>
      <c r="RWN99" s="445"/>
      <c r="RWO99" s="414"/>
      <c r="RWR99" s="445"/>
      <c r="RWS99" s="414"/>
      <c r="RWV99" s="445"/>
      <c r="RWW99" s="414"/>
      <c r="RWZ99" s="445"/>
      <c r="RXA99" s="414"/>
      <c r="RXD99" s="445"/>
      <c r="RXE99" s="414"/>
      <c r="RXH99" s="445"/>
      <c r="RXI99" s="414"/>
      <c r="RXL99" s="445"/>
      <c r="RXM99" s="414"/>
      <c r="RXP99" s="445"/>
      <c r="RXQ99" s="414"/>
      <c r="RXT99" s="445"/>
      <c r="RXU99" s="414"/>
      <c r="RXX99" s="445"/>
      <c r="RXY99" s="414"/>
      <c r="RYB99" s="445"/>
      <c r="RYC99" s="414"/>
      <c r="RYF99" s="445"/>
      <c r="RYG99" s="414"/>
      <c r="RYJ99" s="445"/>
      <c r="RYK99" s="414"/>
      <c r="RYN99" s="445"/>
      <c r="RYO99" s="414"/>
      <c r="RYR99" s="445"/>
      <c r="RYS99" s="414"/>
      <c r="RYV99" s="445"/>
      <c r="RYW99" s="414"/>
      <c r="RYZ99" s="445"/>
      <c r="RZA99" s="414"/>
      <c r="RZD99" s="445"/>
      <c r="RZE99" s="414"/>
      <c r="RZH99" s="445"/>
      <c r="RZI99" s="414"/>
      <c r="RZL99" s="445"/>
      <c r="RZM99" s="414"/>
      <c r="RZP99" s="445"/>
      <c r="RZQ99" s="414"/>
      <c r="RZT99" s="445"/>
      <c r="RZU99" s="414"/>
      <c r="RZX99" s="445"/>
      <c r="RZY99" s="414"/>
      <c r="SAB99" s="445"/>
      <c r="SAC99" s="414"/>
      <c r="SAF99" s="445"/>
      <c r="SAG99" s="414"/>
      <c r="SAJ99" s="445"/>
      <c r="SAK99" s="414"/>
      <c r="SAN99" s="445"/>
      <c r="SAO99" s="414"/>
      <c r="SAR99" s="445"/>
      <c r="SAS99" s="414"/>
      <c r="SAV99" s="445"/>
      <c r="SAW99" s="414"/>
      <c r="SAZ99" s="445"/>
      <c r="SBA99" s="414"/>
      <c r="SBD99" s="445"/>
      <c r="SBE99" s="414"/>
      <c r="SBH99" s="445"/>
      <c r="SBI99" s="414"/>
      <c r="SBL99" s="445"/>
      <c r="SBM99" s="414"/>
      <c r="SBP99" s="445"/>
      <c r="SBQ99" s="414"/>
      <c r="SBT99" s="445"/>
      <c r="SBU99" s="414"/>
      <c r="SBX99" s="445"/>
      <c r="SBY99" s="414"/>
      <c r="SCB99" s="445"/>
      <c r="SCC99" s="414"/>
      <c r="SCF99" s="445"/>
      <c r="SCG99" s="414"/>
      <c r="SCJ99" s="445"/>
      <c r="SCK99" s="414"/>
      <c r="SCN99" s="445"/>
      <c r="SCO99" s="414"/>
      <c r="SCR99" s="445"/>
      <c r="SCS99" s="414"/>
      <c r="SCV99" s="445"/>
      <c r="SCW99" s="414"/>
      <c r="SCZ99" s="445"/>
      <c r="SDA99" s="414"/>
      <c r="SDD99" s="445"/>
      <c r="SDE99" s="414"/>
      <c r="SDH99" s="445"/>
      <c r="SDI99" s="414"/>
      <c r="SDL99" s="445"/>
      <c r="SDM99" s="414"/>
      <c r="SDP99" s="445"/>
      <c r="SDQ99" s="414"/>
      <c r="SDT99" s="445"/>
      <c r="SDU99" s="414"/>
      <c r="SDX99" s="445"/>
      <c r="SDY99" s="414"/>
      <c r="SEB99" s="445"/>
      <c r="SEC99" s="414"/>
      <c r="SEF99" s="445"/>
      <c r="SEG99" s="414"/>
      <c r="SEJ99" s="445"/>
      <c r="SEK99" s="414"/>
      <c r="SEN99" s="445"/>
      <c r="SEO99" s="414"/>
      <c r="SER99" s="445"/>
      <c r="SES99" s="414"/>
      <c r="SEV99" s="445"/>
      <c r="SEW99" s="414"/>
      <c r="SEZ99" s="445"/>
      <c r="SFA99" s="414"/>
      <c r="SFD99" s="445"/>
      <c r="SFE99" s="414"/>
      <c r="SFH99" s="445"/>
      <c r="SFI99" s="414"/>
      <c r="SFL99" s="445"/>
      <c r="SFM99" s="414"/>
      <c r="SFP99" s="445"/>
      <c r="SFQ99" s="414"/>
      <c r="SFT99" s="445"/>
      <c r="SFU99" s="414"/>
      <c r="SFX99" s="445"/>
      <c r="SFY99" s="414"/>
      <c r="SGB99" s="445"/>
      <c r="SGC99" s="414"/>
      <c r="SGF99" s="445"/>
      <c r="SGG99" s="414"/>
      <c r="SGJ99" s="445"/>
      <c r="SGK99" s="414"/>
      <c r="SGN99" s="445"/>
      <c r="SGO99" s="414"/>
      <c r="SGR99" s="445"/>
      <c r="SGS99" s="414"/>
      <c r="SGV99" s="445"/>
      <c r="SGW99" s="414"/>
      <c r="SGZ99" s="445"/>
      <c r="SHA99" s="414"/>
      <c r="SHD99" s="445"/>
      <c r="SHE99" s="414"/>
      <c r="SHH99" s="445"/>
      <c r="SHI99" s="414"/>
      <c r="SHL99" s="445"/>
      <c r="SHM99" s="414"/>
      <c r="SHP99" s="445"/>
      <c r="SHQ99" s="414"/>
      <c r="SHT99" s="445"/>
      <c r="SHU99" s="414"/>
      <c r="SHX99" s="445"/>
      <c r="SHY99" s="414"/>
      <c r="SIB99" s="445"/>
      <c r="SIC99" s="414"/>
      <c r="SIF99" s="445"/>
      <c r="SIG99" s="414"/>
      <c r="SIJ99" s="445"/>
      <c r="SIK99" s="414"/>
      <c r="SIN99" s="445"/>
      <c r="SIO99" s="414"/>
      <c r="SIR99" s="445"/>
      <c r="SIS99" s="414"/>
      <c r="SIV99" s="445"/>
      <c r="SIW99" s="414"/>
      <c r="SIZ99" s="445"/>
      <c r="SJA99" s="414"/>
      <c r="SJD99" s="445"/>
      <c r="SJE99" s="414"/>
      <c r="SJH99" s="445"/>
      <c r="SJI99" s="414"/>
      <c r="SJL99" s="445"/>
      <c r="SJM99" s="414"/>
      <c r="SJP99" s="445"/>
      <c r="SJQ99" s="414"/>
      <c r="SJT99" s="445"/>
      <c r="SJU99" s="414"/>
      <c r="SJX99" s="445"/>
      <c r="SJY99" s="414"/>
      <c r="SKB99" s="445"/>
      <c r="SKC99" s="414"/>
      <c r="SKF99" s="445"/>
      <c r="SKG99" s="414"/>
      <c r="SKJ99" s="445"/>
      <c r="SKK99" s="414"/>
      <c r="SKN99" s="445"/>
      <c r="SKO99" s="414"/>
      <c r="SKR99" s="445"/>
      <c r="SKS99" s="414"/>
      <c r="SKV99" s="445"/>
      <c r="SKW99" s="414"/>
      <c r="SKZ99" s="445"/>
      <c r="SLA99" s="414"/>
      <c r="SLD99" s="445"/>
      <c r="SLE99" s="414"/>
      <c r="SLH99" s="445"/>
      <c r="SLI99" s="414"/>
      <c r="SLL99" s="445"/>
      <c r="SLM99" s="414"/>
      <c r="SLP99" s="445"/>
      <c r="SLQ99" s="414"/>
      <c r="SLT99" s="445"/>
      <c r="SLU99" s="414"/>
      <c r="SLX99" s="445"/>
      <c r="SLY99" s="414"/>
      <c r="SMB99" s="445"/>
      <c r="SMC99" s="414"/>
      <c r="SMF99" s="445"/>
      <c r="SMG99" s="414"/>
      <c r="SMJ99" s="445"/>
      <c r="SMK99" s="414"/>
      <c r="SMN99" s="445"/>
      <c r="SMO99" s="414"/>
      <c r="SMR99" s="445"/>
      <c r="SMS99" s="414"/>
      <c r="SMV99" s="445"/>
      <c r="SMW99" s="414"/>
      <c r="SMZ99" s="445"/>
      <c r="SNA99" s="414"/>
      <c r="SND99" s="445"/>
      <c r="SNE99" s="414"/>
      <c r="SNH99" s="445"/>
      <c r="SNI99" s="414"/>
      <c r="SNL99" s="445"/>
      <c r="SNM99" s="414"/>
      <c r="SNP99" s="445"/>
      <c r="SNQ99" s="414"/>
      <c r="SNT99" s="445"/>
      <c r="SNU99" s="414"/>
      <c r="SNX99" s="445"/>
      <c r="SNY99" s="414"/>
      <c r="SOB99" s="445"/>
      <c r="SOC99" s="414"/>
      <c r="SOF99" s="445"/>
      <c r="SOG99" s="414"/>
      <c r="SOJ99" s="445"/>
      <c r="SOK99" s="414"/>
      <c r="SON99" s="445"/>
      <c r="SOO99" s="414"/>
      <c r="SOR99" s="445"/>
      <c r="SOS99" s="414"/>
      <c r="SOV99" s="445"/>
      <c r="SOW99" s="414"/>
      <c r="SOZ99" s="445"/>
      <c r="SPA99" s="414"/>
      <c r="SPD99" s="445"/>
      <c r="SPE99" s="414"/>
      <c r="SPH99" s="445"/>
      <c r="SPI99" s="414"/>
      <c r="SPL99" s="445"/>
      <c r="SPM99" s="414"/>
      <c r="SPP99" s="445"/>
      <c r="SPQ99" s="414"/>
      <c r="SPT99" s="445"/>
      <c r="SPU99" s="414"/>
      <c r="SPX99" s="445"/>
      <c r="SPY99" s="414"/>
      <c r="SQB99" s="445"/>
      <c r="SQC99" s="414"/>
      <c r="SQF99" s="445"/>
      <c r="SQG99" s="414"/>
      <c r="SQJ99" s="445"/>
      <c r="SQK99" s="414"/>
      <c r="SQN99" s="445"/>
      <c r="SQO99" s="414"/>
      <c r="SQR99" s="445"/>
      <c r="SQS99" s="414"/>
      <c r="SQV99" s="445"/>
      <c r="SQW99" s="414"/>
      <c r="SQZ99" s="445"/>
      <c r="SRA99" s="414"/>
      <c r="SRD99" s="445"/>
      <c r="SRE99" s="414"/>
      <c r="SRH99" s="445"/>
      <c r="SRI99" s="414"/>
      <c r="SRL99" s="445"/>
      <c r="SRM99" s="414"/>
      <c r="SRP99" s="445"/>
      <c r="SRQ99" s="414"/>
      <c r="SRT99" s="445"/>
      <c r="SRU99" s="414"/>
      <c r="SRX99" s="445"/>
      <c r="SRY99" s="414"/>
      <c r="SSB99" s="445"/>
      <c r="SSC99" s="414"/>
      <c r="SSF99" s="445"/>
      <c r="SSG99" s="414"/>
      <c r="SSJ99" s="445"/>
      <c r="SSK99" s="414"/>
      <c r="SSN99" s="445"/>
      <c r="SSO99" s="414"/>
      <c r="SSR99" s="445"/>
      <c r="SSS99" s="414"/>
      <c r="SSV99" s="445"/>
      <c r="SSW99" s="414"/>
      <c r="SSZ99" s="445"/>
      <c r="STA99" s="414"/>
      <c r="STD99" s="445"/>
      <c r="STE99" s="414"/>
      <c r="STH99" s="445"/>
      <c r="STI99" s="414"/>
      <c r="STL99" s="445"/>
      <c r="STM99" s="414"/>
      <c r="STP99" s="445"/>
      <c r="STQ99" s="414"/>
      <c r="STT99" s="445"/>
      <c r="STU99" s="414"/>
      <c r="STX99" s="445"/>
      <c r="STY99" s="414"/>
      <c r="SUB99" s="445"/>
      <c r="SUC99" s="414"/>
      <c r="SUF99" s="445"/>
      <c r="SUG99" s="414"/>
      <c r="SUJ99" s="445"/>
      <c r="SUK99" s="414"/>
      <c r="SUN99" s="445"/>
      <c r="SUO99" s="414"/>
      <c r="SUR99" s="445"/>
      <c r="SUS99" s="414"/>
      <c r="SUV99" s="445"/>
      <c r="SUW99" s="414"/>
      <c r="SUZ99" s="445"/>
      <c r="SVA99" s="414"/>
      <c r="SVD99" s="445"/>
      <c r="SVE99" s="414"/>
      <c r="SVH99" s="445"/>
      <c r="SVI99" s="414"/>
      <c r="SVL99" s="445"/>
      <c r="SVM99" s="414"/>
      <c r="SVP99" s="445"/>
      <c r="SVQ99" s="414"/>
      <c r="SVT99" s="445"/>
      <c r="SVU99" s="414"/>
      <c r="SVX99" s="445"/>
      <c r="SVY99" s="414"/>
      <c r="SWB99" s="445"/>
      <c r="SWC99" s="414"/>
      <c r="SWF99" s="445"/>
      <c r="SWG99" s="414"/>
      <c r="SWJ99" s="445"/>
      <c r="SWK99" s="414"/>
      <c r="SWN99" s="445"/>
      <c r="SWO99" s="414"/>
      <c r="SWR99" s="445"/>
      <c r="SWS99" s="414"/>
      <c r="SWV99" s="445"/>
      <c r="SWW99" s="414"/>
      <c r="SWZ99" s="445"/>
      <c r="SXA99" s="414"/>
      <c r="SXD99" s="445"/>
      <c r="SXE99" s="414"/>
      <c r="SXH99" s="445"/>
      <c r="SXI99" s="414"/>
      <c r="SXL99" s="445"/>
      <c r="SXM99" s="414"/>
      <c r="SXP99" s="445"/>
      <c r="SXQ99" s="414"/>
      <c r="SXT99" s="445"/>
      <c r="SXU99" s="414"/>
      <c r="SXX99" s="445"/>
      <c r="SXY99" s="414"/>
      <c r="SYB99" s="445"/>
      <c r="SYC99" s="414"/>
      <c r="SYF99" s="445"/>
      <c r="SYG99" s="414"/>
      <c r="SYJ99" s="445"/>
      <c r="SYK99" s="414"/>
      <c r="SYN99" s="445"/>
      <c r="SYO99" s="414"/>
      <c r="SYR99" s="445"/>
      <c r="SYS99" s="414"/>
      <c r="SYV99" s="445"/>
      <c r="SYW99" s="414"/>
      <c r="SYZ99" s="445"/>
      <c r="SZA99" s="414"/>
      <c r="SZD99" s="445"/>
      <c r="SZE99" s="414"/>
      <c r="SZH99" s="445"/>
      <c r="SZI99" s="414"/>
      <c r="SZL99" s="445"/>
      <c r="SZM99" s="414"/>
      <c r="SZP99" s="445"/>
      <c r="SZQ99" s="414"/>
      <c r="SZT99" s="445"/>
      <c r="SZU99" s="414"/>
      <c r="SZX99" s="445"/>
      <c r="SZY99" s="414"/>
      <c r="TAB99" s="445"/>
      <c r="TAC99" s="414"/>
      <c r="TAF99" s="445"/>
      <c r="TAG99" s="414"/>
      <c r="TAJ99" s="445"/>
      <c r="TAK99" s="414"/>
      <c r="TAN99" s="445"/>
      <c r="TAO99" s="414"/>
      <c r="TAR99" s="445"/>
      <c r="TAS99" s="414"/>
      <c r="TAV99" s="445"/>
      <c r="TAW99" s="414"/>
      <c r="TAZ99" s="445"/>
      <c r="TBA99" s="414"/>
      <c r="TBD99" s="445"/>
      <c r="TBE99" s="414"/>
      <c r="TBH99" s="445"/>
      <c r="TBI99" s="414"/>
      <c r="TBL99" s="445"/>
      <c r="TBM99" s="414"/>
      <c r="TBP99" s="445"/>
      <c r="TBQ99" s="414"/>
      <c r="TBT99" s="445"/>
      <c r="TBU99" s="414"/>
      <c r="TBX99" s="445"/>
      <c r="TBY99" s="414"/>
      <c r="TCB99" s="445"/>
      <c r="TCC99" s="414"/>
      <c r="TCF99" s="445"/>
      <c r="TCG99" s="414"/>
      <c r="TCJ99" s="445"/>
      <c r="TCK99" s="414"/>
      <c r="TCN99" s="445"/>
      <c r="TCO99" s="414"/>
      <c r="TCR99" s="445"/>
      <c r="TCS99" s="414"/>
      <c r="TCV99" s="445"/>
      <c r="TCW99" s="414"/>
      <c r="TCZ99" s="445"/>
      <c r="TDA99" s="414"/>
      <c r="TDD99" s="445"/>
      <c r="TDE99" s="414"/>
      <c r="TDH99" s="445"/>
      <c r="TDI99" s="414"/>
      <c r="TDL99" s="445"/>
      <c r="TDM99" s="414"/>
      <c r="TDP99" s="445"/>
      <c r="TDQ99" s="414"/>
      <c r="TDT99" s="445"/>
      <c r="TDU99" s="414"/>
      <c r="TDX99" s="445"/>
      <c r="TDY99" s="414"/>
      <c r="TEB99" s="445"/>
      <c r="TEC99" s="414"/>
      <c r="TEF99" s="445"/>
      <c r="TEG99" s="414"/>
      <c r="TEJ99" s="445"/>
      <c r="TEK99" s="414"/>
      <c r="TEN99" s="445"/>
      <c r="TEO99" s="414"/>
      <c r="TER99" s="445"/>
      <c r="TES99" s="414"/>
      <c r="TEV99" s="445"/>
      <c r="TEW99" s="414"/>
      <c r="TEZ99" s="445"/>
      <c r="TFA99" s="414"/>
      <c r="TFD99" s="445"/>
      <c r="TFE99" s="414"/>
      <c r="TFH99" s="445"/>
      <c r="TFI99" s="414"/>
      <c r="TFL99" s="445"/>
      <c r="TFM99" s="414"/>
      <c r="TFP99" s="445"/>
      <c r="TFQ99" s="414"/>
      <c r="TFT99" s="445"/>
      <c r="TFU99" s="414"/>
      <c r="TFX99" s="445"/>
      <c r="TFY99" s="414"/>
      <c r="TGB99" s="445"/>
      <c r="TGC99" s="414"/>
      <c r="TGF99" s="445"/>
      <c r="TGG99" s="414"/>
      <c r="TGJ99" s="445"/>
      <c r="TGK99" s="414"/>
      <c r="TGN99" s="445"/>
      <c r="TGO99" s="414"/>
      <c r="TGR99" s="445"/>
      <c r="TGS99" s="414"/>
      <c r="TGV99" s="445"/>
      <c r="TGW99" s="414"/>
      <c r="TGZ99" s="445"/>
      <c r="THA99" s="414"/>
      <c r="THD99" s="445"/>
      <c r="THE99" s="414"/>
      <c r="THH99" s="445"/>
      <c r="THI99" s="414"/>
      <c r="THL99" s="445"/>
      <c r="THM99" s="414"/>
      <c r="THP99" s="445"/>
      <c r="THQ99" s="414"/>
      <c r="THT99" s="445"/>
      <c r="THU99" s="414"/>
      <c r="THX99" s="445"/>
      <c r="THY99" s="414"/>
      <c r="TIB99" s="445"/>
      <c r="TIC99" s="414"/>
      <c r="TIF99" s="445"/>
      <c r="TIG99" s="414"/>
      <c r="TIJ99" s="445"/>
      <c r="TIK99" s="414"/>
      <c r="TIN99" s="445"/>
      <c r="TIO99" s="414"/>
      <c r="TIR99" s="445"/>
      <c r="TIS99" s="414"/>
      <c r="TIV99" s="445"/>
      <c r="TIW99" s="414"/>
      <c r="TIZ99" s="445"/>
      <c r="TJA99" s="414"/>
      <c r="TJD99" s="445"/>
      <c r="TJE99" s="414"/>
      <c r="TJH99" s="445"/>
      <c r="TJI99" s="414"/>
      <c r="TJL99" s="445"/>
      <c r="TJM99" s="414"/>
      <c r="TJP99" s="445"/>
      <c r="TJQ99" s="414"/>
      <c r="TJT99" s="445"/>
      <c r="TJU99" s="414"/>
      <c r="TJX99" s="445"/>
      <c r="TJY99" s="414"/>
      <c r="TKB99" s="445"/>
      <c r="TKC99" s="414"/>
      <c r="TKF99" s="445"/>
      <c r="TKG99" s="414"/>
      <c r="TKJ99" s="445"/>
      <c r="TKK99" s="414"/>
      <c r="TKN99" s="445"/>
      <c r="TKO99" s="414"/>
      <c r="TKR99" s="445"/>
      <c r="TKS99" s="414"/>
      <c r="TKV99" s="445"/>
      <c r="TKW99" s="414"/>
      <c r="TKZ99" s="445"/>
      <c r="TLA99" s="414"/>
      <c r="TLD99" s="445"/>
      <c r="TLE99" s="414"/>
      <c r="TLH99" s="445"/>
      <c r="TLI99" s="414"/>
      <c r="TLL99" s="445"/>
      <c r="TLM99" s="414"/>
      <c r="TLP99" s="445"/>
      <c r="TLQ99" s="414"/>
      <c r="TLT99" s="445"/>
      <c r="TLU99" s="414"/>
      <c r="TLX99" s="445"/>
      <c r="TLY99" s="414"/>
      <c r="TMB99" s="445"/>
      <c r="TMC99" s="414"/>
      <c r="TMF99" s="445"/>
      <c r="TMG99" s="414"/>
      <c r="TMJ99" s="445"/>
      <c r="TMK99" s="414"/>
      <c r="TMN99" s="445"/>
      <c r="TMO99" s="414"/>
      <c r="TMR99" s="445"/>
      <c r="TMS99" s="414"/>
      <c r="TMV99" s="445"/>
      <c r="TMW99" s="414"/>
      <c r="TMZ99" s="445"/>
      <c r="TNA99" s="414"/>
      <c r="TND99" s="445"/>
      <c r="TNE99" s="414"/>
      <c r="TNH99" s="445"/>
      <c r="TNI99" s="414"/>
      <c r="TNL99" s="445"/>
      <c r="TNM99" s="414"/>
      <c r="TNP99" s="445"/>
      <c r="TNQ99" s="414"/>
      <c r="TNT99" s="445"/>
      <c r="TNU99" s="414"/>
      <c r="TNX99" s="445"/>
      <c r="TNY99" s="414"/>
      <c r="TOB99" s="445"/>
      <c r="TOC99" s="414"/>
      <c r="TOF99" s="445"/>
      <c r="TOG99" s="414"/>
      <c r="TOJ99" s="445"/>
      <c r="TOK99" s="414"/>
      <c r="TON99" s="445"/>
      <c r="TOO99" s="414"/>
      <c r="TOR99" s="445"/>
      <c r="TOS99" s="414"/>
      <c r="TOV99" s="445"/>
      <c r="TOW99" s="414"/>
      <c r="TOZ99" s="445"/>
      <c r="TPA99" s="414"/>
      <c r="TPD99" s="445"/>
      <c r="TPE99" s="414"/>
      <c r="TPH99" s="445"/>
      <c r="TPI99" s="414"/>
      <c r="TPL99" s="445"/>
      <c r="TPM99" s="414"/>
      <c r="TPP99" s="445"/>
      <c r="TPQ99" s="414"/>
      <c r="TPT99" s="445"/>
      <c r="TPU99" s="414"/>
      <c r="TPX99" s="445"/>
      <c r="TPY99" s="414"/>
      <c r="TQB99" s="445"/>
      <c r="TQC99" s="414"/>
      <c r="TQF99" s="445"/>
      <c r="TQG99" s="414"/>
      <c r="TQJ99" s="445"/>
      <c r="TQK99" s="414"/>
      <c r="TQN99" s="445"/>
      <c r="TQO99" s="414"/>
      <c r="TQR99" s="445"/>
      <c r="TQS99" s="414"/>
      <c r="TQV99" s="445"/>
      <c r="TQW99" s="414"/>
      <c r="TQZ99" s="445"/>
      <c r="TRA99" s="414"/>
      <c r="TRD99" s="445"/>
      <c r="TRE99" s="414"/>
      <c r="TRH99" s="445"/>
      <c r="TRI99" s="414"/>
      <c r="TRL99" s="445"/>
      <c r="TRM99" s="414"/>
      <c r="TRP99" s="445"/>
      <c r="TRQ99" s="414"/>
      <c r="TRT99" s="445"/>
      <c r="TRU99" s="414"/>
      <c r="TRX99" s="445"/>
      <c r="TRY99" s="414"/>
      <c r="TSB99" s="445"/>
      <c r="TSC99" s="414"/>
      <c r="TSF99" s="445"/>
      <c r="TSG99" s="414"/>
      <c r="TSJ99" s="445"/>
      <c r="TSK99" s="414"/>
      <c r="TSN99" s="445"/>
      <c r="TSO99" s="414"/>
      <c r="TSR99" s="445"/>
      <c r="TSS99" s="414"/>
      <c r="TSV99" s="445"/>
      <c r="TSW99" s="414"/>
      <c r="TSZ99" s="445"/>
      <c r="TTA99" s="414"/>
      <c r="TTD99" s="445"/>
      <c r="TTE99" s="414"/>
      <c r="TTH99" s="445"/>
      <c r="TTI99" s="414"/>
      <c r="TTL99" s="445"/>
      <c r="TTM99" s="414"/>
      <c r="TTP99" s="445"/>
      <c r="TTQ99" s="414"/>
      <c r="TTT99" s="445"/>
      <c r="TTU99" s="414"/>
      <c r="TTX99" s="445"/>
      <c r="TTY99" s="414"/>
      <c r="TUB99" s="445"/>
      <c r="TUC99" s="414"/>
      <c r="TUF99" s="445"/>
      <c r="TUG99" s="414"/>
      <c r="TUJ99" s="445"/>
      <c r="TUK99" s="414"/>
      <c r="TUN99" s="445"/>
      <c r="TUO99" s="414"/>
      <c r="TUR99" s="445"/>
      <c r="TUS99" s="414"/>
      <c r="TUV99" s="445"/>
      <c r="TUW99" s="414"/>
      <c r="TUZ99" s="445"/>
      <c r="TVA99" s="414"/>
      <c r="TVD99" s="445"/>
      <c r="TVE99" s="414"/>
      <c r="TVH99" s="445"/>
      <c r="TVI99" s="414"/>
      <c r="TVL99" s="445"/>
      <c r="TVM99" s="414"/>
      <c r="TVP99" s="445"/>
      <c r="TVQ99" s="414"/>
      <c r="TVT99" s="445"/>
      <c r="TVU99" s="414"/>
      <c r="TVX99" s="445"/>
      <c r="TVY99" s="414"/>
      <c r="TWB99" s="445"/>
      <c r="TWC99" s="414"/>
      <c r="TWF99" s="445"/>
      <c r="TWG99" s="414"/>
      <c r="TWJ99" s="445"/>
      <c r="TWK99" s="414"/>
      <c r="TWN99" s="445"/>
      <c r="TWO99" s="414"/>
      <c r="TWR99" s="445"/>
      <c r="TWS99" s="414"/>
      <c r="TWV99" s="445"/>
      <c r="TWW99" s="414"/>
      <c r="TWZ99" s="445"/>
      <c r="TXA99" s="414"/>
      <c r="TXD99" s="445"/>
      <c r="TXE99" s="414"/>
      <c r="TXH99" s="445"/>
      <c r="TXI99" s="414"/>
      <c r="TXL99" s="445"/>
      <c r="TXM99" s="414"/>
      <c r="TXP99" s="445"/>
      <c r="TXQ99" s="414"/>
      <c r="TXT99" s="445"/>
      <c r="TXU99" s="414"/>
      <c r="TXX99" s="445"/>
      <c r="TXY99" s="414"/>
      <c r="TYB99" s="445"/>
      <c r="TYC99" s="414"/>
      <c r="TYF99" s="445"/>
      <c r="TYG99" s="414"/>
      <c r="TYJ99" s="445"/>
      <c r="TYK99" s="414"/>
      <c r="TYN99" s="445"/>
      <c r="TYO99" s="414"/>
      <c r="TYR99" s="445"/>
      <c r="TYS99" s="414"/>
      <c r="TYV99" s="445"/>
      <c r="TYW99" s="414"/>
      <c r="TYZ99" s="445"/>
      <c r="TZA99" s="414"/>
      <c r="TZD99" s="445"/>
      <c r="TZE99" s="414"/>
      <c r="TZH99" s="445"/>
      <c r="TZI99" s="414"/>
      <c r="TZL99" s="445"/>
      <c r="TZM99" s="414"/>
      <c r="TZP99" s="445"/>
      <c r="TZQ99" s="414"/>
      <c r="TZT99" s="445"/>
      <c r="TZU99" s="414"/>
      <c r="TZX99" s="445"/>
      <c r="TZY99" s="414"/>
      <c r="UAB99" s="445"/>
      <c r="UAC99" s="414"/>
      <c r="UAF99" s="445"/>
      <c r="UAG99" s="414"/>
      <c r="UAJ99" s="445"/>
      <c r="UAK99" s="414"/>
      <c r="UAN99" s="445"/>
      <c r="UAO99" s="414"/>
      <c r="UAR99" s="445"/>
      <c r="UAS99" s="414"/>
      <c r="UAV99" s="445"/>
      <c r="UAW99" s="414"/>
      <c r="UAZ99" s="445"/>
      <c r="UBA99" s="414"/>
      <c r="UBD99" s="445"/>
      <c r="UBE99" s="414"/>
      <c r="UBH99" s="445"/>
      <c r="UBI99" s="414"/>
      <c r="UBL99" s="445"/>
      <c r="UBM99" s="414"/>
      <c r="UBP99" s="445"/>
      <c r="UBQ99" s="414"/>
      <c r="UBT99" s="445"/>
      <c r="UBU99" s="414"/>
      <c r="UBX99" s="445"/>
      <c r="UBY99" s="414"/>
      <c r="UCB99" s="445"/>
      <c r="UCC99" s="414"/>
      <c r="UCF99" s="445"/>
      <c r="UCG99" s="414"/>
      <c r="UCJ99" s="445"/>
      <c r="UCK99" s="414"/>
      <c r="UCN99" s="445"/>
      <c r="UCO99" s="414"/>
      <c r="UCR99" s="445"/>
      <c r="UCS99" s="414"/>
      <c r="UCV99" s="445"/>
      <c r="UCW99" s="414"/>
      <c r="UCZ99" s="445"/>
      <c r="UDA99" s="414"/>
      <c r="UDD99" s="445"/>
      <c r="UDE99" s="414"/>
      <c r="UDH99" s="445"/>
      <c r="UDI99" s="414"/>
      <c r="UDL99" s="445"/>
      <c r="UDM99" s="414"/>
      <c r="UDP99" s="445"/>
      <c r="UDQ99" s="414"/>
      <c r="UDT99" s="445"/>
      <c r="UDU99" s="414"/>
      <c r="UDX99" s="445"/>
      <c r="UDY99" s="414"/>
      <c r="UEB99" s="445"/>
      <c r="UEC99" s="414"/>
      <c r="UEF99" s="445"/>
      <c r="UEG99" s="414"/>
      <c r="UEJ99" s="445"/>
      <c r="UEK99" s="414"/>
      <c r="UEN99" s="445"/>
      <c r="UEO99" s="414"/>
      <c r="UER99" s="445"/>
      <c r="UES99" s="414"/>
      <c r="UEV99" s="445"/>
      <c r="UEW99" s="414"/>
      <c r="UEZ99" s="445"/>
      <c r="UFA99" s="414"/>
      <c r="UFD99" s="445"/>
      <c r="UFE99" s="414"/>
      <c r="UFH99" s="445"/>
      <c r="UFI99" s="414"/>
      <c r="UFL99" s="445"/>
      <c r="UFM99" s="414"/>
      <c r="UFP99" s="445"/>
      <c r="UFQ99" s="414"/>
      <c r="UFT99" s="445"/>
      <c r="UFU99" s="414"/>
      <c r="UFX99" s="445"/>
      <c r="UFY99" s="414"/>
      <c r="UGB99" s="445"/>
      <c r="UGC99" s="414"/>
      <c r="UGF99" s="445"/>
      <c r="UGG99" s="414"/>
      <c r="UGJ99" s="445"/>
      <c r="UGK99" s="414"/>
      <c r="UGN99" s="445"/>
      <c r="UGO99" s="414"/>
      <c r="UGR99" s="445"/>
      <c r="UGS99" s="414"/>
      <c r="UGV99" s="445"/>
      <c r="UGW99" s="414"/>
      <c r="UGZ99" s="445"/>
      <c r="UHA99" s="414"/>
      <c r="UHD99" s="445"/>
      <c r="UHE99" s="414"/>
      <c r="UHH99" s="445"/>
      <c r="UHI99" s="414"/>
      <c r="UHL99" s="445"/>
      <c r="UHM99" s="414"/>
      <c r="UHP99" s="445"/>
      <c r="UHQ99" s="414"/>
      <c r="UHT99" s="445"/>
      <c r="UHU99" s="414"/>
      <c r="UHX99" s="445"/>
      <c r="UHY99" s="414"/>
      <c r="UIB99" s="445"/>
      <c r="UIC99" s="414"/>
      <c r="UIF99" s="445"/>
      <c r="UIG99" s="414"/>
      <c r="UIJ99" s="445"/>
      <c r="UIK99" s="414"/>
      <c r="UIN99" s="445"/>
      <c r="UIO99" s="414"/>
      <c r="UIR99" s="445"/>
      <c r="UIS99" s="414"/>
      <c r="UIV99" s="445"/>
      <c r="UIW99" s="414"/>
      <c r="UIZ99" s="445"/>
      <c r="UJA99" s="414"/>
      <c r="UJD99" s="445"/>
      <c r="UJE99" s="414"/>
      <c r="UJH99" s="445"/>
      <c r="UJI99" s="414"/>
      <c r="UJL99" s="445"/>
      <c r="UJM99" s="414"/>
      <c r="UJP99" s="445"/>
      <c r="UJQ99" s="414"/>
      <c r="UJT99" s="445"/>
      <c r="UJU99" s="414"/>
      <c r="UJX99" s="445"/>
      <c r="UJY99" s="414"/>
      <c r="UKB99" s="445"/>
      <c r="UKC99" s="414"/>
      <c r="UKF99" s="445"/>
      <c r="UKG99" s="414"/>
      <c r="UKJ99" s="445"/>
      <c r="UKK99" s="414"/>
      <c r="UKN99" s="445"/>
      <c r="UKO99" s="414"/>
      <c r="UKR99" s="445"/>
      <c r="UKS99" s="414"/>
      <c r="UKV99" s="445"/>
      <c r="UKW99" s="414"/>
      <c r="UKZ99" s="445"/>
      <c r="ULA99" s="414"/>
      <c r="ULD99" s="445"/>
      <c r="ULE99" s="414"/>
      <c r="ULH99" s="445"/>
      <c r="ULI99" s="414"/>
      <c r="ULL99" s="445"/>
      <c r="ULM99" s="414"/>
      <c r="ULP99" s="445"/>
      <c r="ULQ99" s="414"/>
      <c r="ULT99" s="445"/>
      <c r="ULU99" s="414"/>
      <c r="ULX99" s="445"/>
      <c r="ULY99" s="414"/>
      <c r="UMB99" s="445"/>
      <c r="UMC99" s="414"/>
      <c r="UMF99" s="445"/>
      <c r="UMG99" s="414"/>
      <c r="UMJ99" s="445"/>
      <c r="UMK99" s="414"/>
      <c r="UMN99" s="445"/>
      <c r="UMO99" s="414"/>
      <c r="UMR99" s="445"/>
      <c r="UMS99" s="414"/>
      <c r="UMV99" s="445"/>
      <c r="UMW99" s="414"/>
      <c r="UMZ99" s="445"/>
      <c r="UNA99" s="414"/>
      <c r="UND99" s="445"/>
      <c r="UNE99" s="414"/>
      <c r="UNH99" s="445"/>
      <c r="UNI99" s="414"/>
      <c r="UNL99" s="445"/>
      <c r="UNM99" s="414"/>
      <c r="UNP99" s="445"/>
      <c r="UNQ99" s="414"/>
      <c r="UNT99" s="445"/>
      <c r="UNU99" s="414"/>
      <c r="UNX99" s="445"/>
      <c r="UNY99" s="414"/>
      <c r="UOB99" s="445"/>
      <c r="UOC99" s="414"/>
      <c r="UOF99" s="445"/>
      <c r="UOG99" s="414"/>
      <c r="UOJ99" s="445"/>
      <c r="UOK99" s="414"/>
      <c r="UON99" s="445"/>
      <c r="UOO99" s="414"/>
      <c r="UOR99" s="445"/>
      <c r="UOS99" s="414"/>
      <c r="UOV99" s="445"/>
      <c r="UOW99" s="414"/>
      <c r="UOZ99" s="445"/>
      <c r="UPA99" s="414"/>
      <c r="UPD99" s="445"/>
      <c r="UPE99" s="414"/>
      <c r="UPH99" s="445"/>
      <c r="UPI99" s="414"/>
      <c r="UPL99" s="445"/>
      <c r="UPM99" s="414"/>
      <c r="UPP99" s="445"/>
      <c r="UPQ99" s="414"/>
      <c r="UPT99" s="445"/>
      <c r="UPU99" s="414"/>
      <c r="UPX99" s="445"/>
      <c r="UPY99" s="414"/>
      <c r="UQB99" s="445"/>
      <c r="UQC99" s="414"/>
      <c r="UQF99" s="445"/>
      <c r="UQG99" s="414"/>
      <c r="UQJ99" s="445"/>
      <c r="UQK99" s="414"/>
      <c r="UQN99" s="445"/>
      <c r="UQO99" s="414"/>
      <c r="UQR99" s="445"/>
      <c r="UQS99" s="414"/>
      <c r="UQV99" s="445"/>
      <c r="UQW99" s="414"/>
      <c r="UQZ99" s="445"/>
      <c r="URA99" s="414"/>
      <c r="URD99" s="445"/>
      <c r="URE99" s="414"/>
      <c r="URH99" s="445"/>
      <c r="URI99" s="414"/>
      <c r="URL99" s="445"/>
      <c r="URM99" s="414"/>
      <c r="URP99" s="445"/>
      <c r="URQ99" s="414"/>
      <c r="URT99" s="445"/>
      <c r="URU99" s="414"/>
      <c r="URX99" s="445"/>
      <c r="URY99" s="414"/>
      <c r="USB99" s="445"/>
      <c r="USC99" s="414"/>
      <c r="USF99" s="445"/>
      <c r="USG99" s="414"/>
      <c r="USJ99" s="445"/>
      <c r="USK99" s="414"/>
      <c r="USN99" s="445"/>
      <c r="USO99" s="414"/>
      <c r="USR99" s="445"/>
      <c r="USS99" s="414"/>
      <c r="USV99" s="445"/>
      <c r="USW99" s="414"/>
      <c r="USZ99" s="445"/>
      <c r="UTA99" s="414"/>
      <c r="UTD99" s="445"/>
      <c r="UTE99" s="414"/>
      <c r="UTH99" s="445"/>
      <c r="UTI99" s="414"/>
      <c r="UTL99" s="445"/>
      <c r="UTM99" s="414"/>
      <c r="UTP99" s="445"/>
      <c r="UTQ99" s="414"/>
      <c r="UTT99" s="445"/>
      <c r="UTU99" s="414"/>
      <c r="UTX99" s="445"/>
      <c r="UTY99" s="414"/>
      <c r="UUB99" s="445"/>
      <c r="UUC99" s="414"/>
      <c r="UUF99" s="445"/>
      <c r="UUG99" s="414"/>
      <c r="UUJ99" s="445"/>
      <c r="UUK99" s="414"/>
      <c r="UUN99" s="445"/>
      <c r="UUO99" s="414"/>
      <c r="UUR99" s="445"/>
      <c r="UUS99" s="414"/>
      <c r="UUV99" s="445"/>
      <c r="UUW99" s="414"/>
      <c r="UUZ99" s="445"/>
      <c r="UVA99" s="414"/>
      <c r="UVD99" s="445"/>
      <c r="UVE99" s="414"/>
      <c r="UVH99" s="445"/>
      <c r="UVI99" s="414"/>
      <c r="UVL99" s="445"/>
      <c r="UVM99" s="414"/>
      <c r="UVP99" s="445"/>
      <c r="UVQ99" s="414"/>
      <c r="UVT99" s="445"/>
      <c r="UVU99" s="414"/>
      <c r="UVX99" s="445"/>
      <c r="UVY99" s="414"/>
      <c r="UWB99" s="445"/>
      <c r="UWC99" s="414"/>
      <c r="UWF99" s="445"/>
      <c r="UWG99" s="414"/>
      <c r="UWJ99" s="445"/>
      <c r="UWK99" s="414"/>
      <c r="UWN99" s="445"/>
      <c r="UWO99" s="414"/>
      <c r="UWR99" s="445"/>
      <c r="UWS99" s="414"/>
      <c r="UWV99" s="445"/>
      <c r="UWW99" s="414"/>
      <c r="UWZ99" s="445"/>
      <c r="UXA99" s="414"/>
      <c r="UXD99" s="445"/>
      <c r="UXE99" s="414"/>
      <c r="UXH99" s="445"/>
      <c r="UXI99" s="414"/>
      <c r="UXL99" s="445"/>
      <c r="UXM99" s="414"/>
      <c r="UXP99" s="445"/>
      <c r="UXQ99" s="414"/>
      <c r="UXT99" s="445"/>
      <c r="UXU99" s="414"/>
      <c r="UXX99" s="445"/>
      <c r="UXY99" s="414"/>
      <c r="UYB99" s="445"/>
      <c r="UYC99" s="414"/>
      <c r="UYF99" s="445"/>
      <c r="UYG99" s="414"/>
      <c r="UYJ99" s="445"/>
      <c r="UYK99" s="414"/>
      <c r="UYN99" s="445"/>
      <c r="UYO99" s="414"/>
      <c r="UYR99" s="445"/>
      <c r="UYS99" s="414"/>
      <c r="UYV99" s="445"/>
      <c r="UYW99" s="414"/>
      <c r="UYZ99" s="445"/>
      <c r="UZA99" s="414"/>
      <c r="UZD99" s="445"/>
      <c r="UZE99" s="414"/>
      <c r="UZH99" s="445"/>
      <c r="UZI99" s="414"/>
      <c r="UZL99" s="445"/>
      <c r="UZM99" s="414"/>
      <c r="UZP99" s="445"/>
      <c r="UZQ99" s="414"/>
      <c r="UZT99" s="445"/>
      <c r="UZU99" s="414"/>
      <c r="UZX99" s="445"/>
      <c r="UZY99" s="414"/>
      <c r="VAB99" s="445"/>
      <c r="VAC99" s="414"/>
      <c r="VAF99" s="445"/>
      <c r="VAG99" s="414"/>
      <c r="VAJ99" s="445"/>
      <c r="VAK99" s="414"/>
      <c r="VAN99" s="445"/>
      <c r="VAO99" s="414"/>
      <c r="VAR99" s="445"/>
      <c r="VAS99" s="414"/>
      <c r="VAV99" s="445"/>
      <c r="VAW99" s="414"/>
      <c r="VAZ99" s="445"/>
      <c r="VBA99" s="414"/>
      <c r="VBD99" s="445"/>
      <c r="VBE99" s="414"/>
      <c r="VBH99" s="445"/>
      <c r="VBI99" s="414"/>
      <c r="VBL99" s="445"/>
      <c r="VBM99" s="414"/>
      <c r="VBP99" s="445"/>
      <c r="VBQ99" s="414"/>
      <c r="VBT99" s="445"/>
      <c r="VBU99" s="414"/>
      <c r="VBX99" s="445"/>
      <c r="VBY99" s="414"/>
      <c r="VCB99" s="445"/>
      <c r="VCC99" s="414"/>
      <c r="VCF99" s="445"/>
      <c r="VCG99" s="414"/>
      <c r="VCJ99" s="445"/>
      <c r="VCK99" s="414"/>
      <c r="VCN99" s="445"/>
      <c r="VCO99" s="414"/>
      <c r="VCR99" s="445"/>
      <c r="VCS99" s="414"/>
      <c r="VCV99" s="445"/>
      <c r="VCW99" s="414"/>
      <c r="VCZ99" s="445"/>
      <c r="VDA99" s="414"/>
      <c r="VDD99" s="445"/>
      <c r="VDE99" s="414"/>
      <c r="VDH99" s="445"/>
      <c r="VDI99" s="414"/>
      <c r="VDL99" s="445"/>
      <c r="VDM99" s="414"/>
      <c r="VDP99" s="445"/>
      <c r="VDQ99" s="414"/>
      <c r="VDT99" s="445"/>
      <c r="VDU99" s="414"/>
      <c r="VDX99" s="445"/>
      <c r="VDY99" s="414"/>
      <c r="VEB99" s="445"/>
      <c r="VEC99" s="414"/>
      <c r="VEF99" s="445"/>
      <c r="VEG99" s="414"/>
      <c r="VEJ99" s="445"/>
      <c r="VEK99" s="414"/>
      <c r="VEN99" s="445"/>
      <c r="VEO99" s="414"/>
      <c r="VER99" s="445"/>
      <c r="VES99" s="414"/>
      <c r="VEV99" s="445"/>
      <c r="VEW99" s="414"/>
      <c r="VEZ99" s="445"/>
      <c r="VFA99" s="414"/>
      <c r="VFD99" s="445"/>
      <c r="VFE99" s="414"/>
      <c r="VFH99" s="445"/>
      <c r="VFI99" s="414"/>
      <c r="VFL99" s="445"/>
      <c r="VFM99" s="414"/>
      <c r="VFP99" s="445"/>
      <c r="VFQ99" s="414"/>
      <c r="VFT99" s="445"/>
      <c r="VFU99" s="414"/>
      <c r="VFX99" s="445"/>
      <c r="VFY99" s="414"/>
      <c r="VGB99" s="445"/>
      <c r="VGC99" s="414"/>
      <c r="VGF99" s="445"/>
      <c r="VGG99" s="414"/>
      <c r="VGJ99" s="445"/>
      <c r="VGK99" s="414"/>
      <c r="VGN99" s="445"/>
      <c r="VGO99" s="414"/>
      <c r="VGR99" s="445"/>
      <c r="VGS99" s="414"/>
      <c r="VGV99" s="445"/>
      <c r="VGW99" s="414"/>
      <c r="VGZ99" s="445"/>
      <c r="VHA99" s="414"/>
      <c r="VHD99" s="445"/>
      <c r="VHE99" s="414"/>
      <c r="VHH99" s="445"/>
      <c r="VHI99" s="414"/>
      <c r="VHL99" s="445"/>
      <c r="VHM99" s="414"/>
      <c r="VHP99" s="445"/>
      <c r="VHQ99" s="414"/>
      <c r="VHT99" s="445"/>
      <c r="VHU99" s="414"/>
      <c r="VHX99" s="445"/>
      <c r="VHY99" s="414"/>
      <c r="VIB99" s="445"/>
      <c r="VIC99" s="414"/>
      <c r="VIF99" s="445"/>
      <c r="VIG99" s="414"/>
      <c r="VIJ99" s="445"/>
      <c r="VIK99" s="414"/>
      <c r="VIN99" s="445"/>
      <c r="VIO99" s="414"/>
      <c r="VIR99" s="445"/>
      <c r="VIS99" s="414"/>
      <c r="VIV99" s="445"/>
      <c r="VIW99" s="414"/>
      <c r="VIZ99" s="445"/>
      <c r="VJA99" s="414"/>
      <c r="VJD99" s="445"/>
      <c r="VJE99" s="414"/>
      <c r="VJH99" s="445"/>
      <c r="VJI99" s="414"/>
      <c r="VJL99" s="445"/>
      <c r="VJM99" s="414"/>
      <c r="VJP99" s="445"/>
      <c r="VJQ99" s="414"/>
      <c r="VJT99" s="445"/>
      <c r="VJU99" s="414"/>
      <c r="VJX99" s="445"/>
      <c r="VJY99" s="414"/>
      <c r="VKB99" s="445"/>
      <c r="VKC99" s="414"/>
      <c r="VKF99" s="445"/>
      <c r="VKG99" s="414"/>
      <c r="VKJ99" s="445"/>
      <c r="VKK99" s="414"/>
      <c r="VKN99" s="445"/>
      <c r="VKO99" s="414"/>
      <c r="VKR99" s="445"/>
      <c r="VKS99" s="414"/>
      <c r="VKV99" s="445"/>
      <c r="VKW99" s="414"/>
      <c r="VKZ99" s="445"/>
      <c r="VLA99" s="414"/>
      <c r="VLD99" s="445"/>
      <c r="VLE99" s="414"/>
      <c r="VLH99" s="445"/>
      <c r="VLI99" s="414"/>
      <c r="VLL99" s="445"/>
      <c r="VLM99" s="414"/>
      <c r="VLP99" s="445"/>
      <c r="VLQ99" s="414"/>
      <c r="VLT99" s="445"/>
      <c r="VLU99" s="414"/>
      <c r="VLX99" s="445"/>
      <c r="VLY99" s="414"/>
      <c r="VMB99" s="445"/>
      <c r="VMC99" s="414"/>
      <c r="VMF99" s="445"/>
      <c r="VMG99" s="414"/>
      <c r="VMJ99" s="445"/>
      <c r="VMK99" s="414"/>
      <c r="VMN99" s="445"/>
      <c r="VMO99" s="414"/>
      <c r="VMR99" s="445"/>
      <c r="VMS99" s="414"/>
      <c r="VMV99" s="445"/>
      <c r="VMW99" s="414"/>
      <c r="VMZ99" s="445"/>
      <c r="VNA99" s="414"/>
      <c r="VND99" s="445"/>
      <c r="VNE99" s="414"/>
      <c r="VNH99" s="445"/>
      <c r="VNI99" s="414"/>
      <c r="VNL99" s="445"/>
      <c r="VNM99" s="414"/>
      <c r="VNP99" s="445"/>
      <c r="VNQ99" s="414"/>
      <c r="VNT99" s="445"/>
      <c r="VNU99" s="414"/>
      <c r="VNX99" s="445"/>
      <c r="VNY99" s="414"/>
      <c r="VOB99" s="445"/>
      <c r="VOC99" s="414"/>
      <c r="VOF99" s="445"/>
      <c r="VOG99" s="414"/>
      <c r="VOJ99" s="445"/>
      <c r="VOK99" s="414"/>
      <c r="VON99" s="445"/>
      <c r="VOO99" s="414"/>
      <c r="VOR99" s="445"/>
      <c r="VOS99" s="414"/>
      <c r="VOV99" s="445"/>
      <c r="VOW99" s="414"/>
      <c r="VOZ99" s="445"/>
      <c r="VPA99" s="414"/>
      <c r="VPD99" s="445"/>
      <c r="VPE99" s="414"/>
      <c r="VPH99" s="445"/>
      <c r="VPI99" s="414"/>
      <c r="VPL99" s="445"/>
      <c r="VPM99" s="414"/>
      <c r="VPP99" s="445"/>
      <c r="VPQ99" s="414"/>
      <c r="VPT99" s="445"/>
      <c r="VPU99" s="414"/>
      <c r="VPX99" s="445"/>
      <c r="VPY99" s="414"/>
      <c r="VQB99" s="445"/>
      <c r="VQC99" s="414"/>
      <c r="VQF99" s="445"/>
      <c r="VQG99" s="414"/>
      <c r="VQJ99" s="445"/>
      <c r="VQK99" s="414"/>
      <c r="VQN99" s="445"/>
      <c r="VQO99" s="414"/>
      <c r="VQR99" s="445"/>
      <c r="VQS99" s="414"/>
      <c r="VQV99" s="445"/>
      <c r="VQW99" s="414"/>
      <c r="VQZ99" s="445"/>
      <c r="VRA99" s="414"/>
      <c r="VRD99" s="445"/>
      <c r="VRE99" s="414"/>
      <c r="VRH99" s="445"/>
      <c r="VRI99" s="414"/>
      <c r="VRL99" s="445"/>
      <c r="VRM99" s="414"/>
      <c r="VRP99" s="445"/>
      <c r="VRQ99" s="414"/>
      <c r="VRT99" s="445"/>
      <c r="VRU99" s="414"/>
      <c r="VRX99" s="445"/>
      <c r="VRY99" s="414"/>
      <c r="VSB99" s="445"/>
      <c r="VSC99" s="414"/>
      <c r="VSF99" s="445"/>
      <c r="VSG99" s="414"/>
      <c r="VSJ99" s="445"/>
      <c r="VSK99" s="414"/>
      <c r="VSN99" s="445"/>
      <c r="VSO99" s="414"/>
      <c r="VSR99" s="445"/>
      <c r="VSS99" s="414"/>
      <c r="VSV99" s="445"/>
      <c r="VSW99" s="414"/>
      <c r="VSZ99" s="445"/>
      <c r="VTA99" s="414"/>
      <c r="VTD99" s="445"/>
      <c r="VTE99" s="414"/>
      <c r="VTH99" s="445"/>
      <c r="VTI99" s="414"/>
      <c r="VTL99" s="445"/>
      <c r="VTM99" s="414"/>
      <c r="VTP99" s="445"/>
      <c r="VTQ99" s="414"/>
      <c r="VTT99" s="445"/>
      <c r="VTU99" s="414"/>
      <c r="VTX99" s="445"/>
      <c r="VTY99" s="414"/>
      <c r="VUB99" s="445"/>
      <c r="VUC99" s="414"/>
      <c r="VUF99" s="445"/>
      <c r="VUG99" s="414"/>
      <c r="VUJ99" s="445"/>
      <c r="VUK99" s="414"/>
      <c r="VUN99" s="445"/>
      <c r="VUO99" s="414"/>
      <c r="VUR99" s="445"/>
      <c r="VUS99" s="414"/>
      <c r="VUV99" s="445"/>
      <c r="VUW99" s="414"/>
      <c r="VUZ99" s="445"/>
      <c r="VVA99" s="414"/>
      <c r="VVD99" s="445"/>
      <c r="VVE99" s="414"/>
      <c r="VVH99" s="445"/>
      <c r="VVI99" s="414"/>
      <c r="VVL99" s="445"/>
      <c r="VVM99" s="414"/>
      <c r="VVP99" s="445"/>
      <c r="VVQ99" s="414"/>
      <c r="VVT99" s="445"/>
      <c r="VVU99" s="414"/>
      <c r="VVX99" s="445"/>
      <c r="VVY99" s="414"/>
      <c r="VWB99" s="445"/>
      <c r="VWC99" s="414"/>
      <c r="VWF99" s="445"/>
      <c r="VWG99" s="414"/>
      <c r="VWJ99" s="445"/>
      <c r="VWK99" s="414"/>
      <c r="VWN99" s="445"/>
      <c r="VWO99" s="414"/>
      <c r="VWR99" s="445"/>
      <c r="VWS99" s="414"/>
      <c r="VWV99" s="445"/>
      <c r="VWW99" s="414"/>
      <c r="VWZ99" s="445"/>
      <c r="VXA99" s="414"/>
      <c r="VXD99" s="445"/>
      <c r="VXE99" s="414"/>
      <c r="VXH99" s="445"/>
      <c r="VXI99" s="414"/>
      <c r="VXL99" s="445"/>
      <c r="VXM99" s="414"/>
      <c r="VXP99" s="445"/>
      <c r="VXQ99" s="414"/>
      <c r="VXT99" s="445"/>
      <c r="VXU99" s="414"/>
      <c r="VXX99" s="445"/>
      <c r="VXY99" s="414"/>
      <c r="VYB99" s="445"/>
      <c r="VYC99" s="414"/>
      <c r="VYF99" s="445"/>
      <c r="VYG99" s="414"/>
      <c r="VYJ99" s="445"/>
      <c r="VYK99" s="414"/>
      <c r="VYN99" s="445"/>
      <c r="VYO99" s="414"/>
      <c r="VYR99" s="445"/>
      <c r="VYS99" s="414"/>
      <c r="VYV99" s="445"/>
      <c r="VYW99" s="414"/>
      <c r="VYZ99" s="445"/>
      <c r="VZA99" s="414"/>
      <c r="VZD99" s="445"/>
      <c r="VZE99" s="414"/>
      <c r="VZH99" s="445"/>
      <c r="VZI99" s="414"/>
      <c r="VZL99" s="445"/>
      <c r="VZM99" s="414"/>
      <c r="VZP99" s="445"/>
      <c r="VZQ99" s="414"/>
      <c r="VZT99" s="445"/>
      <c r="VZU99" s="414"/>
      <c r="VZX99" s="445"/>
      <c r="VZY99" s="414"/>
      <c r="WAB99" s="445"/>
      <c r="WAC99" s="414"/>
      <c r="WAF99" s="445"/>
      <c r="WAG99" s="414"/>
      <c r="WAJ99" s="445"/>
      <c r="WAK99" s="414"/>
      <c r="WAN99" s="445"/>
      <c r="WAO99" s="414"/>
      <c r="WAR99" s="445"/>
      <c r="WAS99" s="414"/>
      <c r="WAV99" s="445"/>
      <c r="WAW99" s="414"/>
      <c r="WAZ99" s="445"/>
      <c r="WBA99" s="414"/>
      <c r="WBD99" s="445"/>
      <c r="WBE99" s="414"/>
      <c r="WBH99" s="445"/>
      <c r="WBI99" s="414"/>
      <c r="WBL99" s="445"/>
      <c r="WBM99" s="414"/>
      <c r="WBP99" s="445"/>
      <c r="WBQ99" s="414"/>
      <c r="WBT99" s="445"/>
      <c r="WBU99" s="414"/>
      <c r="WBX99" s="445"/>
      <c r="WBY99" s="414"/>
      <c r="WCB99" s="445"/>
      <c r="WCC99" s="414"/>
      <c r="WCF99" s="445"/>
      <c r="WCG99" s="414"/>
      <c r="WCJ99" s="445"/>
      <c r="WCK99" s="414"/>
      <c r="WCN99" s="445"/>
      <c r="WCO99" s="414"/>
      <c r="WCR99" s="445"/>
      <c r="WCS99" s="414"/>
      <c r="WCV99" s="445"/>
      <c r="WCW99" s="414"/>
      <c r="WCZ99" s="445"/>
      <c r="WDA99" s="414"/>
      <c r="WDD99" s="445"/>
      <c r="WDE99" s="414"/>
      <c r="WDH99" s="445"/>
      <c r="WDI99" s="414"/>
      <c r="WDL99" s="445"/>
      <c r="WDM99" s="414"/>
      <c r="WDP99" s="445"/>
      <c r="WDQ99" s="414"/>
      <c r="WDT99" s="445"/>
      <c r="WDU99" s="414"/>
      <c r="WDX99" s="445"/>
      <c r="WDY99" s="414"/>
      <c r="WEB99" s="445"/>
      <c r="WEC99" s="414"/>
      <c r="WEF99" s="445"/>
      <c r="WEG99" s="414"/>
      <c r="WEJ99" s="445"/>
      <c r="WEK99" s="414"/>
      <c r="WEN99" s="445"/>
      <c r="WEO99" s="414"/>
      <c r="WER99" s="445"/>
      <c r="WES99" s="414"/>
      <c r="WEV99" s="445"/>
      <c r="WEW99" s="414"/>
      <c r="WEZ99" s="445"/>
      <c r="WFA99" s="414"/>
      <c r="WFD99" s="445"/>
      <c r="WFE99" s="414"/>
      <c r="WFH99" s="445"/>
      <c r="WFI99" s="414"/>
      <c r="WFL99" s="445"/>
      <c r="WFM99" s="414"/>
      <c r="WFP99" s="445"/>
      <c r="WFQ99" s="414"/>
      <c r="WFT99" s="445"/>
      <c r="WFU99" s="414"/>
      <c r="WFX99" s="445"/>
      <c r="WFY99" s="414"/>
      <c r="WGB99" s="445"/>
      <c r="WGC99" s="414"/>
      <c r="WGF99" s="445"/>
      <c r="WGG99" s="414"/>
      <c r="WGJ99" s="445"/>
      <c r="WGK99" s="414"/>
      <c r="WGN99" s="445"/>
      <c r="WGO99" s="414"/>
      <c r="WGR99" s="445"/>
      <c r="WGS99" s="414"/>
      <c r="WGV99" s="445"/>
      <c r="WGW99" s="414"/>
      <c r="WGZ99" s="445"/>
      <c r="WHA99" s="414"/>
      <c r="WHD99" s="445"/>
      <c r="WHE99" s="414"/>
      <c r="WHH99" s="445"/>
      <c r="WHI99" s="414"/>
      <c r="WHL99" s="445"/>
      <c r="WHM99" s="414"/>
      <c r="WHP99" s="445"/>
      <c r="WHQ99" s="414"/>
      <c r="WHT99" s="445"/>
      <c r="WHU99" s="414"/>
      <c r="WHX99" s="445"/>
      <c r="WHY99" s="414"/>
      <c r="WIB99" s="445"/>
      <c r="WIC99" s="414"/>
      <c r="WIF99" s="445"/>
      <c r="WIG99" s="414"/>
      <c r="WIJ99" s="445"/>
      <c r="WIK99" s="414"/>
      <c r="WIN99" s="445"/>
      <c r="WIO99" s="414"/>
      <c r="WIR99" s="445"/>
      <c r="WIS99" s="414"/>
      <c r="WIV99" s="445"/>
      <c r="WIW99" s="414"/>
      <c r="WIZ99" s="445"/>
      <c r="WJA99" s="414"/>
      <c r="WJD99" s="445"/>
      <c r="WJE99" s="414"/>
      <c r="WJH99" s="445"/>
      <c r="WJI99" s="414"/>
      <c r="WJL99" s="445"/>
      <c r="WJM99" s="414"/>
      <c r="WJP99" s="445"/>
      <c r="WJQ99" s="414"/>
      <c r="WJT99" s="445"/>
      <c r="WJU99" s="414"/>
      <c r="WJX99" s="445"/>
      <c r="WJY99" s="414"/>
      <c r="WKB99" s="445"/>
      <c r="WKC99" s="414"/>
      <c r="WKF99" s="445"/>
      <c r="WKG99" s="414"/>
      <c r="WKJ99" s="445"/>
      <c r="WKK99" s="414"/>
      <c r="WKN99" s="445"/>
      <c r="WKO99" s="414"/>
      <c r="WKR99" s="445"/>
      <c r="WKS99" s="414"/>
      <c r="WKV99" s="445"/>
      <c r="WKW99" s="414"/>
      <c r="WKZ99" s="445"/>
      <c r="WLA99" s="414"/>
      <c r="WLD99" s="445"/>
      <c r="WLE99" s="414"/>
      <c r="WLH99" s="445"/>
      <c r="WLI99" s="414"/>
      <c r="WLL99" s="445"/>
      <c r="WLM99" s="414"/>
      <c r="WLP99" s="445"/>
      <c r="WLQ99" s="414"/>
      <c r="WLT99" s="445"/>
      <c r="WLU99" s="414"/>
      <c r="WLX99" s="445"/>
      <c r="WLY99" s="414"/>
      <c r="WMB99" s="445"/>
      <c r="WMC99" s="414"/>
      <c r="WMF99" s="445"/>
      <c r="WMG99" s="414"/>
      <c r="WMJ99" s="445"/>
      <c r="WMK99" s="414"/>
      <c r="WMN99" s="445"/>
      <c r="WMO99" s="414"/>
      <c r="WMR99" s="445"/>
      <c r="WMS99" s="414"/>
      <c r="WMV99" s="445"/>
      <c r="WMW99" s="414"/>
      <c r="WMZ99" s="445"/>
      <c r="WNA99" s="414"/>
      <c r="WND99" s="445"/>
      <c r="WNE99" s="414"/>
      <c r="WNH99" s="445"/>
      <c r="WNI99" s="414"/>
      <c r="WNL99" s="445"/>
      <c r="WNM99" s="414"/>
      <c r="WNP99" s="445"/>
      <c r="WNQ99" s="414"/>
      <c r="WNT99" s="445"/>
      <c r="WNU99" s="414"/>
      <c r="WNX99" s="445"/>
      <c r="WNY99" s="414"/>
      <c r="WOB99" s="445"/>
      <c r="WOC99" s="414"/>
      <c r="WOF99" s="445"/>
      <c r="WOG99" s="414"/>
      <c r="WOJ99" s="445"/>
      <c r="WOK99" s="414"/>
      <c r="WON99" s="445"/>
      <c r="WOO99" s="414"/>
      <c r="WOR99" s="445"/>
      <c r="WOS99" s="414"/>
      <c r="WOV99" s="445"/>
      <c r="WOW99" s="414"/>
      <c r="WOZ99" s="445"/>
      <c r="WPA99" s="414"/>
      <c r="WPD99" s="445"/>
      <c r="WPE99" s="414"/>
      <c r="WPH99" s="445"/>
      <c r="WPI99" s="414"/>
      <c r="WPL99" s="445"/>
      <c r="WPM99" s="414"/>
      <c r="WPP99" s="445"/>
      <c r="WPQ99" s="414"/>
      <c r="WPT99" s="445"/>
      <c r="WPU99" s="414"/>
      <c r="WPX99" s="445"/>
      <c r="WPY99" s="414"/>
      <c r="WQB99" s="445"/>
      <c r="WQC99" s="414"/>
      <c r="WQF99" s="445"/>
      <c r="WQG99" s="414"/>
      <c r="WQJ99" s="445"/>
      <c r="WQK99" s="414"/>
      <c r="WQN99" s="445"/>
      <c r="WQO99" s="414"/>
      <c r="WQR99" s="445"/>
      <c r="WQS99" s="414"/>
      <c r="WQV99" s="445"/>
      <c r="WQW99" s="414"/>
      <c r="WQZ99" s="445"/>
      <c r="WRA99" s="414"/>
      <c r="WRD99" s="445"/>
      <c r="WRE99" s="414"/>
      <c r="WRH99" s="445"/>
      <c r="WRI99" s="414"/>
      <c r="WRL99" s="445"/>
      <c r="WRM99" s="414"/>
      <c r="WRP99" s="445"/>
      <c r="WRQ99" s="414"/>
      <c r="WRT99" s="445"/>
      <c r="WRU99" s="414"/>
      <c r="WRX99" s="445"/>
      <c r="WRY99" s="414"/>
      <c r="WSB99" s="445"/>
      <c r="WSC99" s="414"/>
      <c r="WSF99" s="445"/>
      <c r="WSG99" s="414"/>
      <c r="WSJ99" s="445"/>
      <c r="WSK99" s="414"/>
      <c r="WSN99" s="445"/>
      <c r="WSO99" s="414"/>
      <c r="WSR99" s="445"/>
      <c r="WSS99" s="414"/>
      <c r="WSV99" s="445"/>
      <c r="WSW99" s="414"/>
      <c r="WSZ99" s="445"/>
      <c r="WTA99" s="414"/>
      <c r="WTD99" s="445"/>
      <c r="WTE99" s="414"/>
      <c r="WTH99" s="445"/>
      <c r="WTI99" s="414"/>
      <c r="WTL99" s="445"/>
      <c r="WTM99" s="414"/>
      <c r="WTP99" s="445"/>
      <c r="WTQ99" s="414"/>
      <c r="WTT99" s="445"/>
      <c r="WTU99" s="414"/>
      <c r="WTX99" s="445"/>
      <c r="WTY99" s="414"/>
      <c r="WUB99" s="445"/>
      <c r="WUC99" s="414"/>
      <c r="WUF99" s="445"/>
      <c r="WUG99" s="414"/>
      <c r="WUJ99" s="445"/>
      <c r="WUK99" s="414"/>
      <c r="WUN99" s="445"/>
      <c r="WUO99" s="414"/>
      <c r="WUR99" s="445"/>
      <c r="WUS99" s="414"/>
      <c r="WUV99" s="445"/>
      <c r="WUW99" s="414"/>
      <c r="WUZ99" s="445"/>
      <c r="WVA99" s="414"/>
      <c r="WVD99" s="445"/>
      <c r="WVE99" s="414"/>
      <c r="WVH99" s="445"/>
      <c r="WVI99" s="414"/>
      <c r="WVL99" s="445"/>
      <c r="WVM99" s="414"/>
      <c r="WVP99" s="445"/>
      <c r="WVQ99" s="414"/>
      <c r="WVT99" s="445"/>
      <c r="WVU99" s="414"/>
      <c r="WVX99" s="445"/>
      <c r="WVY99" s="414"/>
      <c r="WWB99" s="445"/>
      <c r="WWC99" s="414"/>
      <c r="WWF99" s="445"/>
      <c r="WWG99" s="414"/>
      <c r="WWJ99" s="445"/>
      <c r="WWK99" s="414"/>
      <c r="WWN99" s="445"/>
      <c r="WWO99" s="414"/>
      <c r="WWR99" s="445"/>
      <c r="WWS99" s="414"/>
      <c r="WWV99" s="445"/>
      <c r="WWW99" s="414"/>
      <c r="WWZ99" s="445"/>
      <c r="WXA99" s="414"/>
      <c r="WXD99" s="445"/>
      <c r="WXE99" s="414"/>
      <c r="WXH99" s="445"/>
      <c r="WXI99" s="414"/>
      <c r="WXL99" s="445"/>
      <c r="WXM99" s="414"/>
      <c r="WXP99" s="445"/>
      <c r="WXQ99" s="414"/>
      <c r="WXT99" s="445"/>
      <c r="WXU99" s="414"/>
      <c r="WXX99" s="445"/>
      <c r="WXY99" s="414"/>
      <c r="WYB99" s="445"/>
      <c r="WYC99" s="414"/>
      <c r="WYF99" s="445"/>
      <c r="WYG99" s="414"/>
      <c r="WYJ99" s="445"/>
      <c r="WYK99" s="414"/>
      <c r="WYN99" s="445"/>
      <c r="WYO99" s="414"/>
      <c r="WYR99" s="445"/>
      <c r="WYS99" s="414"/>
      <c r="WYV99" s="445"/>
      <c r="WYW99" s="414"/>
      <c r="WYZ99" s="445"/>
      <c r="WZA99" s="414"/>
      <c r="WZD99" s="445"/>
      <c r="WZE99" s="414"/>
      <c r="WZH99" s="445"/>
      <c r="WZI99" s="414"/>
      <c r="WZL99" s="445"/>
      <c r="WZM99" s="414"/>
      <c r="WZP99" s="445"/>
      <c r="WZQ99" s="414"/>
      <c r="WZT99" s="445"/>
      <c r="WZU99" s="414"/>
      <c r="WZX99" s="445"/>
      <c r="WZY99" s="414"/>
      <c r="XAB99" s="445"/>
      <c r="XAC99" s="414"/>
      <c r="XAF99" s="445"/>
      <c r="XAG99" s="414"/>
      <c r="XAJ99" s="445"/>
      <c r="XAK99" s="414"/>
      <c r="XAN99" s="445"/>
      <c r="XAO99" s="414"/>
      <c r="XAR99" s="445"/>
      <c r="XAS99" s="414"/>
      <c r="XAV99" s="445"/>
      <c r="XAW99" s="414"/>
      <c r="XAZ99" s="445"/>
      <c r="XBA99" s="414"/>
      <c r="XBD99" s="445"/>
      <c r="XBE99" s="414"/>
      <c r="XBH99" s="445"/>
      <c r="XBI99" s="414"/>
      <c r="XBL99" s="445"/>
      <c r="XBM99" s="414"/>
      <c r="XBP99" s="445"/>
      <c r="XBQ99" s="414"/>
      <c r="XBT99" s="445"/>
      <c r="XBU99" s="414"/>
      <c r="XBX99" s="445"/>
      <c r="XBY99" s="414"/>
      <c r="XCB99" s="445"/>
      <c r="XCC99" s="414"/>
      <c r="XCF99" s="445"/>
      <c r="XCG99" s="414"/>
      <c r="XCJ99" s="445"/>
      <c r="XCK99" s="414"/>
      <c r="XCN99" s="445"/>
      <c r="XCO99" s="414"/>
      <c r="XCR99" s="445"/>
      <c r="XCS99" s="414"/>
      <c r="XCV99" s="445"/>
      <c r="XCW99" s="414"/>
      <c r="XCZ99" s="445"/>
      <c r="XDA99" s="414"/>
      <c r="XDD99" s="445"/>
      <c r="XDE99" s="414"/>
      <c r="XDH99" s="445"/>
      <c r="XDI99" s="414"/>
      <c r="XDL99" s="445"/>
      <c r="XDM99" s="414"/>
      <c r="XDP99" s="445"/>
      <c r="XDQ99" s="414"/>
      <c r="XDT99" s="445"/>
      <c r="XDU99" s="414"/>
      <c r="XDX99" s="445"/>
      <c r="XDY99" s="414"/>
      <c r="XEB99" s="445"/>
      <c r="XEC99" s="414"/>
      <c r="XEF99" s="445"/>
      <c r="XEG99" s="414"/>
      <c r="XEJ99" s="445"/>
      <c r="XEK99" s="414"/>
      <c r="XEN99" s="445"/>
      <c r="XEO99" s="414"/>
      <c r="XER99" s="445"/>
      <c r="XES99" s="414"/>
      <c r="XEV99" s="445"/>
      <c r="XEW99" s="414"/>
      <c r="XEZ99" s="445"/>
    </row>
    <row r="100" spans="1:16380" s="436" customFormat="1" ht="12.75">
      <c r="A100" s="445"/>
      <c r="B100" s="443">
        <v>99</v>
      </c>
      <c r="C100" s="447"/>
      <c r="D100" s="613" t="s">
        <v>2113</v>
      </c>
      <c r="E100" s="447" t="s">
        <v>1997</v>
      </c>
      <c r="F100" s="444" t="s">
        <v>133</v>
      </c>
      <c r="G100" s="416"/>
      <c r="H100" s="443"/>
      <c r="I100" s="444"/>
      <c r="AP100" s="414"/>
      <c r="AV100" s="445"/>
      <c r="AW100" s="414"/>
      <c r="AZ100" s="445"/>
      <c r="BA100" s="414"/>
      <c r="BD100" s="445"/>
      <c r="BE100" s="414"/>
      <c r="BH100" s="445"/>
      <c r="BI100" s="414"/>
      <c r="BL100" s="445"/>
      <c r="BM100" s="414"/>
      <c r="BP100" s="445"/>
      <c r="BQ100" s="414"/>
      <c r="BT100" s="445"/>
      <c r="BU100" s="414"/>
      <c r="BX100" s="445"/>
      <c r="BY100" s="414"/>
      <c r="CB100" s="445"/>
      <c r="CC100" s="414"/>
      <c r="CF100" s="445"/>
      <c r="CG100" s="414"/>
      <c r="CJ100" s="445"/>
      <c r="CK100" s="414"/>
      <c r="CN100" s="445"/>
      <c r="CO100" s="414"/>
      <c r="CR100" s="445"/>
      <c r="CS100" s="414"/>
      <c r="CV100" s="445"/>
      <c r="CW100" s="414"/>
      <c r="CZ100" s="445"/>
      <c r="DA100" s="414"/>
      <c r="DD100" s="445"/>
      <c r="DE100" s="414"/>
      <c r="DH100" s="445"/>
      <c r="DI100" s="414"/>
      <c r="DL100" s="445"/>
      <c r="DM100" s="414"/>
      <c r="DP100" s="445"/>
      <c r="DQ100" s="414"/>
      <c r="DT100" s="445"/>
      <c r="DU100" s="414"/>
      <c r="DX100" s="445"/>
      <c r="DY100" s="414"/>
      <c r="EB100" s="445"/>
      <c r="EC100" s="414"/>
      <c r="EF100" s="445"/>
      <c r="EG100" s="414"/>
      <c r="EJ100" s="445"/>
      <c r="EK100" s="414"/>
      <c r="EN100" s="445"/>
      <c r="EO100" s="414"/>
      <c r="ER100" s="445"/>
      <c r="ES100" s="414"/>
      <c r="EV100" s="445"/>
      <c r="EW100" s="414"/>
      <c r="EZ100" s="445"/>
      <c r="FA100" s="414"/>
      <c r="FD100" s="445"/>
      <c r="FE100" s="414"/>
      <c r="FH100" s="445"/>
      <c r="FI100" s="414"/>
      <c r="FL100" s="445"/>
      <c r="FM100" s="414"/>
      <c r="FP100" s="445"/>
      <c r="FQ100" s="414"/>
      <c r="FT100" s="445"/>
      <c r="FU100" s="414"/>
      <c r="FX100" s="445"/>
      <c r="FY100" s="414"/>
      <c r="GB100" s="445"/>
      <c r="GC100" s="414"/>
      <c r="GF100" s="445"/>
      <c r="GG100" s="414"/>
      <c r="GJ100" s="445"/>
      <c r="GK100" s="414"/>
      <c r="GN100" s="445"/>
      <c r="GO100" s="414"/>
      <c r="GR100" s="445"/>
      <c r="GS100" s="414"/>
      <c r="GV100" s="445"/>
      <c r="GW100" s="414"/>
      <c r="GZ100" s="445"/>
      <c r="HA100" s="414"/>
      <c r="HD100" s="445"/>
      <c r="HE100" s="414"/>
      <c r="HH100" s="445"/>
      <c r="HI100" s="414"/>
      <c r="HL100" s="445"/>
      <c r="HM100" s="414"/>
      <c r="HP100" s="445"/>
      <c r="HQ100" s="414"/>
      <c r="HT100" s="445"/>
      <c r="HU100" s="414"/>
      <c r="HX100" s="445"/>
      <c r="HY100" s="414"/>
      <c r="IB100" s="445"/>
      <c r="IC100" s="414"/>
      <c r="IF100" s="445"/>
      <c r="IG100" s="414"/>
      <c r="IJ100" s="445"/>
      <c r="IK100" s="414"/>
      <c r="IN100" s="445"/>
      <c r="IO100" s="414"/>
      <c r="IR100" s="445"/>
      <c r="IS100" s="414"/>
      <c r="IV100" s="445"/>
      <c r="IW100" s="414"/>
      <c r="IZ100" s="445"/>
      <c r="JA100" s="414"/>
      <c r="JD100" s="445"/>
      <c r="JE100" s="414"/>
      <c r="JH100" s="445"/>
      <c r="JI100" s="414"/>
      <c r="JL100" s="445"/>
      <c r="JM100" s="414"/>
      <c r="JP100" s="445"/>
      <c r="JQ100" s="414"/>
      <c r="JT100" s="445"/>
      <c r="JU100" s="414"/>
      <c r="JX100" s="445"/>
      <c r="JY100" s="414"/>
      <c r="KB100" s="445"/>
      <c r="KC100" s="414"/>
      <c r="KF100" s="445"/>
      <c r="KG100" s="414"/>
      <c r="KJ100" s="445"/>
      <c r="KK100" s="414"/>
      <c r="KN100" s="445"/>
      <c r="KO100" s="414"/>
      <c r="KR100" s="445"/>
      <c r="KS100" s="414"/>
      <c r="KV100" s="445"/>
      <c r="KW100" s="414"/>
      <c r="KZ100" s="445"/>
      <c r="LA100" s="414"/>
      <c r="LD100" s="445"/>
      <c r="LE100" s="414"/>
      <c r="LH100" s="445"/>
      <c r="LI100" s="414"/>
      <c r="LL100" s="445"/>
      <c r="LM100" s="414"/>
      <c r="LP100" s="445"/>
      <c r="LQ100" s="414"/>
      <c r="LT100" s="445"/>
      <c r="LU100" s="414"/>
      <c r="LX100" s="445"/>
      <c r="LY100" s="414"/>
      <c r="MB100" s="445"/>
      <c r="MC100" s="414"/>
      <c r="MF100" s="445"/>
      <c r="MG100" s="414"/>
      <c r="MJ100" s="445"/>
      <c r="MK100" s="414"/>
      <c r="MN100" s="445"/>
      <c r="MO100" s="414"/>
      <c r="MR100" s="445"/>
      <c r="MS100" s="414"/>
      <c r="MV100" s="445"/>
      <c r="MW100" s="414"/>
      <c r="MZ100" s="445"/>
      <c r="NA100" s="414"/>
      <c r="ND100" s="445"/>
      <c r="NE100" s="414"/>
      <c r="NH100" s="445"/>
      <c r="NI100" s="414"/>
      <c r="NL100" s="445"/>
      <c r="NM100" s="414"/>
      <c r="NP100" s="445"/>
      <c r="NQ100" s="414"/>
      <c r="NT100" s="445"/>
      <c r="NU100" s="414"/>
      <c r="NX100" s="445"/>
      <c r="NY100" s="414"/>
      <c r="OB100" s="445"/>
      <c r="OC100" s="414"/>
      <c r="OF100" s="445"/>
      <c r="OG100" s="414"/>
      <c r="OJ100" s="445"/>
      <c r="OK100" s="414"/>
      <c r="ON100" s="445"/>
      <c r="OO100" s="414"/>
      <c r="OR100" s="445"/>
      <c r="OS100" s="414"/>
      <c r="OV100" s="445"/>
      <c r="OW100" s="414"/>
      <c r="OZ100" s="445"/>
      <c r="PA100" s="414"/>
      <c r="PD100" s="445"/>
      <c r="PE100" s="414"/>
      <c r="PH100" s="445"/>
      <c r="PI100" s="414"/>
      <c r="PL100" s="445"/>
      <c r="PM100" s="414"/>
      <c r="PP100" s="445"/>
      <c r="PQ100" s="414"/>
      <c r="PT100" s="445"/>
      <c r="PU100" s="414"/>
      <c r="PX100" s="445"/>
      <c r="PY100" s="414"/>
      <c r="QB100" s="445"/>
      <c r="QC100" s="414"/>
      <c r="QF100" s="445"/>
      <c r="QG100" s="414"/>
      <c r="QJ100" s="445"/>
      <c r="QK100" s="414"/>
      <c r="QN100" s="445"/>
      <c r="QO100" s="414"/>
      <c r="QR100" s="445"/>
      <c r="QS100" s="414"/>
      <c r="QV100" s="445"/>
      <c r="QW100" s="414"/>
      <c r="QZ100" s="445"/>
      <c r="RA100" s="414"/>
      <c r="RD100" s="445"/>
      <c r="RE100" s="414"/>
      <c r="RH100" s="445"/>
      <c r="RI100" s="414"/>
      <c r="RL100" s="445"/>
      <c r="RM100" s="414"/>
      <c r="RP100" s="445"/>
      <c r="RQ100" s="414"/>
      <c r="RT100" s="445"/>
      <c r="RU100" s="414"/>
      <c r="RX100" s="445"/>
      <c r="RY100" s="414"/>
      <c r="SB100" s="445"/>
      <c r="SC100" s="414"/>
      <c r="SF100" s="445"/>
      <c r="SG100" s="414"/>
      <c r="SJ100" s="445"/>
      <c r="SK100" s="414"/>
      <c r="SN100" s="445"/>
      <c r="SO100" s="414"/>
      <c r="SR100" s="445"/>
      <c r="SS100" s="414"/>
      <c r="SV100" s="445"/>
      <c r="SW100" s="414"/>
      <c r="SZ100" s="445"/>
      <c r="TA100" s="414"/>
      <c r="TD100" s="445"/>
      <c r="TE100" s="414"/>
      <c r="TH100" s="445"/>
      <c r="TI100" s="414"/>
      <c r="TL100" s="445"/>
      <c r="TM100" s="414"/>
      <c r="TP100" s="445"/>
      <c r="TQ100" s="414"/>
      <c r="TT100" s="445"/>
      <c r="TU100" s="414"/>
      <c r="TX100" s="445"/>
      <c r="TY100" s="414"/>
      <c r="UB100" s="445"/>
      <c r="UC100" s="414"/>
      <c r="UF100" s="445"/>
      <c r="UG100" s="414"/>
      <c r="UJ100" s="445"/>
      <c r="UK100" s="414"/>
      <c r="UN100" s="445"/>
      <c r="UO100" s="414"/>
      <c r="UR100" s="445"/>
      <c r="US100" s="414"/>
      <c r="UV100" s="445"/>
      <c r="UW100" s="414"/>
      <c r="UZ100" s="445"/>
      <c r="VA100" s="414"/>
      <c r="VD100" s="445"/>
      <c r="VE100" s="414"/>
      <c r="VH100" s="445"/>
      <c r="VI100" s="414"/>
      <c r="VL100" s="445"/>
      <c r="VM100" s="414"/>
      <c r="VP100" s="445"/>
      <c r="VQ100" s="414"/>
      <c r="VT100" s="445"/>
      <c r="VU100" s="414"/>
      <c r="VX100" s="445"/>
      <c r="VY100" s="414"/>
      <c r="WB100" s="445"/>
      <c r="WC100" s="414"/>
      <c r="WF100" s="445"/>
      <c r="WG100" s="414"/>
      <c r="WJ100" s="445"/>
      <c r="WK100" s="414"/>
      <c r="WN100" s="445"/>
      <c r="WO100" s="414"/>
      <c r="WR100" s="445"/>
      <c r="WS100" s="414"/>
      <c r="WV100" s="445"/>
      <c r="WW100" s="414"/>
      <c r="WZ100" s="445"/>
      <c r="XA100" s="414"/>
      <c r="XD100" s="445"/>
      <c r="XE100" s="414"/>
      <c r="XH100" s="445"/>
      <c r="XI100" s="414"/>
      <c r="XL100" s="445"/>
      <c r="XM100" s="414"/>
      <c r="XP100" s="445"/>
      <c r="XQ100" s="414"/>
      <c r="XT100" s="445"/>
      <c r="XU100" s="414"/>
      <c r="XX100" s="445"/>
      <c r="XY100" s="414"/>
      <c r="YB100" s="445"/>
      <c r="YC100" s="414"/>
      <c r="YF100" s="445"/>
      <c r="YG100" s="414"/>
      <c r="YJ100" s="445"/>
      <c r="YK100" s="414"/>
      <c r="YN100" s="445"/>
      <c r="YO100" s="414"/>
      <c r="YR100" s="445"/>
      <c r="YS100" s="414"/>
      <c r="YV100" s="445"/>
      <c r="YW100" s="414"/>
      <c r="YZ100" s="445"/>
      <c r="ZA100" s="414"/>
      <c r="ZD100" s="445"/>
      <c r="ZE100" s="414"/>
      <c r="ZH100" s="445"/>
      <c r="ZI100" s="414"/>
      <c r="ZL100" s="445"/>
      <c r="ZM100" s="414"/>
      <c r="ZP100" s="445"/>
      <c r="ZQ100" s="414"/>
      <c r="ZT100" s="445"/>
      <c r="ZU100" s="414"/>
      <c r="ZX100" s="445"/>
      <c r="ZY100" s="414"/>
      <c r="AAB100" s="445"/>
      <c r="AAC100" s="414"/>
      <c r="AAF100" s="445"/>
      <c r="AAG100" s="414"/>
      <c r="AAJ100" s="445"/>
      <c r="AAK100" s="414"/>
      <c r="AAN100" s="445"/>
      <c r="AAO100" s="414"/>
      <c r="AAR100" s="445"/>
      <c r="AAS100" s="414"/>
      <c r="AAV100" s="445"/>
      <c r="AAW100" s="414"/>
      <c r="AAZ100" s="445"/>
      <c r="ABA100" s="414"/>
      <c r="ABD100" s="445"/>
      <c r="ABE100" s="414"/>
      <c r="ABH100" s="445"/>
      <c r="ABI100" s="414"/>
      <c r="ABL100" s="445"/>
      <c r="ABM100" s="414"/>
      <c r="ABP100" s="445"/>
      <c r="ABQ100" s="414"/>
      <c r="ABT100" s="445"/>
      <c r="ABU100" s="414"/>
      <c r="ABX100" s="445"/>
      <c r="ABY100" s="414"/>
      <c r="ACB100" s="445"/>
      <c r="ACC100" s="414"/>
      <c r="ACF100" s="445"/>
      <c r="ACG100" s="414"/>
      <c r="ACJ100" s="445"/>
      <c r="ACK100" s="414"/>
      <c r="ACN100" s="445"/>
      <c r="ACO100" s="414"/>
      <c r="ACR100" s="445"/>
      <c r="ACS100" s="414"/>
      <c r="ACV100" s="445"/>
      <c r="ACW100" s="414"/>
      <c r="ACZ100" s="445"/>
      <c r="ADA100" s="414"/>
      <c r="ADD100" s="445"/>
      <c r="ADE100" s="414"/>
      <c r="ADH100" s="445"/>
      <c r="ADI100" s="414"/>
      <c r="ADL100" s="445"/>
      <c r="ADM100" s="414"/>
      <c r="ADP100" s="445"/>
      <c r="ADQ100" s="414"/>
      <c r="ADT100" s="445"/>
      <c r="ADU100" s="414"/>
      <c r="ADX100" s="445"/>
      <c r="ADY100" s="414"/>
      <c r="AEB100" s="445"/>
      <c r="AEC100" s="414"/>
      <c r="AEF100" s="445"/>
      <c r="AEG100" s="414"/>
      <c r="AEJ100" s="445"/>
      <c r="AEK100" s="414"/>
      <c r="AEN100" s="445"/>
      <c r="AEO100" s="414"/>
      <c r="AER100" s="445"/>
      <c r="AES100" s="414"/>
      <c r="AEV100" s="445"/>
      <c r="AEW100" s="414"/>
      <c r="AEZ100" s="445"/>
      <c r="AFA100" s="414"/>
      <c r="AFD100" s="445"/>
      <c r="AFE100" s="414"/>
      <c r="AFH100" s="445"/>
      <c r="AFI100" s="414"/>
      <c r="AFL100" s="445"/>
      <c r="AFM100" s="414"/>
      <c r="AFP100" s="445"/>
      <c r="AFQ100" s="414"/>
      <c r="AFT100" s="445"/>
      <c r="AFU100" s="414"/>
      <c r="AFX100" s="445"/>
      <c r="AFY100" s="414"/>
      <c r="AGB100" s="445"/>
      <c r="AGC100" s="414"/>
      <c r="AGF100" s="445"/>
      <c r="AGG100" s="414"/>
      <c r="AGJ100" s="445"/>
      <c r="AGK100" s="414"/>
      <c r="AGN100" s="445"/>
      <c r="AGO100" s="414"/>
      <c r="AGR100" s="445"/>
      <c r="AGS100" s="414"/>
      <c r="AGV100" s="445"/>
      <c r="AGW100" s="414"/>
      <c r="AGZ100" s="445"/>
      <c r="AHA100" s="414"/>
      <c r="AHD100" s="445"/>
      <c r="AHE100" s="414"/>
      <c r="AHH100" s="445"/>
      <c r="AHI100" s="414"/>
      <c r="AHL100" s="445"/>
      <c r="AHM100" s="414"/>
      <c r="AHP100" s="445"/>
      <c r="AHQ100" s="414"/>
      <c r="AHT100" s="445"/>
      <c r="AHU100" s="414"/>
      <c r="AHX100" s="445"/>
      <c r="AHY100" s="414"/>
      <c r="AIB100" s="445"/>
      <c r="AIC100" s="414"/>
      <c r="AIF100" s="445"/>
      <c r="AIG100" s="414"/>
      <c r="AIJ100" s="445"/>
      <c r="AIK100" s="414"/>
      <c r="AIN100" s="445"/>
      <c r="AIO100" s="414"/>
      <c r="AIR100" s="445"/>
      <c r="AIS100" s="414"/>
      <c r="AIV100" s="445"/>
      <c r="AIW100" s="414"/>
      <c r="AIZ100" s="445"/>
      <c r="AJA100" s="414"/>
      <c r="AJD100" s="445"/>
      <c r="AJE100" s="414"/>
      <c r="AJH100" s="445"/>
      <c r="AJI100" s="414"/>
      <c r="AJL100" s="445"/>
      <c r="AJM100" s="414"/>
      <c r="AJP100" s="445"/>
      <c r="AJQ100" s="414"/>
      <c r="AJT100" s="445"/>
      <c r="AJU100" s="414"/>
      <c r="AJX100" s="445"/>
      <c r="AJY100" s="414"/>
      <c r="AKB100" s="445"/>
      <c r="AKC100" s="414"/>
      <c r="AKF100" s="445"/>
      <c r="AKG100" s="414"/>
      <c r="AKJ100" s="445"/>
      <c r="AKK100" s="414"/>
      <c r="AKN100" s="445"/>
      <c r="AKO100" s="414"/>
      <c r="AKR100" s="445"/>
      <c r="AKS100" s="414"/>
      <c r="AKV100" s="445"/>
      <c r="AKW100" s="414"/>
      <c r="AKZ100" s="445"/>
      <c r="ALA100" s="414"/>
      <c r="ALD100" s="445"/>
      <c r="ALE100" s="414"/>
      <c r="ALH100" s="445"/>
      <c r="ALI100" s="414"/>
      <c r="ALL100" s="445"/>
      <c r="ALM100" s="414"/>
      <c r="ALP100" s="445"/>
      <c r="ALQ100" s="414"/>
      <c r="ALT100" s="445"/>
      <c r="ALU100" s="414"/>
      <c r="ALX100" s="445"/>
      <c r="ALY100" s="414"/>
      <c r="AMB100" s="445"/>
      <c r="AMC100" s="414"/>
      <c r="AMF100" s="445"/>
      <c r="AMG100" s="414"/>
      <c r="AMJ100" s="445"/>
      <c r="AMK100" s="414"/>
      <c r="AMN100" s="445"/>
      <c r="AMO100" s="414"/>
      <c r="AMR100" s="445"/>
      <c r="AMS100" s="414"/>
      <c r="AMV100" s="445"/>
      <c r="AMW100" s="414"/>
      <c r="AMZ100" s="445"/>
      <c r="ANA100" s="414"/>
      <c r="AND100" s="445"/>
      <c r="ANE100" s="414"/>
      <c r="ANH100" s="445"/>
      <c r="ANI100" s="414"/>
      <c r="ANL100" s="445"/>
      <c r="ANM100" s="414"/>
      <c r="ANP100" s="445"/>
      <c r="ANQ100" s="414"/>
      <c r="ANT100" s="445"/>
      <c r="ANU100" s="414"/>
      <c r="ANX100" s="445"/>
      <c r="ANY100" s="414"/>
      <c r="AOB100" s="445"/>
      <c r="AOC100" s="414"/>
      <c r="AOF100" s="445"/>
      <c r="AOG100" s="414"/>
      <c r="AOJ100" s="445"/>
      <c r="AOK100" s="414"/>
      <c r="AON100" s="445"/>
      <c r="AOO100" s="414"/>
      <c r="AOR100" s="445"/>
      <c r="AOS100" s="414"/>
      <c r="AOV100" s="445"/>
      <c r="AOW100" s="414"/>
      <c r="AOZ100" s="445"/>
      <c r="APA100" s="414"/>
      <c r="APD100" s="445"/>
      <c r="APE100" s="414"/>
      <c r="APH100" s="445"/>
      <c r="API100" s="414"/>
      <c r="APL100" s="445"/>
      <c r="APM100" s="414"/>
      <c r="APP100" s="445"/>
      <c r="APQ100" s="414"/>
      <c r="APT100" s="445"/>
      <c r="APU100" s="414"/>
      <c r="APX100" s="445"/>
      <c r="APY100" s="414"/>
      <c r="AQB100" s="445"/>
      <c r="AQC100" s="414"/>
      <c r="AQF100" s="445"/>
      <c r="AQG100" s="414"/>
      <c r="AQJ100" s="445"/>
      <c r="AQK100" s="414"/>
      <c r="AQN100" s="445"/>
      <c r="AQO100" s="414"/>
      <c r="AQR100" s="445"/>
      <c r="AQS100" s="414"/>
      <c r="AQV100" s="445"/>
      <c r="AQW100" s="414"/>
      <c r="AQZ100" s="445"/>
      <c r="ARA100" s="414"/>
      <c r="ARD100" s="445"/>
      <c r="ARE100" s="414"/>
      <c r="ARH100" s="445"/>
      <c r="ARI100" s="414"/>
      <c r="ARL100" s="445"/>
      <c r="ARM100" s="414"/>
      <c r="ARP100" s="445"/>
      <c r="ARQ100" s="414"/>
      <c r="ART100" s="445"/>
      <c r="ARU100" s="414"/>
      <c r="ARX100" s="445"/>
      <c r="ARY100" s="414"/>
      <c r="ASB100" s="445"/>
      <c r="ASC100" s="414"/>
      <c r="ASF100" s="445"/>
      <c r="ASG100" s="414"/>
      <c r="ASJ100" s="445"/>
      <c r="ASK100" s="414"/>
      <c r="ASN100" s="445"/>
      <c r="ASO100" s="414"/>
      <c r="ASR100" s="445"/>
      <c r="ASS100" s="414"/>
      <c r="ASV100" s="445"/>
      <c r="ASW100" s="414"/>
      <c r="ASZ100" s="445"/>
      <c r="ATA100" s="414"/>
      <c r="ATD100" s="445"/>
      <c r="ATE100" s="414"/>
      <c r="ATH100" s="445"/>
      <c r="ATI100" s="414"/>
      <c r="ATL100" s="445"/>
      <c r="ATM100" s="414"/>
      <c r="ATP100" s="445"/>
      <c r="ATQ100" s="414"/>
      <c r="ATT100" s="445"/>
      <c r="ATU100" s="414"/>
      <c r="ATX100" s="445"/>
      <c r="ATY100" s="414"/>
      <c r="AUB100" s="445"/>
      <c r="AUC100" s="414"/>
      <c r="AUF100" s="445"/>
      <c r="AUG100" s="414"/>
      <c r="AUJ100" s="445"/>
      <c r="AUK100" s="414"/>
      <c r="AUN100" s="445"/>
      <c r="AUO100" s="414"/>
      <c r="AUR100" s="445"/>
      <c r="AUS100" s="414"/>
      <c r="AUV100" s="445"/>
      <c r="AUW100" s="414"/>
      <c r="AUZ100" s="445"/>
      <c r="AVA100" s="414"/>
      <c r="AVD100" s="445"/>
      <c r="AVE100" s="414"/>
      <c r="AVH100" s="445"/>
      <c r="AVI100" s="414"/>
      <c r="AVL100" s="445"/>
      <c r="AVM100" s="414"/>
      <c r="AVP100" s="445"/>
      <c r="AVQ100" s="414"/>
      <c r="AVT100" s="445"/>
      <c r="AVU100" s="414"/>
      <c r="AVX100" s="445"/>
      <c r="AVY100" s="414"/>
      <c r="AWB100" s="445"/>
      <c r="AWC100" s="414"/>
      <c r="AWF100" s="445"/>
      <c r="AWG100" s="414"/>
      <c r="AWJ100" s="445"/>
      <c r="AWK100" s="414"/>
      <c r="AWN100" s="445"/>
      <c r="AWO100" s="414"/>
      <c r="AWR100" s="445"/>
      <c r="AWS100" s="414"/>
      <c r="AWV100" s="445"/>
      <c r="AWW100" s="414"/>
      <c r="AWZ100" s="445"/>
      <c r="AXA100" s="414"/>
      <c r="AXD100" s="445"/>
      <c r="AXE100" s="414"/>
      <c r="AXH100" s="445"/>
      <c r="AXI100" s="414"/>
      <c r="AXL100" s="445"/>
      <c r="AXM100" s="414"/>
      <c r="AXP100" s="445"/>
      <c r="AXQ100" s="414"/>
      <c r="AXT100" s="445"/>
      <c r="AXU100" s="414"/>
      <c r="AXX100" s="445"/>
      <c r="AXY100" s="414"/>
      <c r="AYB100" s="445"/>
      <c r="AYC100" s="414"/>
      <c r="AYF100" s="445"/>
      <c r="AYG100" s="414"/>
      <c r="AYJ100" s="445"/>
      <c r="AYK100" s="414"/>
      <c r="AYN100" s="445"/>
      <c r="AYO100" s="414"/>
      <c r="AYR100" s="445"/>
      <c r="AYS100" s="414"/>
      <c r="AYV100" s="445"/>
      <c r="AYW100" s="414"/>
      <c r="AYZ100" s="445"/>
      <c r="AZA100" s="414"/>
      <c r="AZD100" s="445"/>
      <c r="AZE100" s="414"/>
      <c r="AZH100" s="445"/>
      <c r="AZI100" s="414"/>
      <c r="AZL100" s="445"/>
      <c r="AZM100" s="414"/>
      <c r="AZP100" s="445"/>
      <c r="AZQ100" s="414"/>
      <c r="AZT100" s="445"/>
      <c r="AZU100" s="414"/>
      <c r="AZX100" s="445"/>
      <c r="AZY100" s="414"/>
      <c r="BAB100" s="445"/>
      <c r="BAC100" s="414"/>
      <c r="BAF100" s="445"/>
      <c r="BAG100" s="414"/>
      <c r="BAJ100" s="445"/>
      <c r="BAK100" s="414"/>
      <c r="BAN100" s="445"/>
      <c r="BAO100" s="414"/>
      <c r="BAR100" s="445"/>
      <c r="BAS100" s="414"/>
      <c r="BAV100" s="445"/>
      <c r="BAW100" s="414"/>
      <c r="BAZ100" s="445"/>
      <c r="BBA100" s="414"/>
      <c r="BBD100" s="445"/>
      <c r="BBE100" s="414"/>
      <c r="BBH100" s="445"/>
      <c r="BBI100" s="414"/>
      <c r="BBL100" s="445"/>
      <c r="BBM100" s="414"/>
      <c r="BBP100" s="445"/>
      <c r="BBQ100" s="414"/>
      <c r="BBT100" s="445"/>
      <c r="BBU100" s="414"/>
      <c r="BBX100" s="445"/>
      <c r="BBY100" s="414"/>
      <c r="BCB100" s="445"/>
      <c r="BCC100" s="414"/>
      <c r="BCF100" s="445"/>
      <c r="BCG100" s="414"/>
      <c r="BCJ100" s="445"/>
      <c r="BCK100" s="414"/>
      <c r="BCN100" s="445"/>
      <c r="BCO100" s="414"/>
      <c r="BCR100" s="445"/>
      <c r="BCS100" s="414"/>
      <c r="BCV100" s="445"/>
      <c r="BCW100" s="414"/>
      <c r="BCZ100" s="445"/>
      <c r="BDA100" s="414"/>
      <c r="BDD100" s="445"/>
      <c r="BDE100" s="414"/>
      <c r="BDH100" s="445"/>
      <c r="BDI100" s="414"/>
      <c r="BDL100" s="445"/>
      <c r="BDM100" s="414"/>
      <c r="BDP100" s="445"/>
      <c r="BDQ100" s="414"/>
      <c r="BDT100" s="445"/>
      <c r="BDU100" s="414"/>
      <c r="BDX100" s="445"/>
      <c r="BDY100" s="414"/>
      <c r="BEB100" s="445"/>
      <c r="BEC100" s="414"/>
      <c r="BEF100" s="445"/>
      <c r="BEG100" s="414"/>
      <c r="BEJ100" s="445"/>
      <c r="BEK100" s="414"/>
      <c r="BEN100" s="445"/>
      <c r="BEO100" s="414"/>
      <c r="BER100" s="445"/>
      <c r="BES100" s="414"/>
      <c r="BEV100" s="445"/>
      <c r="BEW100" s="414"/>
      <c r="BEZ100" s="445"/>
      <c r="BFA100" s="414"/>
      <c r="BFD100" s="445"/>
      <c r="BFE100" s="414"/>
      <c r="BFH100" s="445"/>
      <c r="BFI100" s="414"/>
      <c r="BFL100" s="445"/>
      <c r="BFM100" s="414"/>
      <c r="BFP100" s="445"/>
      <c r="BFQ100" s="414"/>
      <c r="BFT100" s="445"/>
      <c r="BFU100" s="414"/>
      <c r="BFX100" s="445"/>
      <c r="BFY100" s="414"/>
      <c r="BGB100" s="445"/>
      <c r="BGC100" s="414"/>
      <c r="BGF100" s="445"/>
      <c r="BGG100" s="414"/>
      <c r="BGJ100" s="445"/>
      <c r="BGK100" s="414"/>
      <c r="BGN100" s="445"/>
      <c r="BGO100" s="414"/>
      <c r="BGR100" s="445"/>
      <c r="BGS100" s="414"/>
      <c r="BGV100" s="445"/>
      <c r="BGW100" s="414"/>
      <c r="BGZ100" s="445"/>
      <c r="BHA100" s="414"/>
      <c r="BHD100" s="445"/>
      <c r="BHE100" s="414"/>
      <c r="BHH100" s="445"/>
      <c r="BHI100" s="414"/>
      <c r="BHL100" s="445"/>
      <c r="BHM100" s="414"/>
      <c r="BHP100" s="445"/>
      <c r="BHQ100" s="414"/>
      <c r="BHT100" s="445"/>
      <c r="BHU100" s="414"/>
      <c r="BHX100" s="445"/>
      <c r="BHY100" s="414"/>
      <c r="BIB100" s="445"/>
      <c r="BIC100" s="414"/>
      <c r="BIF100" s="445"/>
      <c r="BIG100" s="414"/>
      <c r="BIJ100" s="445"/>
      <c r="BIK100" s="414"/>
      <c r="BIN100" s="445"/>
      <c r="BIO100" s="414"/>
      <c r="BIR100" s="445"/>
      <c r="BIS100" s="414"/>
      <c r="BIV100" s="445"/>
      <c r="BIW100" s="414"/>
      <c r="BIZ100" s="445"/>
      <c r="BJA100" s="414"/>
      <c r="BJD100" s="445"/>
      <c r="BJE100" s="414"/>
      <c r="BJH100" s="445"/>
      <c r="BJI100" s="414"/>
      <c r="BJL100" s="445"/>
      <c r="BJM100" s="414"/>
      <c r="BJP100" s="445"/>
      <c r="BJQ100" s="414"/>
      <c r="BJT100" s="445"/>
      <c r="BJU100" s="414"/>
      <c r="BJX100" s="445"/>
      <c r="BJY100" s="414"/>
      <c r="BKB100" s="445"/>
      <c r="BKC100" s="414"/>
      <c r="BKF100" s="445"/>
      <c r="BKG100" s="414"/>
      <c r="BKJ100" s="445"/>
      <c r="BKK100" s="414"/>
      <c r="BKN100" s="445"/>
      <c r="BKO100" s="414"/>
      <c r="BKR100" s="445"/>
      <c r="BKS100" s="414"/>
      <c r="BKV100" s="445"/>
      <c r="BKW100" s="414"/>
      <c r="BKZ100" s="445"/>
      <c r="BLA100" s="414"/>
      <c r="BLD100" s="445"/>
      <c r="BLE100" s="414"/>
      <c r="BLH100" s="445"/>
      <c r="BLI100" s="414"/>
      <c r="BLL100" s="445"/>
      <c r="BLM100" s="414"/>
      <c r="BLP100" s="445"/>
      <c r="BLQ100" s="414"/>
      <c r="BLT100" s="445"/>
      <c r="BLU100" s="414"/>
      <c r="BLX100" s="445"/>
      <c r="BLY100" s="414"/>
      <c r="BMB100" s="445"/>
      <c r="BMC100" s="414"/>
      <c r="BMF100" s="445"/>
      <c r="BMG100" s="414"/>
      <c r="BMJ100" s="445"/>
      <c r="BMK100" s="414"/>
      <c r="BMN100" s="445"/>
      <c r="BMO100" s="414"/>
      <c r="BMR100" s="445"/>
      <c r="BMS100" s="414"/>
      <c r="BMV100" s="445"/>
      <c r="BMW100" s="414"/>
      <c r="BMZ100" s="445"/>
      <c r="BNA100" s="414"/>
      <c r="BND100" s="445"/>
      <c r="BNE100" s="414"/>
      <c r="BNH100" s="445"/>
      <c r="BNI100" s="414"/>
      <c r="BNL100" s="445"/>
      <c r="BNM100" s="414"/>
      <c r="BNP100" s="445"/>
      <c r="BNQ100" s="414"/>
      <c r="BNT100" s="445"/>
      <c r="BNU100" s="414"/>
      <c r="BNX100" s="445"/>
      <c r="BNY100" s="414"/>
      <c r="BOB100" s="445"/>
      <c r="BOC100" s="414"/>
      <c r="BOF100" s="445"/>
      <c r="BOG100" s="414"/>
      <c r="BOJ100" s="445"/>
      <c r="BOK100" s="414"/>
      <c r="BON100" s="445"/>
      <c r="BOO100" s="414"/>
      <c r="BOR100" s="445"/>
      <c r="BOS100" s="414"/>
      <c r="BOV100" s="445"/>
      <c r="BOW100" s="414"/>
      <c r="BOZ100" s="445"/>
      <c r="BPA100" s="414"/>
      <c r="BPD100" s="445"/>
      <c r="BPE100" s="414"/>
      <c r="BPH100" s="445"/>
      <c r="BPI100" s="414"/>
      <c r="BPL100" s="445"/>
      <c r="BPM100" s="414"/>
      <c r="BPP100" s="445"/>
      <c r="BPQ100" s="414"/>
      <c r="BPT100" s="445"/>
      <c r="BPU100" s="414"/>
      <c r="BPX100" s="445"/>
      <c r="BPY100" s="414"/>
      <c r="BQB100" s="445"/>
      <c r="BQC100" s="414"/>
      <c r="BQF100" s="445"/>
      <c r="BQG100" s="414"/>
      <c r="BQJ100" s="445"/>
      <c r="BQK100" s="414"/>
      <c r="BQN100" s="445"/>
      <c r="BQO100" s="414"/>
      <c r="BQR100" s="445"/>
      <c r="BQS100" s="414"/>
      <c r="BQV100" s="445"/>
      <c r="BQW100" s="414"/>
      <c r="BQZ100" s="445"/>
      <c r="BRA100" s="414"/>
      <c r="BRD100" s="445"/>
      <c r="BRE100" s="414"/>
      <c r="BRH100" s="445"/>
      <c r="BRI100" s="414"/>
      <c r="BRL100" s="445"/>
      <c r="BRM100" s="414"/>
      <c r="BRP100" s="445"/>
      <c r="BRQ100" s="414"/>
      <c r="BRT100" s="445"/>
      <c r="BRU100" s="414"/>
      <c r="BRX100" s="445"/>
      <c r="BRY100" s="414"/>
      <c r="BSB100" s="445"/>
      <c r="BSC100" s="414"/>
      <c r="BSF100" s="445"/>
      <c r="BSG100" s="414"/>
      <c r="BSJ100" s="445"/>
      <c r="BSK100" s="414"/>
      <c r="BSN100" s="445"/>
      <c r="BSO100" s="414"/>
      <c r="BSR100" s="445"/>
      <c r="BSS100" s="414"/>
      <c r="BSV100" s="445"/>
      <c r="BSW100" s="414"/>
      <c r="BSZ100" s="445"/>
      <c r="BTA100" s="414"/>
      <c r="BTD100" s="445"/>
      <c r="BTE100" s="414"/>
      <c r="BTH100" s="445"/>
      <c r="BTI100" s="414"/>
      <c r="BTL100" s="445"/>
      <c r="BTM100" s="414"/>
      <c r="BTP100" s="445"/>
      <c r="BTQ100" s="414"/>
      <c r="BTT100" s="445"/>
      <c r="BTU100" s="414"/>
      <c r="BTX100" s="445"/>
      <c r="BTY100" s="414"/>
      <c r="BUB100" s="445"/>
      <c r="BUC100" s="414"/>
      <c r="BUF100" s="445"/>
      <c r="BUG100" s="414"/>
      <c r="BUJ100" s="445"/>
      <c r="BUK100" s="414"/>
      <c r="BUN100" s="445"/>
      <c r="BUO100" s="414"/>
      <c r="BUR100" s="445"/>
      <c r="BUS100" s="414"/>
      <c r="BUV100" s="445"/>
      <c r="BUW100" s="414"/>
      <c r="BUZ100" s="445"/>
      <c r="BVA100" s="414"/>
      <c r="BVD100" s="445"/>
      <c r="BVE100" s="414"/>
      <c r="BVH100" s="445"/>
      <c r="BVI100" s="414"/>
      <c r="BVL100" s="445"/>
      <c r="BVM100" s="414"/>
      <c r="BVP100" s="445"/>
      <c r="BVQ100" s="414"/>
      <c r="BVT100" s="445"/>
      <c r="BVU100" s="414"/>
      <c r="BVX100" s="445"/>
      <c r="BVY100" s="414"/>
      <c r="BWB100" s="445"/>
      <c r="BWC100" s="414"/>
      <c r="BWF100" s="445"/>
      <c r="BWG100" s="414"/>
      <c r="BWJ100" s="445"/>
      <c r="BWK100" s="414"/>
      <c r="BWN100" s="445"/>
      <c r="BWO100" s="414"/>
      <c r="BWR100" s="445"/>
      <c r="BWS100" s="414"/>
      <c r="BWV100" s="445"/>
      <c r="BWW100" s="414"/>
      <c r="BWZ100" s="445"/>
      <c r="BXA100" s="414"/>
      <c r="BXD100" s="445"/>
      <c r="BXE100" s="414"/>
      <c r="BXH100" s="445"/>
      <c r="BXI100" s="414"/>
      <c r="BXL100" s="445"/>
      <c r="BXM100" s="414"/>
      <c r="BXP100" s="445"/>
      <c r="BXQ100" s="414"/>
      <c r="BXT100" s="445"/>
      <c r="BXU100" s="414"/>
      <c r="BXX100" s="445"/>
      <c r="BXY100" s="414"/>
      <c r="BYB100" s="445"/>
      <c r="BYC100" s="414"/>
      <c r="BYF100" s="445"/>
      <c r="BYG100" s="414"/>
      <c r="BYJ100" s="445"/>
      <c r="BYK100" s="414"/>
      <c r="BYN100" s="445"/>
      <c r="BYO100" s="414"/>
      <c r="BYR100" s="445"/>
      <c r="BYS100" s="414"/>
      <c r="BYV100" s="445"/>
      <c r="BYW100" s="414"/>
      <c r="BYZ100" s="445"/>
      <c r="BZA100" s="414"/>
      <c r="BZD100" s="445"/>
      <c r="BZE100" s="414"/>
      <c r="BZH100" s="445"/>
      <c r="BZI100" s="414"/>
      <c r="BZL100" s="445"/>
      <c r="BZM100" s="414"/>
      <c r="BZP100" s="445"/>
      <c r="BZQ100" s="414"/>
      <c r="BZT100" s="445"/>
      <c r="BZU100" s="414"/>
      <c r="BZX100" s="445"/>
      <c r="BZY100" s="414"/>
      <c r="CAB100" s="445"/>
      <c r="CAC100" s="414"/>
      <c r="CAF100" s="445"/>
      <c r="CAG100" s="414"/>
      <c r="CAJ100" s="445"/>
      <c r="CAK100" s="414"/>
      <c r="CAN100" s="445"/>
      <c r="CAO100" s="414"/>
      <c r="CAR100" s="445"/>
      <c r="CAS100" s="414"/>
      <c r="CAV100" s="445"/>
      <c r="CAW100" s="414"/>
      <c r="CAZ100" s="445"/>
      <c r="CBA100" s="414"/>
      <c r="CBD100" s="445"/>
      <c r="CBE100" s="414"/>
      <c r="CBH100" s="445"/>
      <c r="CBI100" s="414"/>
      <c r="CBL100" s="445"/>
      <c r="CBM100" s="414"/>
      <c r="CBP100" s="445"/>
      <c r="CBQ100" s="414"/>
      <c r="CBT100" s="445"/>
      <c r="CBU100" s="414"/>
      <c r="CBX100" s="445"/>
      <c r="CBY100" s="414"/>
      <c r="CCB100" s="445"/>
      <c r="CCC100" s="414"/>
      <c r="CCF100" s="445"/>
      <c r="CCG100" s="414"/>
      <c r="CCJ100" s="445"/>
      <c r="CCK100" s="414"/>
      <c r="CCN100" s="445"/>
      <c r="CCO100" s="414"/>
      <c r="CCR100" s="445"/>
      <c r="CCS100" s="414"/>
      <c r="CCV100" s="445"/>
      <c r="CCW100" s="414"/>
      <c r="CCZ100" s="445"/>
      <c r="CDA100" s="414"/>
      <c r="CDD100" s="445"/>
      <c r="CDE100" s="414"/>
      <c r="CDH100" s="445"/>
      <c r="CDI100" s="414"/>
      <c r="CDL100" s="445"/>
      <c r="CDM100" s="414"/>
      <c r="CDP100" s="445"/>
      <c r="CDQ100" s="414"/>
      <c r="CDT100" s="445"/>
      <c r="CDU100" s="414"/>
      <c r="CDX100" s="445"/>
      <c r="CDY100" s="414"/>
      <c r="CEB100" s="445"/>
      <c r="CEC100" s="414"/>
      <c r="CEF100" s="445"/>
      <c r="CEG100" s="414"/>
      <c r="CEJ100" s="445"/>
      <c r="CEK100" s="414"/>
      <c r="CEN100" s="445"/>
      <c r="CEO100" s="414"/>
      <c r="CER100" s="445"/>
      <c r="CES100" s="414"/>
      <c r="CEV100" s="445"/>
      <c r="CEW100" s="414"/>
      <c r="CEZ100" s="445"/>
      <c r="CFA100" s="414"/>
      <c r="CFD100" s="445"/>
      <c r="CFE100" s="414"/>
      <c r="CFH100" s="445"/>
      <c r="CFI100" s="414"/>
      <c r="CFL100" s="445"/>
      <c r="CFM100" s="414"/>
      <c r="CFP100" s="445"/>
      <c r="CFQ100" s="414"/>
      <c r="CFT100" s="445"/>
      <c r="CFU100" s="414"/>
      <c r="CFX100" s="445"/>
      <c r="CFY100" s="414"/>
      <c r="CGB100" s="445"/>
      <c r="CGC100" s="414"/>
      <c r="CGF100" s="445"/>
      <c r="CGG100" s="414"/>
      <c r="CGJ100" s="445"/>
      <c r="CGK100" s="414"/>
      <c r="CGN100" s="445"/>
      <c r="CGO100" s="414"/>
      <c r="CGR100" s="445"/>
      <c r="CGS100" s="414"/>
      <c r="CGV100" s="445"/>
      <c r="CGW100" s="414"/>
      <c r="CGZ100" s="445"/>
      <c r="CHA100" s="414"/>
      <c r="CHD100" s="445"/>
      <c r="CHE100" s="414"/>
      <c r="CHH100" s="445"/>
      <c r="CHI100" s="414"/>
      <c r="CHL100" s="445"/>
      <c r="CHM100" s="414"/>
      <c r="CHP100" s="445"/>
      <c r="CHQ100" s="414"/>
      <c r="CHT100" s="445"/>
      <c r="CHU100" s="414"/>
      <c r="CHX100" s="445"/>
      <c r="CHY100" s="414"/>
      <c r="CIB100" s="445"/>
      <c r="CIC100" s="414"/>
      <c r="CIF100" s="445"/>
      <c r="CIG100" s="414"/>
      <c r="CIJ100" s="445"/>
      <c r="CIK100" s="414"/>
      <c r="CIN100" s="445"/>
      <c r="CIO100" s="414"/>
      <c r="CIR100" s="445"/>
      <c r="CIS100" s="414"/>
      <c r="CIV100" s="445"/>
      <c r="CIW100" s="414"/>
      <c r="CIZ100" s="445"/>
      <c r="CJA100" s="414"/>
      <c r="CJD100" s="445"/>
      <c r="CJE100" s="414"/>
      <c r="CJH100" s="445"/>
      <c r="CJI100" s="414"/>
      <c r="CJL100" s="445"/>
      <c r="CJM100" s="414"/>
      <c r="CJP100" s="445"/>
      <c r="CJQ100" s="414"/>
      <c r="CJT100" s="445"/>
      <c r="CJU100" s="414"/>
      <c r="CJX100" s="445"/>
      <c r="CJY100" s="414"/>
      <c r="CKB100" s="445"/>
      <c r="CKC100" s="414"/>
      <c r="CKF100" s="445"/>
      <c r="CKG100" s="414"/>
      <c r="CKJ100" s="445"/>
      <c r="CKK100" s="414"/>
      <c r="CKN100" s="445"/>
      <c r="CKO100" s="414"/>
      <c r="CKR100" s="445"/>
      <c r="CKS100" s="414"/>
      <c r="CKV100" s="445"/>
      <c r="CKW100" s="414"/>
      <c r="CKZ100" s="445"/>
      <c r="CLA100" s="414"/>
      <c r="CLD100" s="445"/>
      <c r="CLE100" s="414"/>
      <c r="CLH100" s="445"/>
      <c r="CLI100" s="414"/>
      <c r="CLL100" s="445"/>
      <c r="CLM100" s="414"/>
      <c r="CLP100" s="445"/>
      <c r="CLQ100" s="414"/>
      <c r="CLT100" s="445"/>
      <c r="CLU100" s="414"/>
      <c r="CLX100" s="445"/>
      <c r="CLY100" s="414"/>
      <c r="CMB100" s="445"/>
      <c r="CMC100" s="414"/>
      <c r="CMF100" s="445"/>
      <c r="CMG100" s="414"/>
      <c r="CMJ100" s="445"/>
      <c r="CMK100" s="414"/>
      <c r="CMN100" s="445"/>
      <c r="CMO100" s="414"/>
      <c r="CMR100" s="445"/>
      <c r="CMS100" s="414"/>
      <c r="CMV100" s="445"/>
      <c r="CMW100" s="414"/>
      <c r="CMZ100" s="445"/>
      <c r="CNA100" s="414"/>
      <c r="CND100" s="445"/>
      <c r="CNE100" s="414"/>
      <c r="CNH100" s="445"/>
      <c r="CNI100" s="414"/>
      <c r="CNL100" s="445"/>
      <c r="CNM100" s="414"/>
      <c r="CNP100" s="445"/>
      <c r="CNQ100" s="414"/>
      <c r="CNT100" s="445"/>
      <c r="CNU100" s="414"/>
      <c r="CNX100" s="445"/>
      <c r="CNY100" s="414"/>
      <c r="COB100" s="445"/>
      <c r="COC100" s="414"/>
      <c r="COF100" s="445"/>
      <c r="COG100" s="414"/>
      <c r="COJ100" s="445"/>
      <c r="COK100" s="414"/>
      <c r="CON100" s="445"/>
      <c r="COO100" s="414"/>
      <c r="COR100" s="445"/>
      <c r="COS100" s="414"/>
      <c r="COV100" s="445"/>
      <c r="COW100" s="414"/>
      <c r="COZ100" s="445"/>
      <c r="CPA100" s="414"/>
      <c r="CPD100" s="445"/>
      <c r="CPE100" s="414"/>
      <c r="CPH100" s="445"/>
      <c r="CPI100" s="414"/>
      <c r="CPL100" s="445"/>
      <c r="CPM100" s="414"/>
      <c r="CPP100" s="445"/>
      <c r="CPQ100" s="414"/>
      <c r="CPT100" s="445"/>
      <c r="CPU100" s="414"/>
      <c r="CPX100" s="445"/>
      <c r="CPY100" s="414"/>
      <c r="CQB100" s="445"/>
      <c r="CQC100" s="414"/>
      <c r="CQF100" s="445"/>
      <c r="CQG100" s="414"/>
      <c r="CQJ100" s="445"/>
      <c r="CQK100" s="414"/>
      <c r="CQN100" s="445"/>
      <c r="CQO100" s="414"/>
      <c r="CQR100" s="445"/>
      <c r="CQS100" s="414"/>
      <c r="CQV100" s="445"/>
      <c r="CQW100" s="414"/>
      <c r="CQZ100" s="445"/>
      <c r="CRA100" s="414"/>
      <c r="CRD100" s="445"/>
      <c r="CRE100" s="414"/>
      <c r="CRH100" s="445"/>
      <c r="CRI100" s="414"/>
      <c r="CRL100" s="445"/>
      <c r="CRM100" s="414"/>
      <c r="CRP100" s="445"/>
      <c r="CRQ100" s="414"/>
      <c r="CRT100" s="445"/>
      <c r="CRU100" s="414"/>
      <c r="CRX100" s="445"/>
      <c r="CRY100" s="414"/>
      <c r="CSB100" s="445"/>
      <c r="CSC100" s="414"/>
      <c r="CSF100" s="445"/>
      <c r="CSG100" s="414"/>
      <c r="CSJ100" s="445"/>
      <c r="CSK100" s="414"/>
      <c r="CSN100" s="445"/>
      <c r="CSO100" s="414"/>
      <c r="CSR100" s="445"/>
      <c r="CSS100" s="414"/>
      <c r="CSV100" s="445"/>
      <c r="CSW100" s="414"/>
      <c r="CSZ100" s="445"/>
      <c r="CTA100" s="414"/>
      <c r="CTD100" s="445"/>
      <c r="CTE100" s="414"/>
      <c r="CTH100" s="445"/>
      <c r="CTI100" s="414"/>
      <c r="CTL100" s="445"/>
      <c r="CTM100" s="414"/>
      <c r="CTP100" s="445"/>
      <c r="CTQ100" s="414"/>
      <c r="CTT100" s="445"/>
      <c r="CTU100" s="414"/>
      <c r="CTX100" s="445"/>
      <c r="CTY100" s="414"/>
      <c r="CUB100" s="445"/>
      <c r="CUC100" s="414"/>
      <c r="CUF100" s="445"/>
      <c r="CUG100" s="414"/>
      <c r="CUJ100" s="445"/>
      <c r="CUK100" s="414"/>
      <c r="CUN100" s="445"/>
      <c r="CUO100" s="414"/>
      <c r="CUR100" s="445"/>
      <c r="CUS100" s="414"/>
      <c r="CUV100" s="445"/>
      <c r="CUW100" s="414"/>
      <c r="CUZ100" s="445"/>
      <c r="CVA100" s="414"/>
      <c r="CVD100" s="445"/>
      <c r="CVE100" s="414"/>
      <c r="CVH100" s="445"/>
      <c r="CVI100" s="414"/>
      <c r="CVL100" s="445"/>
      <c r="CVM100" s="414"/>
      <c r="CVP100" s="445"/>
      <c r="CVQ100" s="414"/>
      <c r="CVT100" s="445"/>
      <c r="CVU100" s="414"/>
      <c r="CVX100" s="445"/>
      <c r="CVY100" s="414"/>
      <c r="CWB100" s="445"/>
      <c r="CWC100" s="414"/>
      <c r="CWF100" s="445"/>
      <c r="CWG100" s="414"/>
      <c r="CWJ100" s="445"/>
      <c r="CWK100" s="414"/>
      <c r="CWN100" s="445"/>
      <c r="CWO100" s="414"/>
      <c r="CWR100" s="445"/>
      <c r="CWS100" s="414"/>
      <c r="CWV100" s="445"/>
      <c r="CWW100" s="414"/>
      <c r="CWZ100" s="445"/>
      <c r="CXA100" s="414"/>
      <c r="CXD100" s="445"/>
      <c r="CXE100" s="414"/>
      <c r="CXH100" s="445"/>
      <c r="CXI100" s="414"/>
      <c r="CXL100" s="445"/>
      <c r="CXM100" s="414"/>
      <c r="CXP100" s="445"/>
      <c r="CXQ100" s="414"/>
      <c r="CXT100" s="445"/>
      <c r="CXU100" s="414"/>
      <c r="CXX100" s="445"/>
      <c r="CXY100" s="414"/>
      <c r="CYB100" s="445"/>
      <c r="CYC100" s="414"/>
      <c r="CYF100" s="445"/>
      <c r="CYG100" s="414"/>
      <c r="CYJ100" s="445"/>
      <c r="CYK100" s="414"/>
      <c r="CYN100" s="445"/>
      <c r="CYO100" s="414"/>
      <c r="CYR100" s="445"/>
      <c r="CYS100" s="414"/>
      <c r="CYV100" s="445"/>
      <c r="CYW100" s="414"/>
      <c r="CYZ100" s="445"/>
      <c r="CZA100" s="414"/>
      <c r="CZD100" s="445"/>
      <c r="CZE100" s="414"/>
      <c r="CZH100" s="445"/>
      <c r="CZI100" s="414"/>
      <c r="CZL100" s="445"/>
      <c r="CZM100" s="414"/>
      <c r="CZP100" s="445"/>
      <c r="CZQ100" s="414"/>
      <c r="CZT100" s="445"/>
      <c r="CZU100" s="414"/>
      <c r="CZX100" s="445"/>
      <c r="CZY100" s="414"/>
      <c r="DAB100" s="445"/>
      <c r="DAC100" s="414"/>
      <c r="DAF100" s="445"/>
      <c r="DAG100" s="414"/>
      <c r="DAJ100" s="445"/>
      <c r="DAK100" s="414"/>
      <c r="DAN100" s="445"/>
      <c r="DAO100" s="414"/>
      <c r="DAR100" s="445"/>
      <c r="DAS100" s="414"/>
      <c r="DAV100" s="445"/>
      <c r="DAW100" s="414"/>
      <c r="DAZ100" s="445"/>
      <c r="DBA100" s="414"/>
      <c r="DBD100" s="445"/>
      <c r="DBE100" s="414"/>
      <c r="DBH100" s="445"/>
      <c r="DBI100" s="414"/>
      <c r="DBL100" s="445"/>
      <c r="DBM100" s="414"/>
      <c r="DBP100" s="445"/>
      <c r="DBQ100" s="414"/>
      <c r="DBT100" s="445"/>
      <c r="DBU100" s="414"/>
      <c r="DBX100" s="445"/>
      <c r="DBY100" s="414"/>
      <c r="DCB100" s="445"/>
      <c r="DCC100" s="414"/>
      <c r="DCF100" s="445"/>
      <c r="DCG100" s="414"/>
      <c r="DCJ100" s="445"/>
      <c r="DCK100" s="414"/>
      <c r="DCN100" s="445"/>
      <c r="DCO100" s="414"/>
      <c r="DCR100" s="445"/>
      <c r="DCS100" s="414"/>
      <c r="DCV100" s="445"/>
      <c r="DCW100" s="414"/>
      <c r="DCZ100" s="445"/>
      <c r="DDA100" s="414"/>
      <c r="DDD100" s="445"/>
      <c r="DDE100" s="414"/>
      <c r="DDH100" s="445"/>
      <c r="DDI100" s="414"/>
      <c r="DDL100" s="445"/>
      <c r="DDM100" s="414"/>
      <c r="DDP100" s="445"/>
      <c r="DDQ100" s="414"/>
      <c r="DDT100" s="445"/>
      <c r="DDU100" s="414"/>
      <c r="DDX100" s="445"/>
      <c r="DDY100" s="414"/>
      <c r="DEB100" s="445"/>
      <c r="DEC100" s="414"/>
      <c r="DEF100" s="445"/>
      <c r="DEG100" s="414"/>
      <c r="DEJ100" s="445"/>
      <c r="DEK100" s="414"/>
      <c r="DEN100" s="445"/>
      <c r="DEO100" s="414"/>
      <c r="DER100" s="445"/>
      <c r="DES100" s="414"/>
      <c r="DEV100" s="445"/>
      <c r="DEW100" s="414"/>
      <c r="DEZ100" s="445"/>
      <c r="DFA100" s="414"/>
      <c r="DFD100" s="445"/>
      <c r="DFE100" s="414"/>
      <c r="DFH100" s="445"/>
      <c r="DFI100" s="414"/>
      <c r="DFL100" s="445"/>
      <c r="DFM100" s="414"/>
      <c r="DFP100" s="445"/>
      <c r="DFQ100" s="414"/>
      <c r="DFT100" s="445"/>
      <c r="DFU100" s="414"/>
      <c r="DFX100" s="445"/>
      <c r="DFY100" s="414"/>
      <c r="DGB100" s="445"/>
      <c r="DGC100" s="414"/>
      <c r="DGF100" s="445"/>
      <c r="DGG100" s="414"/>
      <c r="DGJ100" s="445"/>
      <c r="DGK100" s="414"/>
      <c r="DGN100" s="445"/>
      <c r="DGO100" s="414"/>
      <c r="DGR100" s="445"/>
      <c r="DGS100" s="414"/>
      <c r="DGV100" s="445"/>
      <c r="DGW100" s="414"/>
      <c r="DGZ100" s="445"/>
      <c r="DHA100" s="414"/>
      <c r="DHD100" s="445"/>
      <c r="DHE100" s="414"/>
      <c r="DHH100" s="445"/>
      <c r="DHI100" s="414"/>
      <c r="DHL100" s="445"/>
      <c r="DHM100" s="414"/>
      <c r="DHP100" s="445"/>
      <c r="DHQ100" s="414"/>
      <c r="DHT100" s="445"/>
      <c r="DHU100" s="414"/>
      <c r="DHX100" s="445"/>
      <c r="DHY100" s="414"/>
      <c r="DIB100" s="445"/>
      <c r="DIC100" s="414"/>
      <c r="DIF100" s="445"/>
      <c r="DIG100" s="414"/>
      <c r="DIJ100" s="445"/>
      <c r="DIK100" s="414"/>
      <c r="DIN100" s="445"/>
      <c r="DIO100" s="414"/>
      <c r="DIR100" s="445"/>
      <c r="DIS100" s="414"/>
      <c r="DIV100" s="445"/>
      <c r="DIW100" s="414"/>
      <c r="DIZ100" s="445"/>
      <c r="DJA100" s="414"/>
      <c r="DJD100" s="445"/>
      <c r="DJE100" s="414"/>
      <c r="DJH100" s="445"/>
      <c r="DJI100" s="414"/>
      <c r="DJL100" s="445"/>
      <c r="DJM100" s="414"/>
      <c r="DJP100" s="445"/>
      <c r="DJQ100" s="414"/>
      <c r="DJT100" s="445"/>
      <c r="DJU100" s="414"/>
      <c r="DJX100" s="445"/>
      <c r="DJY100" s="414"/>
      <c r="DKB100" s="445"/>
      <c r="DKC100" s="414"/>
      <c r="DKF100" s="445"/>
      <c r="DKG100" s="414"/>
      <c r="DKJ100" s="445"/>
      <c r="DKK100" s="414"/>
      <c r="DKN100" s="445"/>
      <c r="DKO100" s="414"/>
      <c r="DKR100" s="445"/>
      <c r="DKS100" s="414"/>
      <c r="DKV100" s="445"/>
      <c r="DKW100" s="414"/>
      <c r="DKZ100" s="445"/>
      <c r="DLA100" s="414"/>
      <c r="DLD100" s="445"/>
      <c r="DLE100" s="414"/>
      <c r="DLH100" s="445"/>
      <c r="DLI100" s="414"/>
      <c r="DLL100" s="445"/>
      <c r="DLM100" s="414"/>
      <c r="DLP100" s="445"/>
      <c r="DLQ100" s="414"/>
      <c r="DLT100" s="445"/>
      <c r="DLU100" s="414"/>
      <c r="DLX100" s="445"/>
      <c r="DLY100" s="414"/>
      <c r="DMB100" s="445"/>
      <c r="DMC100" s="414"/>
      <c r="DMF100" s="445"/>
      <c r="DMG100" s="414"/>
      <c r="DMJ100" s="445"/>
      <c r="DMK100" s="414"/>
      <c r="DMN100" s="445"/>
      <c r="DMO100" s="414"/>
      <c r="DMR100" s="445"/>
      <c r="DMS100" s="414"/>
      <c r="DMV100" s="445"/>
      <c r="DMW100" s="414"/>
      <c r="DMZ100" s="445"/>
      <c r="DNA100" s="414"/>
      <c r="DND100" s="445"/>
      <c r="DNE100" s="414"/>
      <c r="DNH100" s="445"/>
      <c r="DNI100" s="414"/>
      <c r="DNL100" s="445"/>
      <c r="DNM100" s="414"/>
      <c r="DNP100" s="445"/>
      <c r="DNQ100" s="414"/>
      <c r="DNT100" s="445"/>
      <c r="DNU100" s="414"/>
      <c r="DNX100" s="445"/>
      <c r="DNY100" s="414"/>
      <c r="DOB100" s="445"/>
      <c r="DOC100" s="414"/>
      <c r="DOF100" s="445"/>
      <c r="DOG100" s="414"/>
      <c r="DOJ100" s="445"/>
      <c r="DOK100" s="414"/>
      <c r="DON100" s="445"/>
      <c r="DOO100" s="414"/>
      <c r="DOR100" s="445"/>
      <c r="DOS100" s="414"/>
      <c r="DOV100" s="445"/>
      <c r="DOW100" s="414"/>
      <c r="DOZ100" s="445"/>
      <c r="DPA100" s="414"/>
      <c r="DPD100" s="445"/>
      <c r="DPE100" s="414"/>
      <c r="DPH100" s="445"/>
      <c r="DPI100" s="414"/>
      <c r="DPL100" s="445"/>
      <c r="DPM100" s="414"/>
      <c r="DPP100" s="445"/>
      <c r="DPQ100" s="414"/>
      <c r="DPT100" s="445"/>
      <c r="DPU100" s="414"/>
      <c r="DPX100" s="445"/>
      <c r="DPY100" s="414"/>
      <c r="DQB100" s="445"/>
      <c r="DQC100" s="414"/>
      <c r="DQF100" s="445"/>
      <c r="DQG100" s="414"/>
      <c r="DQJ100" s="445"/>
      <c r="DQK100" s="414"/>
      <c r="DQN100" s="445"/>
      <c r="DQO100" s="414"/>
      <c r="DQR100" s="445"/>
      <c r="DQS100" s="414"/>
      <c r="DQV100" s="445"/>
      <c r="DQW100" s="414"/>
      <c r="DQZ100" s="445"/>
      <c r="DRA100" s="414"/>
      <c r="DRD100" s="445"/>
      <c r="DRE100" s="414"/>
      <c r="DRH100" s="445"/>
      <c r="DRI100" s="414"/>
      <c r="DRL100" s="445"/>
      <c r="DRM100" s="414"/>
      <c r="DRP100" s="445"/>
      <c r="DRQ100" s="414"/>
      <c r="DRT100" s="445"/>
      <c r="DRU100" s="414"/>
      <c r="DRX100" s="445"/>
      <c r="DRY100" s="414"/>
      <c r="DSB100" s="445"/>
      <c r="DSC100" s="414"/>
      <c r="DSF100" s="445"/>
      <c r="DSG100" s="414"/>
      <c r="DSJ100" s="445"/>
      <c r="DSK100" s="414"/>
      <c r="DSN100" s="445"/>
      <c r="DSO100" s="414"/>
      <c r="DSR100" s="445"/>
      <c r="DSS100" s="414"/>
      <c r="DSV100" s="445"/>
      <c r="DSW100" s="414"/>
      <c r="DSZ100" s="445"/>
      <c r="DTA100" s="414"/>
      <c r="DTD100" s="445"/>
      <c r="DTE100" s="414"/>
      <c r="DTH100" s="445"/>
      <c r="DTI100" s="414"/>
      <c r="DTL100" s="445"/>
      <c r="DTM100" s="414"/>
      <c r="DTP100" s="445"/>
      <c r="DTQ100" s="414"/>
      <c r="DTT100" s="445"/>
      <c r="DTU100" s="414"/>
      <c r="DTX100" s="445"/>
      <c r="DTY100" s="414"/>
      <c r="DUB100" s="445"/>
      <c r="DUC100" s="414"/>
      <c r="DUF100" s="445"/>
      <c r="DUG100" s="414"/>
      <c r="DUJ100" s="445"/>
      <c r="DUK100" s="414"/>
      <c r="DUN100" s="445"/>
      <c r="DUO100" s="414"/>
      <c r="DUR100" s="445"/>
      <c r="DUS100" s="414"/>
      <c r="DUV100" s="445"/>
      <c r="DUW100" s="414"/>
      <c r="DUZ100" s="445"/>
      <c r="DVA100" s="414"/>
      <c r="DVD100" s="445"/>
      <c r="DVE100" s="414"/>
      <c r="DVH100" s="445"/>
      <c r="DVI100" s="414"/>
      <c r="DVL100" s="445"/>
      <c r="DVM100" s="414"/>
      <c r="DVP100" s="445"/>
      <c r="DVQ100" s="414"/>
      <c r="DVT100" s="445"/>
      <c r="DVU100" s="414"/>
      <c r="DVX100" s="445"/>
      <c r="DVY100" s="414"/>
      <c r="DWB100" s="445"/>
      <c r="DWC100" s="414"/>
      <c r="DWF100" s="445"/>
      <c r="DWG100" s="414"/>
      <c r="DWJ100" s="445"/>
      <c r="DWK100" s="414"/>
      <c r="DWN100" s="445"/>
      <c r="DWO100" s="414"/>
      <c r="DWR100" s="445"/>
      <c r="DWS100" s="414"/>
      <c r="DWV100" s="445"/>
      <c r="DWW100" s="414"/>
      <c r="DWZ100" s="445"/>
      <c r="DXA100" s="414"/>
      <c r="DXD100" s="445"/>
      <c r="DXE100" s="414"/>
      <c r="DXH100" s="445"/>
      <c r="DXI100" s="414"/>
      <c r="DXL100" s="445"/>
      <c r="DXM100" s="414"/>
      <c r="DXP100" s="445"/>
      <c r="DXQ100" s="414"/>
      <c r="DXT100" s="445"/>
      <c r="DXU100" s="414"/>
      <c r="DXX100" s="445"/>
      <c r="DXY100" s="414"/>
      <c r="DYB100" s="445"/>
      <c r="DYC100" s="414"/>
      <c r="DYF100" s="445"/>
      <c r="DYG100" s="414"/>
      <c r="DYJ100" s="445"/>
      <c r="DYK100" s="414"/>
      <c r="DYN100" s="445"/>
      <c r="DYO100" s="414"/>
      <c r="DYR100" s="445"/>
      <c r="DYS100" s="414"/>
      <c r="DYV100" s="445"/>
      <c r="DYW100" s="414"/>
      <c r="DYZ100" s="445"/>
      <c r="DZA100" s="414"/>
      <c r="DZD100" s="445"/>
      <c r="DZE100" s="414"/>
      <c r="DZH100" s="445"/>
      <c r="DZI100" s="414"/>
      <c r="DZL100" s="445"/>
      <c r="DZM100" s="414"/>
      <c r="DZP100" s="445"/>
      <c r="DZQ100" s="414"/>
      <c r="DZT100" s="445"/>
      <c r="DZU100" s="414"/>
      <c r="DZX100" s="445"/>
      <c r="DZY100" s="414"/>
      <c r="EAB100" s="445"/>
      <c r="EAC100" s="414"/>
      <c r="EAF100" s="445"/>
      <c r="EAG100" s="414"/>
      <c r="EAJ100" s="445"/>
      <c r="EAK100" s="414"/>
      <c r="EAN100" s="445"/>
      <c r="EAO100" s="414"/>
      <c r="EAR100" s="445"/>
      <c r="EAS100" s="414"/>
      <c r="EAV100" s="445"/>
      <c r="EAW100" s="414"/>
      <c r="EAZ100" s="445"/>
      <c r="EBA100" s="414"/>
      <c r="EBD100" s="445"/>
      <c r="EBE100" s="414"/>
      <c r="EBH100" s="445"/>
      <c r="EBI100" s="414"/>
      <c r="EBL100" s="445"/>
      <c r="EBM100" s="414"/>
      <c r="EBP100" s="445"/>
      <c r="EBQ100" s="414"/>
      <c r="EBT100" s="445"/>
      <c r="EBU100" s="414"/>
      <c r="EBX100" s="445"/>
      <c r="EBY100" s="414"/>
      <c r="ECB100" s="445"/>
      <c r="ECC100" s="414"/>
      <c r="ECF100" s="445"/>
      <c r="ECG100" s="414"/>
      <c r="ECJ100" s="445"/>
      <c r="ECK100" s="414"/>
      <c r="ECN100" s="445"/>
      <c r="ECO100" s="414"/>
      <c r="ECR100" s="445"/>
      <c r="ECS100" s="414"/>
      <c r="ECV100" s="445"/>
      <c r="ECW100" s="414"/>
      <c r="ECZ100" s="445"/>
      <c r="EDA100" s="414"/>
      <c r="EDD100" s="445"/>
      <c r="EDE100" s="414"/>
      <c r="EDH100" s="445"/>
      <c r="EDI100" s="414"/>
      <c r="EDL100" s="445"/>
      <c r="EDM100" s="414"/>
      <c r="EDP100" s="445"/>
      <c r="EDQ100" s="414"/>
      <c r="EDT100" s="445"/>
      <c r="EDU100" s="414"/>
      <c r="EDX100" s="445"/>
      <c r="EDY100" s="414"/>
      <c r="EEB100" s="445"/>
      <c r="EEC100" s="414"/>
      <c r="EEF100" s="445"/>
      <c r="EEG100" s="414"/>
      <c r="EEJ100" s="445"/>
      <c r="EEK100" s="414"/>
      <c r="EEN100" s="445"/>
      <c r="EEO100" s="414"/>
      <c r="EER100" s="445"/>
      <c r="EES100" s="414"/>
      <c r="EEV100" s="445"/>
      <c r="EEW100" s="414"/>
      <c r="EEZ100" s="445"/>
      <c r="EFA100" s="414"/>
      <c r="EFD100" s="445"/>
      <c r="EFE100" s="414"/>
      <c r="EFH100" s="445"/>
      <c r="EFI100" s="414"/>
      <c r="EFL100" s="445"/>
      <c r="EFM100" s="414"/>
      <c r="EFP100" s="445"/>
      <c r="EFQ100" s="414"/>
      <c r="EFT100" s="445"/>
      <c r="EFU100" s="414"/>
      <c r="EFX100" s="445"/>
      <c r="EFY100" s="414"/>
      <c r="EGB100" s="445"/>
      <c r="EGC100" s="414"/>
      <c r="EGF100" s="445"/>
      <c r="EGG100" s="414"/>
      <c r="EGJ100" s="445"/>
      <c r="EGK100" s="414"/>
      <c r="EGN100" s="445"/>
      <c r="EGO100" s="414"/>
      <c r="EGR100" s="445"/>
      <c r="EGS100" s="414"/>
      <c r="EGV100" s="445"/>
      <c r="EGW100" s="414"/>
      <c r="EGZ100" s="445"/>
      <c r="EHA100" s="414"/>
      <c r="EHD100" s="445"/>
      <c r="EHE100" s="414"/>
      <c r="EHH100" s="445"/>
      <c r="EHI100" s="414"/>
      <c r="EHL100" s="445"/>
      <c r="EHM100" s="414"/>
      <c r="EHP100" s="445"/>
      <c r="EHQ100" s="414"/>
      <c r="EHT100" s="445"/>
      <c r="EHU100" s="414"/>
      <c r="EHX100" s="445"/>
      <c r="EHY100" s="414"/>
      <c r="EIB100" s="445"/>
      <c r="EIC100" s="414"/>
      <c r="EIF100" s="445"/>
      <c r="EIG100" s="414"/>
      <c r="EIJ100" s="445"/>
      <c r="EIK100" s="414"/>
      <c r="EIN100" s="445"/>
      <c r="EIO100" s="414"/>
      <c r="EIR100" s="445"/>
      <c r="EIS100" s="414"/>
      <c r="EIV100" s="445"/>
      <c r="EIW100" s="414"/>
      <c r="EIZ100" s="445"/>
      <c r="EJA100" s="414"/>
      <c r="EJD100" s="445"/>
      <c r="EJE100" s="414"/>
      <c r="EJH100" s="445"/>
      <c r="EJI100" s="414"/>
      <c r="EJL100" s="445"/>
      <c r="EJM100" s="414"/>
      <c r="EJP100" s="445"/>
      <c r="EJQ100" s="414"/>
      <c r="EJT100" s="445"/>
      <c r="EJU100" s="414"/>
      <c r="EJX100" s="445"/>
      <c r="EJY100" s="414"/>
      <c r="EKB100" s="445"/>
      <c r="EKC100" s="414"/>
      <c r="EKF100" s="445"/>
      <c r="EKG100" s="414"/>
      <c r="EKJ100" s="445"/>
      <c r="EKK100" s="414"/>
      <c r="EKN100" s="445"/>
      <c r="EKO100" s="414"/>
      <c r="EKR100" s="445"/>
      <c r="EKS100" s="414"/>
      <c r="EKV100" s="445"/>
      <c r="EKW100" s="414"/>
      <c r="EKZ100" s="445"/>
      <c r="ELA100" s="414"/>
      <c r="ELD100" s="445"/>
      <c r="ELE100" s="414"/>
      <c r="ELH100" s="445"/>
      <c r="ELI100" s="414"/>
      <c r="ELL100" s="445"/>
      <c r="ELM100" s="414"/>
      <c r="ELP100" s="445"/>
      <c r="ELQ100" s="414"/>
      <c r="ELT100" s="445"/>
      <c r="ELU100" s="414"/>
      <c r="ELX100" s="445"/>
      <c r="ELY100" s="414"/>
      <c r="EMB100" s="445"/>
      <c r="EMC100" s="414"/>
      <c r="EMF100" s="445"/>
      <c r="EMG100" s="414"/>
      <c r="EMJ100" s="445"/>
      <c r="EMK100" s="414"/>
      <c r="EMN100" s="445"/>
      <c r="EMO100" s="414"/>
      <c r="EMR100" s="445"/>
      <c r="EMS100" s="414"/>
      <c r="EMV100" s="445"/>
      <c r="EMW100" s="414"/>
      <c r="EMZ100" s="445"/>
      <c r="ENA100" s="414"/>
      <c r="END100" s="445"/>
      <c r="ENE100" s="414"/>
      <c r="ENH100" s="445"/>
      <c r="ENI100" s="414"/>
      <c r="ENL100" s="445"/>
      <c r="ENM100" s="414"/>
      <c r="ENP100" s="445"/>
      <c r="ENQ100" s="414"/>
      <c r="ENT100" s="445"/>
      <c r="ENU100" s="414"/>
      <c r="ENX100" s="445"/>
      <c r="ENY100" s="414"/>
      <c r="EOB100" s="445"/>
      <c r="EOC100" s="414"/>
      <c r="EOF100" s="445"/>
      <c r="EOG100" s="414"/>
      <c r="EOJ100" s="445"/>
      <c r="EOK100" s="414"/>
      <c r="EON100" s="445"/>
      <c r="EOO100" s="414"/>
      <c r="EOR100" s="445"/>
      <c r="EOS100" s="414"/>
      <c r="EOV100" s="445"/>
      <c r="EOW100" s="414"/>
      <c r="EOZ100" s="445"/>
      <c r="EPA100" s="414"/>
      <c r="EPD100" s="445"/>
      <c r="EPE100" s="414"/>
      <c r="EPH100" s="445"/>
      <c r="EPI100" s="414"/>
      <c r="EPL100" s="445"/>
      <c r="EPM100" s="414"/>
      <c r="EPP100" s="445"/>
      <c r="EPQ100" s="414"/>
      <c r="EPT100" s="445"/>
      <c r="EPU100" s="414"/>
      <c r="EPX100" s="445"/>
      <c r="EPY100" s="414"/>
      <c r="EQB100" s="445"/>
      <c r="EQC100" s="414"/>
      <c r="EQF100" s="445"/>
      <c r="EQG100" s="414"/>
      <c r="EQJ100" s="445"/>
      <c r="EQK100" s="414"/>
      <c r="EQN100" s="445"/>
      <c r="EQO100" s="414"/>
      <c r="EQR100" s="445"/>
      <c r="EQS100" s="414"/>
      <c r="EQV100" s="445"/>
      <c r="EQW100" s="414"/>
      <c r="EQZ100" s="445"/>
      <c r="ERA100" s="414"/>
      <c r="ERD100" s="445"/>
      <c r="ERE100" s="414"/>
      <c r="ERH100" s="445"/>
      <c r="ERI100" s="414"/>
      <c r="ERL100" s="445"/>
      <c r="ERM100" s="414"/>
      <c r="ERP100" s="445"/>
      <c r="ERQ100" s="414"/>
      <c r="ERT100" s="445"/>
      <c r="ERU100" s="414"/>
      <c r="ERX100" s="445"/>
      <c r="ERY100" s="414"/>
      <c r="ESB100" s="445"/>
      <c r="ESC100" s="414"/>
      <c r="ESF100" s="445"/>
      <c r="ESG100" s="414"/>
      <c r="ESJ100" s="445"/>
      <c r="ESK100" s="414"/>
      <c r="ESN100" s="445"/>
      <c r="ESO100" s="414"/>
      <c r="ESR100" s="445"/>
      <c r="ESS100" s="414"/>
      <c r="ESV100" s="445"/>
      <c r="ESW100" s="414"/>
      <c r="ESZ100" s="445"/>
      <c r="ETA100" s="414"/>
      <c r="ETD100" s="445"/>
      <c r="ETE100" s="414"/>
      <c r="ETH100" s="445"/>
      <c r="ETI100" s="414"/>
      <c r="ETL100" s="445"/>
      <c r="ETM100" s="414"/>
      <c r="ETP100" s="445"/>
      <c r="ETQ100" s="414"/>
      <c r="ETT100" s="445"/>
      <c r="ETU100" s="414"/>
      <c r="ETX100" s="445"/>
      <c r="ETY100" s="414"/>
      <c r="EUB100" s="445"/>
      <c r="EUC100" s="414"/>
      <c r="EUF100" s="445"/>
      <c r="EUG100" s="414"/>
      <c r="EUJ100" s="445"/>
      <c r="EUK100" s="414"/>
      <c r="EUN100" s="445"/>
      <c r="EUO100" s="414"/>
      <c r="EUR100" s="445"/>
      <c r="EUS100" s="414"/>
      <c r="EUV100" s="445"/>
      <c r="EUW100" s="414"/>
      <c r="EUZ100" s="445"/>
      <c r="EVA100" s="414"/>
      <c r="EVD100" s="445"/>
      <c r="EVE100" s="414"/>
      <c r="EVH100" s="445"/>
      <c r="EVI100" s="414"/>
      <c r="EVL100" s="445"/>
      <c r="EVM100" s="414"/>
      <c r="EVP100" s="445"/>
      <c r="EVQ100" s="414"/>
      <c r="EVT100" s="445"/>
      <c r="EVU100" s="414"/>
      <c r="EVX100" s="445"/>
      <c r="EVY100" s="414"/>
      <c r="EWB100" s="445"/>
      <c r="EWC100" s="414"/>
      <c r="EWF100" s="445"/>
      <c r="EWG100" s="414"/>
      <c r="EWJ100" s="445"/>
      <c r="EWK100" s="414"/>
      <c r="EWN100" s="445"/>
      <c r="EWO100" s="414"/>
      <c r="EWR100" s="445"/>
      <c r="EWS100" s="414"/>
      <c r="EWV100" s="445"/>
      <c r="EWW100" s="414"/>
      <c r="EWZ100" s="445"/>
      <c r="EXA100" s="414"/>
      <c r="EXD100" s="445"/>
      <c r="EXE100" s="414"/>
      <c r="EXH100" s="445"/>
      <c r="EXI100" s="414"/>
      <c r="EXL100" s="445"/>
      <c r="EXM100" s="414"/>
      <c r="EXP100" s="445"/>
      <c r="EXQ100" s="414"/>
      <c r="EXT100" s="445"/>
      <c r="EXU100" s="414"/>
      <c r="EXX100" s="445"/>
      <c r="EXY100" s="414"/>
      <c r="EYB100" s="445"/>
      <c r="EYC100" s="414"/>
      <c r="EYF100" s="445"/>
      <c r="EYG100" s="414"/>
      <c r="EYJ100" s="445"/>
      <c r="EYK100" s="414"/>
      <c r="EYN100" s="445"/>
      <c r="EYO100" s="414"/>
      <c r="EYR100" s="445"/>
      <c r="EYS100" s="414"/>
      <c r="EYV100" s="445"/>
      <c r="EYW100" s="414"/>
      <c r="EYZ100" s="445"/>
      <c r="EZA100" s="414"/>
      <c r="EZD100" s="445"/>
      <c r="EZE100" s="414"/>
      <c r="EZH100" s="445"/>
      <c r="EZI100" s="414"/>
      <c r="EZL100" s="445"/>
      <c r="EZM100" s="414"/>
      <c r="EZP100" s="445"/>
      <c r="EZQ100" s="414"/>
      <c r="EZT100" s="445"/>
      <c r="EZU100" s="414"/>
      <c r="EZX100" s="445"/>
      <c r="EZY100" s="414"/>
      <c r="FAB100" s="445"/>
      <c r="FAC100" s="414"/>
      <c r="FAF100" s="445"/>
      <c r="FAG100" s="414"/>
      <c r="FAJ100" s="445"/>
      <c r="FAK100" s="414"/>
      <c r="FAN100" s="445"/>
      <c r="FAO100" s="414"/>
      <c r="FAR100" s="445"/>
      <c r="FAS100" s="414"/>
      <c r="FAV100" s="445"/>
      <c r="FAW100" s="414"/>
      <c r="FAZ100" s="445"/>
      <c r="FBA100" s="414"/>
      <c r="FBD100" s="445"/>
      <c r="FBE100" s="414"/>
      <c r="FBH100" s="445"/>
      <c r="FBI100" s="414"/>
      <c r="FBL100" s="445"/>
      <c r="FBM100" s="414"/>
      <c r="FBP100" s="445"/>
      <c r="FBQ100" s="414"/>
      <c r="FBT100" s="445"/>
      <c r="FBU100" s="414"/>
      <c r="FBX100" s="445"/>
      <c r="FBY100" s="414"/>
      <c r="FCB100" s="445"/>
      <c r="FCC100" s="414"/>
      <c r="FCF100" s="445"/>
      <c r="FCG100" s="414"/>
      <c r="FCJ100" s="445"/>
      <c r="FCK100" s="414"/>
      <c r="FCN100" s="445"/>
      <c r="FCO100" s="414"/>
      <c r="FCR100" s="445"/>
      <c r="FCS100" s="414"/>
      <c r="FCV100" s="445"/>
      <c r="FCW100" s="414"/>
      <c r="FCZ100" s="445"/>
      <c r="FDA100" s="414"/>
      <c r="FDD100" s="445"/>
      <c r="FDE100" s="414"/>
      <c r="FDH100" s="445"/>
      <c r="FDI100" s="414"/>
      <c r="FDL100" s="445"/>
      <c r="FDM100" s="414"/>
      <c r="FDP100" s="445"/>
      <c r="FDQ100" s="414"/>
      <c r="FDT100" s="445"/>
      <c r="FDU100" s="414"/>
      <c r="FDX100" s="445"/>
      <c r="FDY100" s="414"/>
      <c r="FEB100" s="445"/>
      <c r="FEC100" s="414"/>
      <c r="FEF100" s="445"/>
      <c r="FEG100" s="414"/>
      <c r="FEJ100" s="445"/>
      <c r="FEK100" s="414"/>
      <c r="FEN100" s="445"/>
      <c r="FEO100" s="414"/>
      <c r="FER100" s="445"/>
      <c r="FES100" s="414"/>
      <c r="FEV100" s="445"/>
      <c r="FEW100" s="414"/>
      <c r="FEZ100" s="445"/>
      <c r="FFA100" s="414"/>
      <c r="FFD100" s="445"/>
      <c r="FFE100" s="414"/>
      <c r="FFH100" s="445"/>
      <c r="FFI100" s="414"/>
      <c r="FFL100" s="445"/>
      <c r="FFM100" s="414"/>
      <c r="FFP100" s="445"/>
      <c r="FFQ100" s="414"/>
      <c r="FFT100" s="445"/>
      <c r="FFU100" s="414"/>
      <c r="FFX100" s="445"/>
      <c r="FFY100" s="414"/>
      <c r="FGB100" s="445"/>
      <c r="FGC100" s="414"/>
      <c r="FGF100" s="445"/>
      <c r="FGG100" s="414"/>
      <c r="FGJ100" s="445"/>
      <c r="FGK100" s="414"/>
      <c r="FGN100" s="445"/>
      <c r="FGO100" s="414"/>
      <c r="FGR100" s="445"/>
      <c r="FGS100" s="414"/>
      <c r="FGV100" s="445"/>
      <c r="FGW100" s="414"/>
      <c r="FGZ100" s="445"/>
      <c r="FHA100" s="414"/>
      <c r="FHD100" s="445"/>
      <c r="FHE100" s="414"/>
      <c r="FHH100" s="445"/>
      <c r="FHI100" s="414"/>
      <c r="FHL100" s="445"/>
      <c r="FHM100" s="414"/>
      <c r="FHP100" s="445"/>
      <c r="FHQ100" s="414"/>
      <c r="FHT100" s="445"/>
      <c r="FHU100" s="414"/>
      <c r="FHX100" s="445"/>
      <c r="FHY100" s="414"/>
      <c r="FIB100" s="445"/>
      <c r="FIC100" s="414"/>
      <c r="FIF100" s="445"/>
      <c r="FIG100" s="414"/>
      <c r="FIJ100" s="445"/>
      <c r="FIK100" s="414"/>
      <c r="FIN100" s="445"/>
      <c r="FIO100" s="414"/>
      <c r="FIR100" s="445"/>
      <c r="FIS100" s="414"/>
      <c r="FIV100" s="445"/>
      <c r="FIW100" s="414"/>
      <c r="FIZ100" s="445"/>
      <c r="FJA100" s="414"/>
      <c r="FJD100" s="445"/>
      <c r="FJE100" s="414"/>
      <c r="FJH100" s="445"/>
      <c r="FJI100" s="414"/>
      <c r="FJL100" s="445"/>
      <c r="FJM100" s="414"/>
      <c r="FJP100" s="445"/>
      <c r="FJQ100" s="414"/>
      <c r="FJT100" s="445"/>
      <c r="FJU100" s="414"/>
      <c r="FJX100" s="445"/>
      <c r="FJY100" s="414"/>
      <c r="FKB100" s="445"/>
      <c r="FKC100" s="414"/>
      <c r="FKF100" s="445"/>
      <c r="FKG100" s="414"/>
      <c r="FKJ100" s="445"/>
      <c r="FKK100" s="414"/>
      <c r="FKN100" s="445"/>
      <c r="FKO100" s="414"/>
      <c r="FKR100" s="445"/>
      <c r="FKS100" s="414"/>
      <c r="FKV100" s="445"/>
      <c r="FKW100" s="414"/>
      <c r="FKZ100" s="445"/>
      <c r="FLA100" s="414"/>
      <c r="FLD100" s="445"/>
      <c r="FLE100" s="414"/>
      <c r="FLH100" s="445"/>
      <c r="FLI100" s="414"/>
      <c r="FLL100" s="445"/>
      <c r="FLM100" s="414"/>
      <c r="FLP100" s="445"/>
      <c r="FLQ100" s="414"/>
      <c r="FLT100" s="445"/>
      <c r="FLU100" s="414"/>
      <c r="FLX100" s="445"/>
      <c r="FLY100" s="414"/>
      <c r="FMB100" s="445"/>
      <c r="FMC100" s="414"/>
      <c r="FMF100" s="445"/>
      <c r="FMG100" s="414"/>
      <c r="FMJ100" s="445"/>
      <c r="FMK100" s="414"/>
      <c r="FMN100" s="445"/>
      <c r="FMO100" s="414"/>
      <c r="FMR100" s="445"/>
      <c r="FMS100" s="414"/>
      <c r="FMV100" s="445"/>
      <c r="FMW100" s="414"/>
      <c r="FMZ100" s="445"/>
      <c r="FNA100" s="414"/>
      <c r="FND100" s="445"/>
      <c r="FNE100" s="414"/>
      <c r="FNH100" s="445"/>
      <c r="FNI100" s="414"/>
      <c r="FNL100" s="445"/>
      <c r="FNM100" s="414"/>
      <c r="FNP100" s="445"/>
      <c r="FNQ100" s="414"/>
      <c r="FNT100" s="445"/>
      <c r="FNU100" s="414"/>
      <c r="FNX100" s="445"/>
      <c r="FNY100" s="414"/>
      <c r="FOB100" s="445"/>
      <c r="FOC100" s="414"/>
      <c r="FOF100" s="445"/>
      <c r="FOG100" s="414"/>
      <c r="FOJ100" s="445"/>
      <c r="FOK100" s="414"/>
      <c r="FON100" s="445"/>
      <c r="FOO100" s="414"/>
      <c r="FOR100" s="445"/>
      <c r="FOS100" s="414"/>
      <c r="FOV100" s="445"/>
      <c r="FOW100" s="414"/>
      <c r="FOZ100" s="445"/>
      <c r="FPA100" s="414"/>
      <c r="FPD100" s="445"/>
      <c r="FPE100" s="414"/>
      <c r="FPH100" s="445"/>
      <c r="FPI100" s="414"/>
      <c r="FPL100" s="445"/>
      <c r="FPM100" s="414"/>
      <c r="FPP100" s="445"/>
      <c r="FPQ100" s="414"/>
      <c r="FPT100" s="445"/>
      <c r="FPU100" s="414"/>
      <c r="FPX100" s="445"/>
      <c r="FPY100" s="414"/>
      <c r="FQB100" s="445"/>
      <c r="FQC100" s="414"/>
      <c r="FQF100" s="445"/>
      <c r="FQG100" s="414"/>
      <c r="FQJ100" s="445"/>
      <c r="FQK100" s="414"/>
      <c r="FQN100" s="445"/>
      <c r="FQO100" s="414"/>
      <c r="FQR100" s="445"/>
      <c r="FQS100" s="414"/>
      <c r="FQV100" s="445"/>
      <c r="FQW100" s="414"/>
      <c r="FQZ100" s="445"/>
      <c r="FRA100" s="414"/>
      <c r="FRD100" s="445"/>
      <c r="FRE100" s="414"/>
      <c r="FRH100" s="445"/>
      <c r="FRI100" s="414"/>
      <c r="FRL100" s="445"/>
      <c r="FRM100" s="414"/>
      <c r="FRP100" s="445"/>
      <c r="FRQ100" s="414"/>
      <c r="FRT100" s="445"/>
      <c r="FRU100" s="414"/>
      <c r="FRX100" s="445"/>
      <c r="FRY100" s="414"/>
      <c r="FSB100" s="445"/>
      <c r="FSC100" s="414"/>
      <c r="FSF100" s="445"/>
      <c r="FSG100" s="414"/>
      <c r="FSJ100" s="445"/>
      <c r="FSK100" s="414"/>
      <c r="FSN100" s="445"/>
      <c r="FSO100" s="414"/>
      <c r="FSR100" s="445"/>
      <c r="FSS100" s="414"/>
      <c r="FSV100" s="445"/>
      <c r="FSW100" s="414"/>
      <c r="FSZ100" s="445"/>
      <c r="FTA100" s="414"/>
      <c r="FTD100" s="445"/>
      <c r="FTE100" s="414"/>
      <c r="FTH100" s="445"/>
      <c r="FTI100" s="414"/>
      <c r="FTL100" s="445"/>
      <c r="FTM100" s="414"/>
      <c r="FTP100" s="445"/>
      <c r="FTQ100" s="414"/>
      <c r="FTT100" s="445"/>
      <c r="FTU100" s="414"/>
      <c r="FTX100" s="445"/>
      <c r="FTY100" s="414"/>
      <c r="FUB100" s="445"/>
      <c r="FUC100" s="414"/>
      <c r="FUF100" s="445"/>
      <c r="FUG100" s="414"/>
      <c r="FUJ100" s="445"/>
      <c r="FUK100" s="414"/>
      <c r="FUN100" s="445"/>
      <c r="FUO100" s="414"/>
      <c r="FUR100" s="445"/>
      <c r="FUS100" s="414"/>
      <c r="FUV100" s="445"/>
      <c r="FUW100" s="414"/>
      <c r="FUZ100" s="445"/>
      <c r="FVA100" s="414"/>
      <c r="FVD100" s="445"/>
      <c r="FVE100" s="414"/>
      <c r="FVH100" s="445"/>
      <c r="FVI100" s="414"/>
      <c r="FVL100" s="445"/>
      <c r="FVM100" s="414"/>
      <c r="FVP100" s="445"/>
      <c r="FVQ100" s="414"/>
      <c r="FVT100" s="445"/>
      <c r="FVU100" s="414"/>
      <c r="FVX100" s="445"/>
      <c r="FVY100" s="414"/>
      <c r="FWB100" s="445"/>
      <c r="FWC100" s="414"/>
      <c r="FWF100" s="445"/>
      <c r="FWG100" s="414"/>
      <c r="FWJ100" s="445"/>
      <c r="FWK100" s="414"/>
      <c r="FWN100" s="445"/>
      <c r="FWO100" s="414"/>
      <c r="FWR100" s="445"/>
      <c r="FWS100" s="414"/>
      <c r="FWV100" s="445"/>
      <c r="FWW100" s="414"/>
      <c r="FWZ100" s="445"/>
      <c r="FXA100" s="414"/>
      <c r="FXD100" s="445"/>
      <c r="FXE100" s="414"/>
      <c r="FXH100" s="445"/>
      <c r="FXI100" s="414"/>
      <c r="FXL100" s="445"/>
      <c r="FXM100" s="414"/>
      <c r="FXP100" s="445"/>
      <c r="FXQ100" s="414"/>
      <c r="FXT100" s="445"/>
      <c r="FXU100" s="414"/>
      <c r="FXX100" s="445"/>
      <c r="FXY100" s="414"/>
      <c r="FYB100" s="445"/>
      <c r="FYC100" s="414"/>
      <c r="FYF100" s="445"/>
      <c r="FYG100" s="414"/>
      <c r="FYJ100" s="445"/>
      <c r="FYK100" s="414"/>
      <c r="FYN100" s="445"/>
      <c r="FYO100" s="414"/>
      <c r="FYR100" s="445"/>
      <c r="FYS100" s="414"/>
      <c r="FYV100" s="445"/>
      <c r="FYW100" s="414"/>
      <c r="FYZ100" s="445"/>
      <c r="FZA100" s="414"/>
      <c r="FZD100" s="445"/>
      <c r="FZE100" s="414"/>
      <c r="FZH100" s="445"/>
      <c r="FZI100" s="414"/>
      <c r="FZL100" s="445"/>
      <c r="FZM100" s="414"/>
      <c r="FZP100" s="445"/>
      <c r="FZQ100" s="414"/>
      <c r="FZT100" s="445"/>
      <c r="FZU100" s="414"/>
      <c r="FZX100" s="445"/>
      <c r="FZY100" s="414"/>
      <c r="GAB100" s="445"/>
      <c r="GAC100" s="414"/>
      <c r="GAF100" s="445"/>
      <c r="GAG100" s="414"/>
      <c r="GAJ100" s="445"/>
      <c r="GAK100" s="414"/>
      <c r="GAN100" s="445"/>
      <c r="GAO100" s="414"/>
      <c r="GAR100" s="445"/>
      <c r="GAS100" s="414"/>
      <c r="GAV100" s="445"/>
      <c r="GAW100" s="414"/>
      <c r="GAZ100" s="445"/>
      <c r="GBA100" s="414"/>
      <c r="GBD100" s="445"/>
      <c r="GBE100" s="414"/>
      <c r="GBH100" s="445"/>
      <c r="GBI100" s="414"/>
      <c r="GBL100" s="445"/>
      <c r="GBM100" s="414"/>
      <c r="GBP100" s="445"/>
      <c r="GBQ100" s="414"/>
      <c r="GBT100" s="445"/>
      <c r="GBU100" s="414"/>
      <c r="GBX100" s="445"/>
      <c r="GBY100" s="414"/>
      <c r="GCB100" s="445"/>
      <c r="GCC100" s="414"/>
      <c r="GCF100" s="445"/>
      <c r="GCG100" s="414"/>
      <c r="GCJ100" s="445"/>
      <c r="GCK100" s="414"/>
      <c r="GCN100" s="445"/>
      <c r="GCO100" s="414"/>
      <c r="GCR100" s="445"/>
      <c r="GCS100" s="414"/>
      <c r="GCV100" s="445"/>
      <c r="GCW100" s="414"/>
      <c r="GCZ100" s="445"/>
      <c r="GDA100" s="414"/>
      <c r="GDD100" s="445"/>
      <c r="GDE100" s="414"/>
      <c r="GDH100" s="445"/>
      <c r="GDI100" s="414"/>
      <c r="GDL100" s="445"/>
      <c r="GDM100" s="414"/>
      <c r="GDP100" s="445"/>
      <c r="GDQ100" s="414"/>
      <c r="GDT100" s="445"/>
      <c r="GDU100" s="414"/>
      <c r="GDX100" s="445"/>
      <c r="GDY100" s="414"/>
      <c r="GEB100" s="445"/>
      <c r="GEC100" s="414"/>
      <c r="GEF100" s="445"/>
      <c r="GEG100" s="414"/>
      <c r="GEJ100" s="445"/>
      <c r="GEK100" s="414"/>
      <c r="GEN100" s="445"/>
      <c r="GEO100" s="414"/>
      <c r="GER100" s="445"/>
      <c r="GES100" s="414"/>
      <c r="GEV100" s="445"/>
      <c r="GEW100" s="414"/>
      <c r="GEZ100" s="445"/>
      <c r="GFA100" s="414"/>
      <c r="GFD100" s="445"/>
      <c r="GFE100" s="414"/>
      <c r="GFH100" s="445"/>
      <c r="GFI100" s="414"/>
      <c r="GFL100" s="445"/>
      <c r="GFM100" s="414"/>
      <c r="GFP100" s="445"/>
      <c r="GFQ100" s="414"/>
      <c r="GFT100" s="445"/>
      <c r="GFU100" s="414"/>
      <c r="GFX100" s="445"/>
      <c r="GFY100" s="414"/>
      <c r="GGB100" s="445"/>
      <c r="GGC100" s="414"/>
      <c r="GGF100" s="445"/>
      <c r="GGG100" s="414"/>
      <c r="GGJ100" s="445"/>
      <c r="GGK100" s="414"/>
      <c r="GGN100" s="445"/>
      <c r="GGO100" s="414"/>
      <c r="GGR100" s="445"/>
      <c r="GGS100" s="414"/>
      <c r="GGV100" s="445"/>
      <c r="GGW100" s="414"/>
      <c r="GGZ100" s="445"/>
      <c r="GHA100" s="414"/>
      <c r="GHD100" s="445"/>
      <c r="GHE100" s="414"/>
      <c r="GHH100" s="445"/>
      <c r="GHI100" s="414"/>
      <c r="GHL100" s="445"/>
      <c r="GHM100" s="414"/>
      <c r="GHP100" s="445"/>
      <c r="GHQ100" s="414"/>
      <c r="GHT100" s="445"/>
      <c r="GHU100" s="414"/>
      <c r="GHX100" s="445"/>
      <c r="GHY100" s="414"/>
      <c r="GIB100" s="445"/>
      <c r="GIC100" s="414"/>
      <c r="GIF100" s="445"/>
      <c r="GIG100" s="414"/>
      <c r="GIJ100" s="445"/>
      <c r="GIK100" s="414"/>
      <c r="GIN100" s="445"/>
      <c r="GIO100" s="414"/>
      <c r="GIR100" s="445"/>
      <c r="GIS100" s="414"/>
      <c r="GIV100" s="445"/>
      <c r="GIW100" s="414"/>
      <c r="GIZ100" s="445"/>
      <c r="GJA100" s="414"/>
      <c r="GJD100" s="445"/>
      <c r="GJE100" s="414"/>
      <c r="GJH100" s="445"/>
      <c r="GJI100" s="414"/>
      <c r="GJL100" s="445"/>
      <c r="GJM100" s="414"/>
      <c r="GJP100" s="445"/>
      <c r="GJQ100" s="414"/>
      <c r="GJT100" s="445"/>
      <c r="GJU100" s="414"/>
      <c r="GJX100" s="445"/>
      <c r="GJY100" s="414"/>
      <c r="GKB100" s="445"/>
      <c r="GKC100" s="414"/>
      <c r="GKF100" s="445"/>
      <c r="GKG100" s="414"/>
      <c r="GKJ100" s="445"/>
      <c r="GKK100" s="414"/>
      <c r="GKN100" s="445"/>
      <c r="GKO100" s="414"/>
      <c r="GKR100" s="445"/>
      <c r="GKS100" s="414"/>
      <c r="GKV100" s="445"/>
      <c r="GKW100" s="414"/>
      <c r="GKZ100" s="445"/>
      <c r="GLA100" s="414"/>
      <c r="GLD100" s="445"/>
      <c r="GLE100" s="414"/>
      <c r="GLH100" s="445"/>
      <c r="GLI100" s="414"/>
      <c r="GLL100" s="445"/>
      <c r="GLM100" s="414"/>
      <c r="GLP100" s="445"/>
      <c r="GLQ100" s="414"/>
      <c r="GLT100" s="445"/>
      <c r="GLU100" s="414"/>
      <c r="GLX100" s="445"/>
      <c r="GLY100" s="414"/>
      <c r="GMB100" s="445"/>
      <c r="GMC100" s="414"/>
      <c r="GMF100" s="445"/>
      <c r="GMG100" s="414"/>
      <c r="GMJ100" s="445"/>
      <c r="GMK100" s="414"/>
      <c r="GMN100" s="445"/>
      <c r="GMO100" s="414"/>
      <c r="GMR100" s="445"/>
      <c r="GMS100" s="414"/>
      <c r="GMV100" s="445"/>
      <c r="GMW100" s="414"/>
      <c r="GMZ100" s="445"/>
      <c r="GNA100" s="414"/>
      <c r="GND100" s="445"/>
      <c r="GNE100" s="414"/>
      <c r="GNH100" s="445"/>
      <c r="GNI100" s="414"/>
      <c r="GNL100" s="445"/>
      <c r="GNM100" s="414"/>
      <c r="GNP100" s="445"/>
      <c r="GNQ100" s="414"/>
      <c r="GNT100" s="445"/>
      <c r="GNU100" s="414"/>
      <c r="GNX100" s="445"/>
      <c r="GNY100" s="414"/>
      <c r="GOB100" s="445"/>
      <c r="GOC100" s="414"/>
      <c r="GOF100" s="445"/>
      <c r="GOG100" s="414"/>
      <c r="GOJ100" s="445"/>
      <c r="GOK100" s="414"/>
      <c r="GON100" s="445"/>
      <c r="GOO100" s="414"/>
      <c r="GOR100" s="445"/>
      <c r="GOS100" s="414"/>
      <c r="GOV100" s="445"/>
      <c r="GOW100" s="414"/>
      <c r="GOZ100" s="445"/>
      <c r="GPA100" s="414"/>
      <c r="GPD100" s="445"/>
      <c r="GPE100" s="414"/>
      <c r="GPH100" s="445"/>
      <c r="GPI100" s="414"/>
      <c r="GPL100" s="445"/>
      <c r="GPM100" s="414"/>
      <c r="GPP100" s="445"/>
      <c r="GPQ100" s="414"/>
      <c r="GPT100" s="445"/>
      <c r="GPU100" s="414"/>
      <c r="GPX100" s="445"/>
      <c r="GPY100" s="414"/>
      <c r="GQB100" s="445"/>
      <c r="GQC100" s="414"/>
      <c r="GQF100" s="445"/>
      <c r="GQG100" s="414"/>
      <c r="GQJ100" s="445"/>
      <c r="GQK100" s="414"/>
      <c r="GQN100" s="445"/>
      <c r="GQO100" s="414"/>
      <c r="GQR100" s="445"/>
      <c r="GQS100" s="414"/>
      <c r="GQV100" s="445"/>
      <c r="GQW100" s="414"/>
      <c r="GQZ100" s="445"/>
      <c r="GRA100" s="414"/>
      <c r="GRD100" s="445"/>
      <c r="GRE100" s="414"/>
      <c r="GRH100" s="445"/>
      <c r="GRI100" s="414"/>
      <c r="GRL100" s="445"/>
      <c r="GRM100" s="414"/>
      <c r="GRP100" s="445"/>
      <c r="GRQ100" s="414"/>
      <c r="GRT100" s="445"/>
      <c r="GRU100" s="414"/>
      <c r="GRX100" s="445"/>
      <c r="GRY100" s="414"/>
      <c r="GSB100" s="445"/>
      <c r="GSC100" s="414"/>
      <c r="GSF100" s="445"/>
      <c r="GSG100" s="414"/>
      <c r="GSJ100" s="445"/>
      <c r="GSK100" s="414"/>
      <c r="GSN100" s="445"/>
      <c r="GSO100" s="414"/>
      <c r="GSR100" s="445"/>
      <c r="GSS100" s="414"/>
      <c r="GSV100" s="445"/>
      <c r="GSW100" s="414"/>
      <c r="GSZ100" s="445"/>
      <c r="GTA100" s="414"/>
      <c r="GTD100" s="445"/>
      <c r="GTE100" s="414"/>
      <c r="GTH100" s="445"/>
      <c r="GTI100" s="414"/>
      <c r="GTL100" s="445"/>
      <c r="GTM100" s="414"/>
      <c r="GTP100" s="445"/>
      <c r="GTQ100" s="414"/>
      <c r="GTT100" s="445"/>
      <c r="GTU100" s="414"/>
      <c r="GTX100" s="445"/>
      <c r="GTY100" s="414"/>
      <c r="GUB100" s="445"/>
      <c r="GUC100" s="414"/>
      <c r="GUF100" s="445"/>
      <c r="GUG100" s="414"/>
      <c r="GUJ100" s="445"/>
      <c r="GUK100" s="414"/>
      <c r="GUN100" s="445"/>
      <c r="GUO100" s="414"/>
      <c r="GUR100" s="445"/>
      <c r="GUS100" s="414"/>
      <c r="GUV100" s="445"/>
      <c r="GUW100" s="414"/>
      <c r="GUZ100" s="445"/>
      <c r="GVA100" s="414"/>
      <c r="GVD100" s="445"/>
      <c r="GVE100" s="414"/>
      <c r="GVH100" s="445"/>
      <c r="GVI100" s="414"/>
      <c r="GVL100" s="445"/>
      <c r="GVM100" s="414"/>
      <c r="GVP100" s="445"/>
      <c r="GVQ100" s="414"/>
      <c r="GVT100" s="445"/>
      <c r="GVU100" s="414"/>
      <c r="GVX100" s="445"/>
      <c r="GVY100" s="414"/>
      <c r="GWB100" s="445"/>
      <c r="GWC100" s="414"/>
      <c r="GWF100" s="445"/>
      <c r="GWG100" s="414"/>
      <c r="GWJ100" s="445"/>
      <c r="GWK100" s="414"/>
      <c r="GWN100" s="445"/>
      <c r="GWO100" s="414"/>
      <c r="GWR100" s="445"/>
      <c r="GWS100" s="414"/>
      <c r="GWV100" s="445"/>
      <c r="GWW100" s="414"/>
      <c r="GWZ100" s="445"/>
      <c r="GXA100" s="414"/>
      <c r="GXD100" s="445"/>
      <c r="GXE100" s="414"/>
      <c r="GXH100" s="445"/>
      <c r="GXI100" s="414"/>
      <c r="GXL100" s="445"/>
      <c r="GXM100" s="414"/>
      <c r="GXP100" s="445"/>
      <c r="GXQ100" s="414"/>
      <c r="GXT100" s="445"/>
      <c r="GXU100" s="414"/>
      <c r="GXX100" s="445"/>
      <c r="GXY100" s="414"/>
      <c r="GYB100" s="445"/>
      <c r="GYC100" s="414"/>
      <c r="GYF100" s="445"/>
      <c r="GYG100" s="414"/>
      <c r="GYJ100" s="445"/>
      <c r="GYK100" s="414"/>
      <c r="GYN100" s="445"/>
      <c r="GYO100" s="414"/>
      <c r="GYR100" s="445"/>
      <c r="GYS100" s="414"/>
      <c r="GYV100" s="445"/>
      <c r="GYW100" s="414"/>
      <c r="GYZ100" s="445"/>
      <c r="GZA100" s="414"/>
      <c r="GZD100" s="445"/>
      <c r="GZE100" s="414"/>
      <c r="GZH100" s="445"/>
      <c r="GZI100" s="414"/>
      <c r="GZL100" s="445"/>
      <c r="GZM100" s="414"/>
      <c r="GZP100" s="445"/>
      <c r="GZQ100" s="414"/>
      <c r="GZT100" s="445"/>
      <c r="GZU100" s="414"/>
      <c r="GZX100" s="445"/>
      <c r="GZY100" s="414"/>
      <c r="HAB100" s="445"/>
      <c r="HAC100" s="414"/>
      <c r="HAF100" s="445"/>
      <c r="HAG100" s="414"/>
      <c r="HAJ100" s="445"/>
      <c r="HAK100" s="414"/>
      <c r="HAN100" s="445"/>
      <c r="HAO100" s="414"/>
      <c r="HAR100" s="445"/>
      <c r="HAS100" s="414"/>
      <c r="HAV100" s="445"/>
      <c r="HAW100" s="414"/>
      <c r="HAZ100" s="445"/>
      <c r="HBA100" s="414"/>
      <c r="HBD100" s="445"/>
      <c r="HBE100" s="414"/>
      <c r="HBH100" s="445"/>
      <c r="HBI100" s="414"/>
      <c r="HBL100" s="445"/>
      <c r="HBM100" s="414"/>
      <c r="HBP100" s="445"/>
      <c r="HBQ100" s="414"/>
      <c r="HBT100" s="445"/>
      <c r="HBU100" s="414"/>
      <c r="HBX100" s="445"/>
      <c r="HBY100" s="414"/>
      <c r="HCB100" s="445"/>
      <c r="HCC100" s="414"/>
      <c r="HCF100" s="445"/>
      <c r="HCG100" s="414"/>
      <c r="HCJ100" s="445"/>
      <c r="HCK100" s="414"/>
      <c r="HCN100" s="445"/>
      <c r="HCO100" s="414"/>
      <c r="HCR100" s="445"/>
      <c r="HCS100" s="414"/>
      <c r="HCV100" s="445"/>
      <c r="HCW100" s="414"/>
      <c r="HCZ100" s="445"/>
      <c r="HDA100" s="414"/>
      <c r="HDD100" s="445"/>
      <c r="HDE100" s="414"/>
      <c r="HDH100" s="445"/>
      <c r="HDI100" s="414"/>
      <c r="HDL100" s="445"/>
      <c r="HDM100" s="414"/>
      <c r="HDP100" s="445"/>
      <c r="HDQ100" s="414"/>
      <c r="HDT100" s="445"/>
      <c r="HDU100" s="414"/>
      <c r="HDX100" s="445"/>
      <c r="HDY100" s="414"/>
      <c r="HEB100" s="445"/>
      <c r="HEC100" s="414"/>
      <c r="HEF100" s="445"/>
      <c r="HEG100" s="414"/>
      <c r="HEJ100" s="445"/>
      <c r="HEK100" s="414"/>
      <c r="HEN100" s="445"/>
      <c r="HEO100" s="414"/>
      <c r="HER100" s="445"/>
      <c r="HES100" s="414"/>
      <c r="HEV100" s="445"/>
      <c r="HEW100" s="414"/>
      <c r="HEZ100" s="445"/>
      <c r="HFA100" s="414"/>
      <c r="HFD100" s="445"/>
      <c r="HFE100" s="414"/>
      <c r="HFH100" s="445"/>
      <c r="HFI100" s="414"/>
      <c r="HFL100" s="445"/>
      <c r="HFM100" s="414"/>
      <c r="HFP100" s="445"/>
      <c r="HFQ100" s="414"/>
      <c r="HFT100" s="445"/>
      <c r="HFU100" s="414"/>
      <c r="HFX100" s="445"/>
      <c r="HFY100" s="414"/>
      <c r="HGB100" s="445"/>
      <c r="HGC100" s="414"/>
      <c r="HGF100" s="445"/>
      <c r="HGG100" s="414"/>
      <c r="HGJ100" s="445"/>
      <c r="HGK100" s="414"/>
      <c r="HGN100" s="445"/>
      <c r="HGO100" s="414"/>
      <c r="HGR100" s="445"/>
      <c r="HGS100" s="414"/>
      <c r="HGV100" s="445"/>
      <c r="HGW100" s="414"/>
      <c r="HGZ100" s="445"/>
      <c r="HHA100" s="414"/>
      <c r="HHD100" s="445"/>
      <c r="HHE100" s="414"/>
      <c r="HHH100" s="445"/>
      <c r="HHI100" s="414"/>
      <c r="HHL100" s="445"/>
      <c r="HHM100" s="414"/>
      <c r="HHP100" s="445"/>
      <c r="HHQ100" s="414"/>
      <c r="HHT100" s="445"/>
      <c r="HHU100" s="414"/>
      <c r="HHX100" s="445"/>
      <c r="HHY100" s="414"/>
      <c r="HIB100" s="445"/>
      <c r="HIC100" s="414"/>
      <c r="HIF100" s="445"/>
      <c r="HIG100" s="414"/>
      <c r="HIJ100" s="445"/>
      <c r="HIK100" s="414"/>
      <c r="HIN100" s="445"/>
      <c r="HIO100" s="414"/>
      <c r="HIR100" s="445"/>
      <c r="HIS100" s="414"/>
      <c r="HIV100" s="445"/>
      <c r="HIW100" s="414"/>
      <c r="HIZ100" s="445"/>
      <c r="HJA100" s="414"/>
      <c r="HJD100" s="445"/>
      <c r="HJE100" s="414"/>
      <c r="HJH100" s="445"/>
      <c r="HJI100" s="414"/>
      <c r="HJL100" s="445"/>
      <c r="HJM100" s="414"/>
      <c r="HJP100" s="445"/>
      <c r="HJQ100" s="414"/>
      <c r="HJT100" s="445"/>
      <c r="HJU100" s="414"/>
      <c r="HJX100" s="445"/>
      <c r="HJY100" s="414"/>
      <c r="HKB100" s="445"/>
      <c r="HKC100" s="414"/>
      <c r="HKF100" s="445"/>
      <c r="HKG100" s="414"/>
      <c r="HKJ100" s="445"/>
      <c r="HKK100" s="414"/>
      <c r="HKN100" s="445"/>
      <c r="HKO100" s="414"/>
      <c r="HKR100" s="445"/>
      <c r="HKS100" s="414"/>
      <c r="HKV100" s="445"/>
      <c r="HKW100" s="414"/>
      <c r="HKZ100" s="445"/>
      <c r="HLA100" s="414"/>
      <c r="HLD100" s="445"/>
      <c r="HLE100" s="414"/>
      <c r="HLH100" s="445"/>
      <c r="HLI100" s="414"/>
      <c r="HLL100" s="445"/>
      <c r="HLM100" s="414"/>
      <c r="HLP100" s="445"/>
      <c r="HLQ100" s="414"/>
      <c r="HLT100" s="445"/>
      <c r="HLU100" s="414"/>
      <c r="HLX100" s="445"/>
      <c r="HLY100" s="414"/>
      <c r="HMB100" s="445"/>
      <c r="HMC100" s="414"/>
      <c r="HMF100" s="445"/>
      <c r="HMG100" s="414"/>
      <c r="HMJ100" s="445"/>
      <c r="HMK100" s="414"/>
      <c r="HMN100" s="445"/>
      <c r="HMO100" s="414"/>
      <c r="HMR100" s="445"/>
      <c r="HMS100" s="414"/>
      <c r="HMV100" s="445"/>
      <c r="HMW100" s="414"/>
      <c r="HMZ100" s="445"/>
      <c r="HNA100" s="414"/>
      <c r="HND100" s="445"/>
      <c r="HNE100" s="414"/>
      <c r="HNH100" s="445"/>
      <c r="HNI100" s="414"/>
      <c r="HNL100" s="445"/>
      <c r="HNM100" s="414"/>
      <c r="HNP100" s="445"/>
      <c r="HNQ100" s="414"/>
      <c r="HNT100" s="445"/>
      <c r="HNU100" s="414"/>
      <c r="HNX100" s="445"/>
      <c r="HNY100" s="414"/>
      <c r="HOB100" s="445"/>
      <c r="HOC100" s="414"/>
      <c r="HOF100" s="445"/>
      <c r="HOG100" s="414"/>
      <c r="HOJ100" s="445"/>
      <c r="HOK100" s="414"/>
      <c r="HON100" s="445"/>
      <c r="HOO100" s="414"/>
      <c r="HOR100" s="445"/>
      <c r="HOS100" s="414"/>
      <c r="HOV100" s="445"/>
      <c r="HOW100" s="414"/>
      <c r="HOZ100" s="445"/>
      <c r="HPA100" s="414"/>
      <c r="HPD100" s="445"/>
      <c r="HPE100" s="414"/>
      <c r="HPH100" s="445"/>
      <c r="HPI100" s="414"/>
      <c r="HPL100" s="445"/>
      <c r="HPM100" s="414"/>
      <c r="HPP100" s="445"/>
      <c r="HPQ100" s="414"/>
      <c r="HPT100" s="445"/>
      <c r="HPU100" s="414"/>
      <c r="HPX100" s="445"/>
      <c r="HPY100" s="414"/>
      <c r="HQB100" s="445"/>
      <c r="HQC100" s="414"/>
      <c r="HQF100" s="445"/>
      <c r="HQG100" s="414"/>
      <c r="HQJ100" s="445"/>
      <c r="HQK100" s="414"/>
      <c r="HQN100" s="445"/>
      <c r="HQO100" s="414"/>
      <c r="HQR100" s="445"/>
      <c r="HQS100" s="414"/>
      <c r="HQV100" s="445"/>
      <c r="HQW100" s="414"/>
      <c r="HQZ100" s="445"/>
      <c r="HRA100" s="414"/>
      <c r="HRD100" s="445"/>
      <c r="HRE100" s="414"/>
      <c r="HRH100" s="445"/>
      <c r="HRI100" s="414"/>
      <c r="HRL100" s="445"/>
      <c r="HRM100" s="414"/>
      <c r="HRP100" s="445"/>
      <c r="HRQ100" s="414"/>
      <c r="HRT100" s="445"/>
      <c r="HRU100" s="414"/>
      <c r="HRX100" s="445"/>
      <c r="HRY100" s="414"/>
      <c r="HSB100" s="445"/>
      <c r="HSC100" s="414"/>
      <c r="HSF100" s="445"/>
      <c r="HSG100" s="414"/>
      <c r="HSJ100" s="445"/>
      <c r="HSK100" s="414"/>
      <c r="HSN100" s="445"/>
      <c r="HSO100" s="414"/>
      <c r="HSR100" s="445"/>
      <c r="HSS100" s="414"/>
      <c r="HSV100" s="445"/>
      <c r="HSW100" s="414"/>
      <c r="HSZ100" s="445"/>
      <c r="HTA100" s="414"/>
      <c r="HTD100" s="445"/>
      <c r="HTE100" s="414"/>
      <c r="HTH100" s="445"/>
      <c r="HTI100" s="414"/>
      <c r="HTL100" s="445"/>
      <c r="HTM100" s="414"/>
      <c r="HTP100" s="445"/>
      <c r="HTQ100" s="414"/>
      <c r="HTT100" s="445"/>
      <c r="HTU100" s="414"/>
      <c r="HTX100" s="445"/>
      <c r="HTY100" s="414"/>
      <c r="HUB100" s="445"/>
      <c r="HUC100" s="414"/>
      <c r="HUF100" s="445"/>
      <c r="HUG100" s="414"/>
      <c r="HUJ100" s="445"/>
      <c r="HUK100" s="414"/>
      <c r="HUN100" s="445"/>
      <c r="HUO100" s="414"/>
      <c r="HUR100" s="445"/>
      <c r="HUS100" s="414"/>
      <c r="HUV100" s="445"/>
      <c r="HUW100" s="414"/>
      <c r="HUZ100" s="445"/>
      <c r="HVA100" s="414"/>
      <c r="HVD100" s="445"/>
      <c r="HVE100" s="414"/>
      <c r="HVH100" s="445"/>
      <c r="HVI100" s="414"/>
      <c r="HVL100" s="445"/>
      <c r="HVM100" s="414"/>
      <c r="HVP100" s="445"/>
      <c r="HVQ100" s="414"/>
      <c r="HVT100" s="445"/>
      <c r="HVU100" s="414"/>
      <c r="HVX100" s="445"/>
      <c r="HVY100" s="414"/>
      <c r="HWB100" s="445"/>
      <c r="HWC100" s="414"/>
      <c r="HWF100" s="445"/>
      <c r="HWG100" s="414"/>
      <c r="HWJ100" s="445"/>
      <c r="HWK100" s="414"/>
      <c r="HWN100" s="445"/>
      <c r="HWO100" s="414"/>
      <c r="HWR100" s="445"/>
      <c r="HWS100" s="414"/>
      <c r="HWV100" s="445"/>
      <c r="HWW100" s="414"/>
      <c r="HWZ100" s="445"/>
      <c r="HXA100" s="414"/>
      <c r="HXD100" s="445"/>
      <c r="HXE100" s="414"/>
      <c r="HXH100" s="445"/>
      <c r="HXI100" s="414"/>
      <c r="HXL100" s="445"/>
      <c r="HXM100" s="414"/>
      <c r="HXP100" s="445"/>
      <c r="HXQ100" s="414"/>
      <c r="HXT100" s="445"/>
      <c r="HXU100" s="414"/>
      <c r="HXX100" s="445"/>
      <c r="HXY100" s="414"/>
      <c r="HYB100" s="445"/>
      <c r="HYC100" s="414"/>
      <c r="HYF100" s="445"/>
      <c r="HYG100" s="414"/>
      <c r="HYJ100" s="445"/>
      <c r="HYK100" s="414"/>
      <c r="HYN100" s="445"/>
      <c r="HYO100" s="414"/>
      <c r="HYR100" s="445"/>
      <c r="HYS100" s="414"/>
      <c r="HYV100" s="445"/>
      <c r="HYW100" s="414"/>
      <c r="HYZ100" s="445"/>
      <c r="HZA100" s="414"/>
      <c r="HZD100" s="445"/>
      <c r="HZE100" s="414"/>
      <c r="HZH100" s="445"/>
      <c r="HZI100" s="414"/>
      <c r="HZL100" s="445"/>
      <c r="HZM100" s="414"/>
      <c r="HZP100" s="445"/>
      <c r="HZQ100" s="414"/>
      <c r="HZT100" s="445"/>
      <c r="HZU100" s="414"/>
      <c r="HZX100" s="445"/>
      <c r="HZY100" s="414"/>
      <c r="IAB100" s="445"/>
      <c r="IAC100" s="414"/>
      <c r="IAF100" s="445"/>
      <c r="IAG100" s="414"/>
      <c r="IAJ100" s="445"/>
      <c r="IAK100" s="414"/>
      <c r="IAN100" s="445"/>
      <c r="IAO100" s="414"/>
      <c r="IAR100" s="445"/>
      <c r="IAS100" s="414"/>
      <c r="IAV100" s="445"/>
      <c r="IAW100" s="414"/>
      <c r="IAZ100" s="445"/>
      <c r="IBA100" s="414"/>
      <c r="IBD100" s="445"/>
      <c r="IBE100" s="414"/>
      <c r="IBH100" s="445"/>
      <c r="IBI100" s="414"/>
      <c r="IBL100" s="445"/>
      <c r="IBM100" s="414"/>
      <c r="IBP100" s="445"/>
      <c r="IBQ100" s="414"/>
      <c r="IBT100" s="445"/>
      <c r="IBU100" s="414"/>
      <c r="IBX100" s="445"/>
      <c r="IBY100" s="414"/>
      <c r="ICB100" s="445"/>
      <c r="ICC100" s="414"/>
      <c r="ICF100" s="445"/>
      <c r="ICG100" s="414"/>
      <c r="ICJ100" s="445"/>
      <c r="ICK100" s="414"/>
      <c r="ICN100" s="445"/>
      <c r="ICO100" s="414"/>
      <c r="ICR100" s="445"/>
      <c r="ICS100" s="414"/>
      <c r="ICV100" s="445"/>
      <c r="ICW100" s="414"/>
      <c r="ICZ100" s="445"/>
      <c r="IDA100" s="414"/>
      <c r="IDD100" s="445"/>
      <c r="IDE100" s="414"/>
      <c r="IDH100" s="445"/>
      <c r="IDI100" s="414"/>
      <c r="IDL100" s="445"/>
      <c r="IDM100" s="414"/>
      <c r="IDP100" s="445"/>
      <c r="IDQ100" s="414"/>
      <c r="IDT100" s="445"/>
      <c r="IDU100" s="414"/>
      <c r="IDX100" s="445"/>
      <c r="IDY100" s="414"/>
      <c r="IEB100" s="445"/>
      <c r="IEC100" s="414"/>
      <c r="IEF100" s="445"/>
      <c r="IEG100" s="414"/>
      <c r="IEJ100" s="445"/>
      <c r="IEK100" s="414"/>
      <c r="IEN100" s="445"/>
      <c r="IEO100" s="414"/>
      <c r="IER100" s="445"/>
      <c r="IES100" s="414"/>
      <c r="IEV100" s="445"/>
      <c r="IEW100" s="414"/>
      <c r="IEZ100" s="445"/>
      <c r="IFA100" s="414"/>
      <c r="IFD100" s="445"/>
      <c r="IFE100" s="414"/>
      <c r="IFH100" s="445"/>
      <c r="IFI100" s="414"/>
      <c r="IFL100" s="445"/>
      <c r="IFM100" s="414"/>
      <c r="IFP100" s="445"/>
      <c r="IFQ100" s="414"/>
      <c r="IFT100" s="445"/>
      <c r="IFU100" s="414"/>
      <c r="IFX100" s="445"/>
      <c r="IFY100" s="414"/>
      <c r="IGB100" s="445"/>
      <c r="IGC100" s="414"/>
      <c r="IGF100" s="445"/>
      <c r="IGG100" s="414"/>
      <c r="IGJ100" s="445"/>
      <c r="IGK100" s="414"/>
      <c r="IGN100" s="445"/>
      <c r="IGO100" s="414"/>
      <c r="IGR100" s="445"/>
      <c r="IGS100" s="414"/>
      <c r="IGV100" s="445"/>
      <c r="IGW100" s="414"/>
      <c r="IGZ100" s="445"/>
      <c r="IHA100" s="414"/>
      <c r="IHD100" s="445"/>
      <c r="IHE100" s="414"/>
      <c r="IHH100" s="445"/>
      <c r="IHI100" s="414"/>
      <c r="IHL100" s="445"/>
      <c r="IHM100" s="414"/>
      <c r="IHP100" s="445"/>
      <c r="IHQ100" s="414"/>
      <c r="IHT100" s="445"/>
      <c r="IHU100" s="414"/>
      <c r="IHX100" s="445"/>
      <c r="IHY100" s="414"/>
      <c r="IIB100" s="445"/>
      <c r="IIC100" s="414"/>
      <c r="IIF100" s="445"/>
      <c r="IIG100" s="414"/>
      <c r="IIJ100" s="445"/>
      <c r="IIK100" s="414"/>
      <c r="IIN100" s="445"/>
      <c r="IIO100" s="414"/>
      <c r="IIR100" s="445"/>
      <c r="IIS100" s="414"/>
      <c r="IIV100" s="445"/>
      <c r="IIW100" s="414"/>
      <c r="IIZ100" s="445"/>
      <c r="IJA100" s="414"/>
      <c r="IJD100" s="445"/>
      <c r="IJE100" s="414"/>
      <c r="IJH100" s="445"/>
      <c r="IJI100" s="414"/>
      <c r="IJL100" s="445"/>
      <c r="IJM100" s="414"/>
      <c r="IJP100" s="445"/>
      <c r="IJQ100" s="414"/>
      <c r="IJT100" s="445"/>
      <c r="IJU100" s="414"/>
      <c r="IJX100" s="445"/>
      <c r="IJY100" s="414"/>
      <c r="IKB100" s="445"/>
      <c r="IKC100" s="414"/>
      <c r="IKF100" s="445"/>
      <c r="IKG100" s="414"/>
      <c r="IKJ100" s="445"/>
      <c r="IKK100" s="414"/>
      <c r="IKN100" s="445"/>
      <c r="IKO100" s="414"/>
      <c r="IKR100" s="445"/>
      <c r="IKS100" s="414"/>
      <c r="IKV100" s="445"/>
      <c r="IKW100" s="414"/>
      <c r="IKZ100" s="445"/>
      <c r="ILA100" s="414"/>
      <c r="ILD100" s="445"/>
      <c r="ILE100" s="414"/>
      <c r="ILH100" s="445"/>
      <c r="ILI100" s="414"/>
      <c r="ILL100" s="445"/>
      <c r="ILM100" s="414"/>
      <c r="ILP100" s="445"/>
      <c r="ILQ100" s="414"/>
      <c r="ILT100" s="445"/>
      <c r="ILU100" s="414"/>
      <c r="ILX100" s="445"/>
      <c r="ILY100" s="414"/>
      <c r="IMB100" s="445"/>
      <c r="IMC100" s="414"/>
      <c r="IMF100" s="445"/>
      <c r="IMG100" s="414"/>
      <c r="IMJ100" s="445"/>
      <c r="IMK100" s="414"/>
      <c r="IMN100" s="445"/>
      <c r="IMO100" s="414"/>
      <c r="IMR100" s="445"/>
      <c r="IMS100" s="414"/>
      <c r="IMV100" s="445"/>
      <c r="IMW100" s="414"/>
      <c r="IMZ100" s="445"/>
      <c r="INA100" s="414"/>
      <c r="IND100" s="445"/>
      <c r="INE100" s="414"/>
      <c r="INH100" s="445"/>
      <c r="INI100" s="414"/>
      <c r="INL100" s="445"/>
      <c r="INM100" s="414"/>
      <c r="INP100" s="445"/>
      <c r="INQ100" s="414"/>
      <c r="INT100" s="445"/>
      <c r="INU100" s="414"/>
      <c r="INX100" s="445"/>
      <c r="INY100" s="414"/>
      <c r="IOB100" s="445"/>
      <c r="IOC100" s="414"/>
      <c r="IOF100" s="445"/>
      <c r="IOG100" s="414"/>
      <c r="IOJ100" s="445"/>
      <c r="IOK100" s="414"/>
      <c r="ION100" s="445"/>
      <c r="IOO100" s="414"/>
      <c r="IOR100" s="445"/>
      <c r="IOS100" s="414"/>
      <c r="IOV100" s="445"/>
      <c r="IOW100" s="414"/>
      <c r="IOZ100" s="445"/>
      <c r="IPA100" s="414"/>
      <c r="IPD100" s="445"/>
      <c r="IPE100" s="414"/>
      <c r="IPH100" s="445"/>
      <c r="IPI100" s="414"/>
      <c r="IPL100" s="445"/>
      <c r="IPM100" s="414"/>
      <c r="IPP100" s="445"/>
      <c r="IPQ100" s="414"/>
      <c r="IPT100" s="445"/>
      <c r="IPU100" s="414"/>
      <c r="IPX100" s="445"/>
      <c r="IPY100" s="414"/>
      <c r="IQB100" s="445"/>
      <c r="IQC100" s="414"/>
      <c r="IQF100" s="445"/>
      <c r="IQG100" s="414"/>
      <c r="IQJ100" s="445"/>
      <c r="IQK100" s="414"/>
      <c r="IQN100" s="445"/>
      <c r="IQO100" s="414"/>
      <c r="IQR100" s="445"/>
      <c r="IQS100" s="414"/>
      <c r="IQV100" s="445"/>
      <c r="IQW100" s="414"/>
      <c r="IQZ100" s="445"/>
      <c r="IRA100" s="414"/>
      <c r="IRD100" s="445"/>
      <c r="IRE100" s="414"/>
      <c r="IRH100" s="445"/>
      <c r="IRI100" s="414"/>
      <c r="IRL100" s="445"/>
      <c r="IRM100" s="414"/>
      <c r="IRP100" s="445"/>
      <c r="IRQ100" s="414"/>
      <c r="IRT100" s="445"/>
      <c r="IRU100" s="414"/>
      <c r="IRX100" s="445"/>
      <c r="IRY100" s="414"/>
      <c r="ISB100" s="445"/>
      <c r="ISC100" s="414"/>
      <c r="ISF100" s="445"/>
      <c r="ISG100" s="414"/>
      <c r="ISJ100" s="445"/>
      <c r="ISK100" s="414"/>
      <c r="ISN100" s="445"/>
      <c r="ISO100" s="414"/>
      <c r="ISR100" s="445"/>
      <c r="ISS100" s="414"/>
      <c r="ISV100" s="445"/>
      <c r="ISW100" s="414"/>
      <c r="ISZ100" s="445"/>
      <c r="ITA100" s="414"/>
      <c r="ITD100" s="445"/>
      <c r="ITE100" s="414"/>
      <c r="ITH100" s="445"/>
      <c r="ITI100" s="414"/>
      <c r="ITL100" s="445"/>
      <c r="ITM100" s="414"/>
      <c r="ITP100" s="445"/>
      <c r="ITQ100" s="414"/>
      <c r="ITT100" s="445"/>
      <c r="ITU100" s="414"/>
      <c r="ITX100" s="445"/>
      <c r="ITY100" s="414"/>
      <c r="IUB100" s="445"/>
      <c r="IUC100" s="414"/>
      <c r="IUF100" s="445"/>
      <c r="IUG100" s="414"/>
      <c r="IUJ100" s="445"/>
      <c r="IUK100" s="414"/>
      <c r="IUN100" s="445"/>
      <c r="IUO100" s="414"/>
      <c r="IUR100" s="445"/>
      <c r="IUS100" s="414"/>
      <c r="IUV100" s="445"/>
      <c r="IUW100" s="414"/>
      <c r="IUZ100" s="445"/>
      <c r="IVA100" s="414"/>
      <c r="IVD100" s="445"/>
      <c r="IVE100" s="414"/>
      <c r="IVH100" s="445"/>
      <c r="IVI100" s="414"/>
      <c r="IVL100" s="445"/>
      <c r="IVM100" s="414"/>
      <c r="IVP100" s="445"/>
      <c r="IVQ100" s="414"/>
      <c r="IVT100" s="445"/>
      <c r="IVU100" s="414"/>
      <c r="IVX100" s="445"/>
      <c r="IVY100" s="414"/>
      <c r="IWB100" s="445"/>
      <c r="IWC100" s="414"/>
      <c r="IWF100" s="445"/>
      <c r="IWG100" s="414"/>
      <c r="IWJ100" s="445"/>
      <c r="IWK100" s="414"/>
      <c r="IWN100" s="445"/>
      <c r="IWO100" s="414"/>
      <c r="IWR100" s="445"/>
      <c r="IWS100" s="414"/>
      <c r="IWV100" s="445"/>
      <c r="IWW100" s="414"/>
      <c r="IWZ100" s="445"/>
      <c r="IXA100" s="414"/>
      <c r="IXD100" s="445"/>
      <c r="IXE100" s="414"/>
      <c r="IXH100" s="445"/>
      <c r="IXI100" s="414"/>
      <c r="IXL100" s="445"/>
      <c r="IXM100" s="414"/>
      <c r="IXP100" s="445"/>
      <c r="IXQ100" s="414"/>
      <c r="IXT100" s="445"/>
      <c r="IXU100" s="414"/>
      <c r="IXX100" s="445"/>
      <c r="IXY100" s="414"/>
      <c r="IYB100" s="445"/>
      <c r="IYC100" s="414"/>
      <c r="IYF100" s="445"/>
      <c r="IYG100" s="414"/>
      <c r="IYJ100" s="445"/>
      <c r="IYK100" s="414"/>
      <c r="IYN100" s="445"/>
      <c r="IYO100" s="414"/>
      <c r="IYR100" s="445"/>
      <c r="IYS100" s="414"/>
      <c r="IYV100" s="445"/>
      <c r="IYW100" s="414"/>
      <c r="IYZ100" s="445"/>
      <c r="IZA100" s="414"/>
      <c r="IZD100" s="445"/>
      <c r="IZE100" s="414"/>
      <c r="IZH100" s="445"/>
      <c r="IZI100" s="414"/>
      <c r="IZL100" s="445"/>
      <c r="IZM100" s="414"/>
      <c r="IZP100" s="445"/>
      <c r="IZQ100" s="414"/>
      <c r="IZT100" s="445"/>
      <c r="IZU100" s="414"/>
      <c r="IZX100" s="445"/>
      <c r="IZY100" s="414"/>
      <c r="JAB100" s="445"/>
      <c r="JAC100" s="414"/>
      <c r="JAF100" s="445"/>
      <c r="JAG100" s="414"/>
      <c r="JAJ100" s="445"/>
      <c r="JAK100" s="414"/>
      <c r="JAN100" s="445"/>
      <c r="JAO100" s="414"/>
      <c r="JAR100" s="445"/>
      <c r="JAS100" s="414"/>
      <c r="JAV100" s="445"/>
      <c r="JAW100" s="414"/>
      <c r="JAZ100" s="445"/>
      <c r="JBA100" s="414"/>
      <c r="JBD100" s="445"/>
      <c r="JBE100" s="414"/>
      <c r="JBH100" s="445"/>
      <c r="JBI100" s="414"/>
      <c r="JBL100" s="445"/>
      <c r="JBM100" s="414"/>
      <c r="JBP100" s="445"/>
      <c r="JBQ100" s="414"/>
      <c r="JBT100" s="445"/>
      <c r="JBU100" s="414"/>
      <c r="JBX100" s="445"/>
      <c r="JBY100" s="414"/>
      <c r="JCB100" s="445"/>
      <c r="JCC100" s="414"/>
      <c r="JCF100" s="445"/>
      <c r="JCG100" s="414"/>
      <c r="JCJ100" s="445"/>
      <c r="JCK100" s="414"/>
      <c r="JCN100" s="445"/>
      <c r="JCO100" s="414"/>
      <c r="JCR100" s="445"/>
      <c r="JCS100" s="414"/>
      <c r="JCV100" s="445"/>
      <c r="JCW100" s="414"/>
      <c r="JCZ100" s="445"/>
      <c r="JDA100" s="414"/>
      <c r="JDD100" s="445"/>
      <c r="JDE100" s="414"/>
      <c r="JDH100" s="445"/>
      <c r="JDI100" s="414"/>
      <c r="JDL100" s="445"/>
      <c r="JDM100" s="414"/>
      <c r="JDP100" s="445"/>
      <c r="JDQ100" s="414"/>
      <c r="JDT100" s="445"/>
      <c r="JDU100" s="414"/>
      <c r="JDX100" s="445"/>
      <c r="JDY100" s="414"/>
      <c r="JEB100" s="445"/>
      <c r="JEC100" s="414"/>
      <c r="JEF100" s="445"/>
      <c r="JEG100" s="414"/>
      <c r="JEJ100" s="445"/>
      <c r="JEK100" s="414"/>
      <c r="JEN100" s="445"/>
      <c r="JEO100" s="414"/>
      <c r="JER100" s="445"/>
      <c r="JES100" s="414"/>
      <c r="JEV100" s="445"/>
      <c r="JEW100" s="414"/>
      <c r="JEZ100" s="445"/>
      <c r="JFA100" s="414"/>
      <c r="JFD100" s="445"/>
      <c r="JFE100" s="414"/>
      <c r="JFH100" s="445"/>
      <c r="JFI100" s="414"/>
      <c r="JFL100" s="445"/>
      <c r="JFM100" s="414"/>
      <c r="JFP100" s="445"/>
      <c r="JFQ100" s="414"/>
      <c r="JFT100" s="445"/>
      <c r="JFU100" s="414"/>
      <c r="JFX100" s="445"/>
      <c r="JFY100" s="414"/>
      <c r="JGB100" s="445"/>
      <c r="JGC100" s="414"/>
      <c r="JGF100" s="445"/>
      <c r="JGG100" s="414"/>
      <c r="JGJ100" s="445"/>
      <c r="JGK100" s="414"/>
      <c r="JGN100" s="445"/>
      <c r="JGO100" s="414"/>
      <c r="JGR100" s="445"/>
      <c r="JGS100" s="414"/>
      <c r="JGV100" s="445"/>
      <c r="JGW100" s="414"/>
      <c r="JGZ100" s="445"/>
      <c r="JHA100" s="414"/>
      <c r="JHD100" s="445"/>
      <c r="JHE100" s="414"/>
      <c r="JHH100" s="445"/>
      <c r="JHI100" s="414"/>
      <c r="JHL100" s="445"/>
      <c r="JHM100" s="414"/>
      <c r="JHP100" s="445"/>
      <c r="JHQ100" s="414"/>
      <c r="JHT100" s="445"/>
      <c r="JHU100" s="414"/>
      <c r="JHX100" s="445"/>
      <c r="JHY100" s="414"/>
      <c r="JIB100" s="445"/>
      <c r="JIC100" s="414"/>
      <c r="JIF100" s="445"/>
      <c r="JIG100" s="414"/>
      <c r="JIJ100" s="445"/>
      <c r="JIK100" s="414"/>
      <c r="JIN100" s="445"/>
      <c r="JIO100" s="414"/>
      <c r="JIR100" s="445"/>
      <c r="JIS100" s="414"/>
      <c r="JIV100" s="445"/>
      <c r="JIW100" s="414"/>
      <c r="JIZ100" s="445"/>
      <c r="JJA100" s="414"/>
      <c r="JJD100" s="445"/>
      <c r="JJE100" s="414"/>
      <c r="JJH100" s="445"/>
      <c r="JJI100" s="414"/>
      <c r="JJL100" s="445"/>
      <c r="JJM100" s="414"/>
      <c r="JJP100" s="445"/>
      <c r="JJQ100" s="414"/>
      <c r="JJT100" s="445"/>
      <c r="JJU100" s="414"/>
      <c r="JJX100" s="445"/>
      <c r="JJY100" s="414"/>
      <c r="JKB100" s="445"/>
      <c r="JKC100" s="414"/>
      <c r="JKF100" s="445"/>
      <c r="JKG100" s="414"/>
      <c r="JKJ100" s="445"/>
      <c r="JKK100" s="414"/>
      <c r="JKN100" s="445"/>
      <c r="JKO100" s="414"/>
      <c r="JKR100" s="445"/>
      <c r="JKS100" s="414"/>
      <c r="JKV100" s="445"/>
      <c r="JKW100" s="414"/>
      <c r="JKZ100" s="445"/>
      <c r="JLA100" s="414"/>
      <c r="JLD100" s="445"/>
      <c r="JLE100" s="414"/>
      <c r="JLH100" s="445"/>
      <c r="JLI100" s="414"/>
      <c r="JLL100" s="445"/>
      <c r="JLM100" s="414"/>
      <c r="JLP100" s="445"/>
      <c r="JLQ100" s="414"/>
      <c r="JLT100" s="445"/>
      <c r="JLU100" s="414"/>
      <c r="JLX100" s="445"/>
      <c r="JLY100" s="414"/>
      <c r="JMB100" s="445"/>
      <c r="JMC100" s="414"/>
      <c r="JMF100" s="445"/>
      <c r="JMG100" s="414"/>
      <c r="JMJ100" s="445"/>
      <c r="JMK100" s="414"/>
      <c r="JMN100" s="445"/>
      <c r="JMO100" s="414"/>
      <c r="JMR100" s="445"/>
      <c r="JMS100" s="414"/>
      <c r="JMV100" s="445"/>
      <c r="JMW100" s="414"/>
      <c r="JMZ100" s="445"/>
      <c r="JNA100" s="414"/>
      <c r="JND100" s="445"/>
      <c r="JNE100" s="414"/>
      <c r="JNH100" s="445"/>
      <c r="JNI100" s="414"/>
      <c r="JNL100" s="445"/>
      <c r="JNM100" s="414"/>
      <c r="JNP100" s="445"/>
      <c r="JNQ100" s="414"/>
      <c r="JNT100" s="445"/>
      <c r="JNU100" s="414"/>
      <c r="JNX100" s="445"/>
      <c r="JNY100" s="414"/>
      <c r="JOB100" s="445"/>
      <c r="JOC100" s="414"/>
      <c r="JOF100" s="445"/>
      <c r="JOG100" s="414"/>
      <c r="JOJ100" s="445"/>
      <c r="JOK100" s="414"/>
      <c r="JON100" s="445"/>
      <c r="JOO100" s="414"/>
      <c r="JOR100" s="445"/>
      <c r="JOS100" s="414"/>
      <c r="JOV100" s="445"/>
      <c r="JOW100" s="414"/>
      <c r="JOZ100" s="445"/>
      <c r="JPA100" s="414"/>
      <c r="JPD100" s="445"/>
      <c r="JPE100" s="414"/>
      <c r="JPH100" s="445"/>
      <c r="JPI100" s="414"/>
      <c r="JPL100" s="445"/>
      <c r="JPM100" s="414"/>
      <c r="JPP100" s="445"/>
      <c r="JPQ100" s="414"/>
      <c r="JPT100" s="445"/>
      <c r="JPU100" s="414"/>
      <c r="JPX100" s="445"/>
      <c r="JPY100" s="414"/>
      <c r="JQB100" s="445"/>
      <c r="JQC100" s="414"/>
      <c r="JQF100" s="445"/>
      <c r="JQG100" s="414"/>
      <c r="JQJ100" s="445"/>
      <c r="JQK100" s="414"/>
      <c r="JQN100" s="445"/>
      <c r="JQO100" s="414"/>
      <c r="JQR100" s="445"/>
      <c r="JQS100" s="414"/>
      <c r="JQV100" s="445"/>
      <c r="JQW100" s="414"/>
      <c r="JQZ100" s="445"/>
      <c r="JRA100" s="414"/>
      <c r="JRD100" s="445"/>
      <c r="JRE100" s="414"/>
      <c r="JRH100" s="445"/>
      <c r="JRI100" s="414"/>
      <c r="JRL100" s="445"/>
      <c r="JRM100" s="414"/>
      <c r="JRP100" s="445"/>
      <c r="JRQ100" s="414"/>
      <c r="JRT100" s="445"/>
      <c r="JRU100" s="414"/>
      <c r="JRX100" s="445"/>
      <c r="JRY100" s="414"/>
      <c r="JSB100" s="445"/>
      <c r="JSC100" s="414"/>
      <c r="JSF100" s="445"/>
      <c r="JSG100" s="414"/>
      <c r="JSJ100" s="445"/>
      <c r="JSK100" s="414"/>
      <c r="JSN100" s="445"/>
      <c r="JSO100" s="414"/>
      <c r="JSR100" s="445"/>
      <c r="JSS100" s="414"/>
      <c r="JSV100" s="445"/>
      <c r="JSW100" s="414"/>
      <c r="JSZ100" s="445"/>
      <c r="JTA100" s="414"/>
      <c r="JTD100" s="445"/>
      <c r="JTE100" s="414"/>
      <c r="JTH100" s="445"/>
      <c r="JTI100" s="414"/>
      <c r="JTL100" s="445"/>
      <c r="JTM100" s="414"/>
      <c r="JTP100" s="445"/>
      <c r="JTQ100" s="414"/>
      <c r="JTT100" s="445"/>
      <c r="JTU100" s="414"/>
      <c r="JTX100" s="445"/>
      <c r="JTY100" s="414"/>
      <c r="JUB100" s="445"/>
      <c r="JUC100" s="414"/>
      <c r="JUF100" s="445"/>
      <c r="JUG100" s="414"/>
      <c r="JUJ100" s="445"/>
      <c r="JUK100" s="414"/>
      <c r="JUN100" s="445"/>
      <c r="JUO100" s="414"/>
      <c r="JUR100" s="445"/>
      <c r="JUS100" s="414"/>
      <c r="JUV100" s="445"/>
      <c r="JUW100" s="414"/>
      <c r="JUZ100" s="445"/>
      <c r="JVA100" s="414"/>
      <c r="JVD100" s="445"/>
      <c r="JVE100" s="414"/>
      <c r="JVH100" s="445"/>
      <c r="JVI100" s="414"/>
      <c r="JVL100" s="445"/>
      <c r="JVM100" s="414"/>
      <c r="JVP100" s="445"/>
      <c r="JVQ100" s="414"/>
      <c r="JVT100" s="445"/>
      <c r="JVU100" s="414"/>
      <c r="JVX100" s="445"/>
      <c r="JVY100" s="414"/>
      <c r="JWB100" s="445"/>
      <c r="JWC100" s="414"/>
      <c r="JWF100" s="445"/>
      <c r="JWG100" s="414"/>
      <c r="JWJ100" s="445"/>
      <c r="JWK100" s="414"/>
      <c r="JWN100" s="445"/>
      <c r="JWO100" s="414"/>
      <c r="JWR100" s="445"/>
      <c r="JWS100" s="414"/>
      <c r="JWV100" s="445"/>
      <c r="JWW100" s="414"/>
      <c r="JWZ100" s="445"/>
      <c r="JXA100" s="414"/>
      <c r="JXD100" s="445"/>
      <c r="JXE100" s="414"/>
      <c r="JXH100" s="445"/>
      <c r="JXI100" s="414"/>
      <c r="JXL100" s="445"/>
      <c r="JXM100" s="414"/>
      <c r="JXP100" s="445"/>
      <c r="JXQ100" s="414"/>
      <c r="JXT100" s="445"/>
      <c r="JXU100" s="414"/>
      <c r="JXX100" s="445"/>
      <c r="JXY100" s="414"/>
      <c r="JYB100" s="445"/>
      <c r="JYC100" s="414"/>
      <c r="JYF100" s="445"/>
      <c r="JYG100" s="414"/>
      <c r="JYJ100" s="445"/>
      <c r="JYK100" s="414"/>
      <c r="JYN100" s="445"/>
      <c r="JYO100" s="414"/>
      <c r="JYR100" s="445"/>
      <c r="JYS100" s="414"/>
      <c r="JYV100" s="445"/>
      <c r="JYW100" s="414"/>
      <c r="JYZ100" s="445"/>
      <c r="JZA100" s="414"/>
      <c r="JZD100" s="445"/>
      <c r="JZE100" s="414"/>
      <c r="JZH100" s="445"/>
      <c r="JZI100" s="414"/>
      <c r="JZL100" s="445"/>
      <c r="JZM100" s="414"/>
      <c r="JZP100" s="445"/>
      <c r="JZQ100" s="414"/>
      <c r="JZT100" s="445"/>
      <c r="JZU100" s="414"/>
      <c r="JZX100" s="445"/>
      <c r="JZY100" s="414"/>
      <c r="KAB100" s="445"/>
      <c r="KAC100" s="414"/>
      <c r="KAF100" s="445"/>
      <c r="KAG100" s="414"/>
      <c r="KAJ100" s="445"/>
      <c r="KAK100" s="414"/>
      <c r="KAN100" s="445"/>
      <c r="KAO100" s="414"/>
      <c r="KAR100" s="445"/>
      <c r="KAS100" s="414"/>
      <c r="KAV100" s="445"/>
      <c r="KAW100" s="414"/>
      <c r="KAZ100" s="445"/>
      <c r="KBA100" s="414"/>
      <c r="KBD100" s="445"/>
      <c r="KBE100" s="414"/>
      <c r="KBH100" s="445"/>
      <c r="KBI100" s="414"/>
      <c r="KBL100" s="445"/>
      <c r="KBM100" s="414"/>
      <c r="KBP100" s="445"/>
      <c r="KBQ100" s="414"/>
      <c r="KBT100" s="445"/>
      <c r="KBU100" s="414"/>
      <c r="KBX100" s="445"/>
      <c r="KBY100" s="414"/>
      <c r="KCB100" s="445"/>
      <c r="KCC100" s="414"/>
      <c r="KCF100" s="445"/>
      <c r="KCG100" s="414"/>
      <c r="KCJ100" s="445"/>
      <c r="KCK100" s="414"/>
      <c r="KCN100" s="445"/>
      <c r="KCO100" s="414"/>
      <c r="KCR100" s="445"/>
      <c r="KCS100" s="414"/>
      <c r="KCV100" s="445"/>
      <c r="KCW100" s="414"/>
      <c r="KCZ100" s="445"/>
      <c r="KDA100" s="414"/>
      <c r="KDD100" s="445"/>
      <c r="KDE100" s="414"/>
      <c r="KDH100" s="445"/>
      <c r="KDI100" s="414"/>
      <c r="KDL100" s="445"/>
      <c r="KDM100" s="414"/>
      <c r="KDP100" s="445"/>
      <c r="KDQ100" s="414"/>
      <c r="KDT100" s="445"/>
      <c r="KDU100" s="414"/>
      <c r="KDX100" s="445"/>
      <c r="KDY100" s="414"/>
      <c r="KEB100" s="445"/>
      <c r="KEC100" s="414"/>
      <c r="KEF100" s="445"/>
      <c r="KEG100" s="414"/>
      <c r="KEJ100" s="445"/>
      <c r="KEK100" s="414"/>
      <c r="KEN100" s="445"/>
      <c r="KEO100" s="414"/>
      <c r="KER100" s="445"/>
      <c r="KES100" s="414"/>
      <c r="KEV100" s="445"/>
      <c r="KEW100" s="414"/>
      <c r="KEZ100" s="445"/>
      <c r="KFA100" s="414"/>
      <c r="KFD100" s="445"/>
      <c r="KFE100" s="414"/>
      <c r="KFH100" s="445"/>
      <c r="KFI100" s="414"/>
      <c r="KFL100" s="445"/>
      <c r="KFM100" s="414"/>
      <c r="KFP100" s="445"/>
      <c r="KFQ100" s="414"/>
      <c r="KFT100" s="445"/>
      <c r="KFU100" s="414"/>
      <c r="KFX100" s="445"/>
      <c r="KFY100" s="414"/>
      <c r="KGB100" s="445"/>
      <c r="KGC100" s="414"/>
      <c r="KGF100" s="445"/>
      <c r="KGG100" s="414"/>
      <c r="KGJ100" s="445"/>
      <c r="KGK100" s="414"/>
      <c r="KGN100" s="445"/>
      <c r="KGO100" s="414"/>
      <c r="KGR100" s="445"/>
      <c r="KGS100" s="414"/>
      <c r="KGV100" s="445"/>
      <c r="KGW100" s="414"/>
      <c r="KGZ100" s="445"/>
      <c r="KHA100" s="414"/>
      <c r="KHD100" s="445"/>
      <c r="KHE100" s="414"/>
      <c r="KHH100" s="445"/>
      <c r="KHI100" s="414"/>
      <c r="KHL100" s="445"/>
      <c r="KHM100" s="414"/>
      <c r="KHP100" s="445"/>
      <c r="KHQ100" s="414"/>
      <c r="KHT100" s="445"/>
      <c r="KHU100" s="414"/>
      <c r="KHX100" s="445"/>
      <c r="KHY100" s="414"/>
      <c r="KIB100" s="445"/>
      <c r="KIC100" s="414"/>
      <c r="KIF100" s="445"/>
      <c r="KIG100" s="414"/>
      <c r="KIJ100" s="445"/>
      <c r="KIK100" s="414"/>
      <c r="KIN100" s="445"/>
      <c r="KIO100" s="414"/>
      <c r="KIR100" s="445"/>
      <c r="KIS100" s="414"/>
      <c r="KIV100" s="445"/>
      <c r="KIW100" s="414"/>
      <c r="KIZ100" s="445"/>
      <c r="KJA100" s="414"/>
      <c r="KJD100" s="445"/>
      <c r="KJE100" s="414"/>
      <c r="KJH100" s="445"/>
      <c r="KJI100" s="414"/>
      <c r="KJL100" s="445"/>
      <c r="KJM100" s="414"/>
      <c r="KJP100" s="445"/>
      <c r="KJQ100" s="414"/>
      <c r="KJT100" s="445"/>
      <c r="KJU100" s="414"/>
      <c r="KJX100" s="445"/>
      <c r="KJY100" s="414"/>
      <c r="KKB100" s="445"/>
      <c r="KKC100" s="414"/>
      <c r="KKF100" s="445"/>
      <c r="KKG100" s="414"/>
      <c r="KKJ100" s="445"/>
      <c r="KKK100" s="414"/>
      <c r="KKN100" s="445"/>
      <c r="KKO100" s="414"/>
      <c r="KKR100" s="445"/>
      <c r="KKS100" s="414"/>
      <c r="KKV100" s="445"/>
      <c r="KKW100" s="414"/>
      <c r="KKZ100" s="445"/>
      <c r="KLA100" s="414"/>
      <c r="KLD100" s="445"/>
      <c r="KLE100" s="414"/>
      <c r="KLH100" s="445"/>
      <c r="KLI100" s="414"/>
      <c r="KLL100" s="445"/>
      <c r="KLM100" s="414"/>
      <c r="KLP100" s="445"/>
      <c r="KLQ100" s="414"/>
      <c r="KLT100" s="445"/>
      <c r="KLU100" s="414"/>
      <c r="KLX100" s="445"/>
      <c r="KLY100" s="414"/>
      <c r="KMB100" s="445"/>
      <c r="KMC100" s="414"/>
      <c r="KMF100" s="445"/>
      <c r="KMG100" s="414"/>
      <c r="KMJ100" s="445"/>
      <c r="KMK100" s="414"/>
      <c r="KMN100" s="445"/>
      <c r="KMO100" s="414"/>
      <c r="KMR100" s="445"/>
      <c r="KMS100" s="414"/>
      <c r="KMV100" s="445"/>
      <c r="KMW100" s="414"/>
      <c r="KMZ100" s="445"/>
      <c r="KNA100" s="414"/>
      <c r="KND100" s="445"/>
      <c r="KNE100" s="414"/>
      <c r="KNH100" s="445"/>
      <c r="KNI100" s="414"/>
      <c r="KNL100" s="445"/>
      <c r="KNM100" s="414"/>
      <c r="KNP100" s="445"/>
      <c r="KNQ100" s="414"/>
      <c r="KNT100" s="445"/>
      <c r="KNU100" s="414"/>
      <c r="KNX100" s="445"/>
      <c r="KNY100" s="414"/>
      <c r="KOB100" s="445"/>
      <c r="KOC100" s="414"/>
      <c r="KOF100" s="445"/>
      <c r="KOG100" s="414"/>
      <c r="KOJ100" s="445"/>
      <c r="KOK100" s="414"/>
      <c r="KON100" s="445"/>
      <c r="KOO100" s="414"/>
      <c r="KOR100" s="445"/>
      <c r="KOS100" s="414"/>
      <c r="KOV100" s="445"/>
      <c r="KOW100" s="414"/>
      <c r="KOZ100" s="445"/>
      <c r="KPA100" s="414"/>
      <c r="KPD100" s="445"/>
      <c r="KPE100" s="414"/>
      <c r="KPH100" s="445"/>
      <c r="KPI100" s="414"/>
      <c r="KPL100" s="445"/>
      <c r="KPM100" s="414"/>
      <c r="KPP100" s="445"/>
      <c r="KPQ100" s="414"/>
      <c r="KPT100" s="445"/>
      <c r="KPU100" s="414"/>
      <c r="KPX100" s="445"/>
      <c r="KPY100" s="414"/>
      <c r="KQB100" s="445"/>
      <c r="KQC100" s="414"/>
      <c r="KQF100" s="445"/>
      <c r="KQG100" s="414"/>
      <c r="KQJ100" s="445"/>
      <c r="KQK100" s="414"/>
      <c r="KQN100" s="445"/>
      <c r="KQO100" s="414"/>
      <c r="KQR100" s="445"/>
      <c r="KQS100" s="414"/>
      <c r="KQV100" s="445"/>
      <c r="KQW100" s="414"/>
      <c r="KQZ100" s="445"/>
      <c r="KRA100" s="414"/>
      <c r="KRD100" s="445"/>
      <c r="KRE100" s="414"/>
      <c r="KRH100" s="445"/>
      <c r="KRI100" s="414"/>
      <c r="KRL100" s="445"/>
      <c r="KRM100" s="414"/>
      <c r="KRP100" s="445"/>
      <c r="KRQ100" s="414"/>
      <c r="KRT100" s="445"/>
      <c r="KRU100" s="414"/>
      <c r="KRX100" s="445"/>
      <c r="KRY100" s="414"/>
      <c r="KSB100" s="445"/>
      <c r="KSC100" s="414"/>
      <c r="KSF100" s="445"/>
      <c r="KSG100" s="414"/>
      <c r="KSJ100" s="445"/>
      <c r="KSK100" s="414"/>
      <c r="KSN100" s="445"/>
      <c r="KSO100" s="414"/>
      <c r="KSR100" s="445"/>
      <c r="KSS100" s="414"/>
      <c r="KSV100" s="445"/>
      <c r="KSW100" s="414"/>
      <c r="KSZ100" s="445"/>
      <c r="KTA100" s="414"/>
      <c r="KTD100" s="445"/>
      <c r="KTE100" s="414"/>
      <c r="KTH100" s="445"/>
      <c r="KTI100" s="414"/>
      <c r="KTL100" s="445"/>
      <c r="KTM100" s="414"/>
      <c r="KTP100" s="445"/>
      <c r="KTQ100" s="414"/>
      <c r="KTT100" s="445"/>
      <c r="KTU100" s="414"/>
      <c r="KTX100" s="445"/>
      <c r="KTY100" s="414"/>
      <c r="KUB100" s="445"/>
      <c r="KUC100" s="414"/>
      <c r="KUF100" s="445"/>
      <c r="KUG100" s="414"/>
      <c r="KUJ100" s="445"/>
      <c r="KUK100" s="414"/>
      <c r="KUN100" s="445"/>
      <c r="KUO100" s="414"/>
      <c r="KUR100" s="445"/>
      <c r="KUS100" s="414"/>
      <c r="KUV100" s="445"/>
      <c r="KUW100" s="414"/>
      <c r="KUZ100" s="445"/>
      <c r="KVA100" s="414"/>
      <c r="KVD100" s="445"/>
      <c r="KVE100" s="414"/>
      <c r="KVH100" s="445"/>
      <c r="KVI100" s="414"/>
      <c r="KVL100" s="445"/>
      <c r="KVM100" s="414"/>
      <c r="KVP100" s="445"/>
      <c r="KVQ100" s="414"/>
      <c r="KVT100" s="445"/>
      <c r="KVU100" s="414"/>
      <c r="KVX100" s="445"/>
      <c r="KVY100" s="414"/>
      <c r="KWB100" s="445"/>
      <c r="KWC100" s="414"/>
      <c r="KWF100" s="445"/>
      <c r="KWG100" s="414"/>
      <c r="KWJ100" s="445"/>
      <c r="KWK100" s="414"/>
      <c r="KWN100" s="445"/>
      <c r="KWO100" s="414"/>
      <c r="KWR100" s="445"/>
      <c r="KWS100" s="414"/>
      <c r="KWV100" s="445"/>
      <c r="KWW100" s="414"/>
      <c r="KWZ100" s="445"/>
      <c r="KXA100" s="414"/>
      <c r="KXD100" s="445"/>
      <c r="KXE100" s="414"/>
      <c r="KXH100" s="445"/>
      <c r="KXI100" s="414"/>
      <c r="KXL100" s="445"/>
      <c r="KXM100" s="414"/>
      <c r="KXP100" s="445"/>
      <c r="KXQ100" s="414"/>
      <c r="KXT100" s="445"/>
      <c r="KXU100" s="414"/>
      <c r="KXX100" s="445"/>
      <c r="KXY100" s="414"/>
      <c r="KYB100" s="445"/>
      <c r="KYC100" s="414"/>
      <c r="KYF100" s="445"/>
      <c r="KYG100" s="414"/>
      <c r="KYJ100" s="445"/>
      <c r="KYK100" s="414"/>
      <c r="KYN100" s="445"/>
      <c r="KYO100" s="414"/>
      <c r="KYR100" s="445"/>
      <c r="KYS100" s="414"/>
      <c r="KYV100" s="445"/>
      <c r="KYW100" s="414"/>
      <c r="KYZ100" s="445"/>
      <c r="KZA100" s="414"/>
      <c r="KZD100" s="445"/>
      <c r="KZE100" s="414"/>
      <c r="KZH100" s="445"/>
      <c r="KZI100" s="414"/>
      <c r="KZL100" s="445"/>
      <c r="KZM100" s="414"/>
      <c r="KZP100" s="445"/>
      <c r="KZQ100" s="414"/>
      <c r="KZT100" s="445"/>
      <c r="KZU100" s="414"/>
      <c r="KZX100" s="445"/>
      <c r="KZY100" s="414"/>
      <c r="LAB100" s="445"/>
      <c r="LAC100" s="414"/>
      <c r="LAF100" s="445"/>
      <c r="LAG100" s="414"/>
      <c r="LAJ100" s="445"/>
      <c r="LAK100" s="414"/>
      <c r="LAN100" s="445"/>
      <c r="LAO100" s="414"/>
      <c r="LAR100" s="445"/>
      <c r="LAS100" s="414"/>
      <c r="LAV100" s="445"/>
      <c r="LAW100" s="414"/>
      <c r="LAZ100" s="445"/>
      <c r="LBA100" s="414"/>
      <c r="LBD100" s="445"/>
      <c r="LBE100" s="414"/>
      <c r="LBH100" s="445"/>
      <c r="LBI100" s="414"/>
      <c r="LBL100" s="445"/>
      <c r="LBM100" s="414"/>
      <c r="LBP100" s="445"/>
      <c r="LBQ100" s="414"/>
      <c r="LBT100" s="445"/>
      <c r="LBU100" s="414"/>
      <c r="LBX100" s="445"/>
      <c r="LBY100" s="414"/>
      <c r="LCB100" s="445"/>
      <c r="LCC100" s="414"/>
      <c r="LCF100" s="445"/>
      <c r="LCG100" s="414"/>
      <c r="LCJ100" s="445"/>
      <c r="LCK100" s="414"/>
      <c r="LCN100" s="445"/>
      <c r="LCO100" s="414"/>
      <c r="LCR100" s="445"/>
      <c r="LCS100" s="414"/>
      <c r="LCV100" s="445"/>
      <c r="LCW100" s="414"/>
      <c r="LCZ100" s="445"/>
      <c r="LDA100" s="414"/>
      <c r="LDD100" s="445"/>
      <c r="LDE100" s="414"/>
      <c r="LDH100" s="445"/>
      <c r="LDI100" s="414"/>
      <c r="LDL100" s="445"/>
      <c r="LDM100" s="414"/>
      <c r="LDP100" s="445"/>
      <c r="LDQ100" s="414"/>
      <c r="LDT100" s="445"/>
      <c r="LDU100" s="414"/>
      <c r="LDX100" s="445"/>
      <c r="LDY100" s="414"/>
      <c r="LEB100" s="445"/>
      <c r="LEC100" s="414"/>
      <c r="LEF100" s="445"/>
      <c r="LEG100" s="414"/>
      <c r="LEJ100" s="445"/>
      <c r="LEK100" s="414"/>
      <c r="LEN100" s="445"/>
      <c r="LEO100" s="414"/>
      <c r="LER100" s="445"/>
      <c r="LES100" s="414"/>
      <c r="LEV100" s="445"/>
      <c r="LEW100" s="414"/>
      <c r="LEZ100" s="445"/>
      <c r="LFA100" s="414"/>
      <c r="LFD100" s="445"/>
      <c r="LFE100" s="414"/>
      <c r="LFH100" s="445"/>
      <c r="LFI100" s="414"/>
      <c r="LFL100" s="445"/>
      <c r="LFM100" s="414"/>
      <c r="LFP100" s="445"/>
      <c r="LFQ100" s="414"/>
      <c r="LFT100" s="445"/>
      <c r="LFU100" s="414"/>
      <c r="LFX100" s="445"/>
      <c r="LFY100" s="414"/>
      <c r="LGB100" s="445"/>
      <c r="LGC100" s="414"/>
      <c r="LGF100" s="445"/>
      <c r="LGG100" s="414"/>
      <c r="LGJ100" s="445"/>
      <c r="LGK100" s="414"/>
      <c r="LGN100" s="445"/>
      <c r="LGO100" s="414"/>
      <c r="LGR100" s="445"/>
      <c r="LGS100" s="414"/>
      <c r="LGV100" s="445"/>
      <c r="LGW100" s="414"/>
      <c r="LGZ100" s="445"/>
      <c r="LHA100" s="414"/>
      <c r="LHD100" s="445"/>
      <c r="LHE100" s="414"/>
      <c r="LHH100" s="445"/>
      <c r="LHI100" s="414"/>
      <c r="LHL100" s="445"/>
      <c r="LHM100" s="414"/>
      <c r="LHP100" s="445"/>
      <c r="LHQ100" s="414"/>
      <c r="LHT100" s="445"/>
      <c r="LHU100" s="414"/>
      <c r="LHX100" s="445"/>
      <c r="LHY100" s="414"/>
      <c r="LIB100" s="445"/>
      <c r="LIC100" s="414"/>
      <c r="LIF100" s="445"/>
      <c r="LIG100" s="414"/>
      <c r="LIJ100" s="445"/>
      <c r="LIK100" s="414"/>
      <c r="LIN100" s="445"/>
      <c r="LIO100" s="414"/>
      <c r="LIR100" s="445"/>
      <c r="LIS100" s="414"/>
      <c r="LIV100" s="445"/>
      <c r="LIW100" s="414"/>
      <c r="LIZ100" s="445"/>
      <c r="LJA100" s="414"/>
      <c r="LJD100" s="445"/>
      <c r="LJE100" s="414"/>
      <c r="LJH100" s="445"/>
      <c r="LJI100" s="414"/>
      <c r="LJL100" s="445"/>
      <c r="LJM100" s="414"/>
      <c r="LJP100" s="445"/>
      <c r="LJQ100" s="414"/>
      <c r="LJT100" s="445"/>
      <c r="LJU100" s="414"/>
      <c r="LJX100" s="445"/>
      <c r="LJY100" s="414"/>
      <c r="LKB100" s="445"/>
      <c r="LKC100" s="414"/>
      <c r="LKF100" s="445"/>
      <c r="LKG100" s="414"/>
      <c r="LKJ100" s="445"/>
      <c r="LKK100" s="414"/>
      <c r="LKN100" s="445"/>
      <c r="LKO100" s="414"/>
      <c r="LKR100" s="445"/>
      <c r="LKS100" s="414"/>
      <c r="LKV100" s="445"/>
      <c r="LKW100" s="414"/>
      <c r="LKZ100" s="445"/>
      <c r="LLA100" s="414"/>
      <c r="LLD100" s="445"/>
      <c r="LLE100" s="414"/>
      <c r="LLH100" s="445"/>
      <c r="LLI100" s="414"/>
      <c r="LLL100" s="445"/>
      <c r="LLM100" s="414"/>
      <c r="LLP100" s="445"/>
      <c r="LLQ100" s="414"/>
      <c r="LLT100" s="445"/>
      <c r="LLU100" s="414"/>
      <c r="LLX100" s="445"/>
      <c r="LLY100" s="414"/>
      <c r="LMB100" s="445"/>
      <c r="LMC100" s="414"/>
      <c r="LMF100" s="445"/>
      <c r="LMG100" s="414"/>
      <c r="LMJ100" s="445"/>
      <c r="LMK100" s="414"/>
      <c r="LMN100" s="445"/>
      <c r="LMO100" s="414"/>
      <c r="LMR100" s="445"/>
      <c r="LMS100" s="414"/>
      <c r="LMV100" s="445"/>
      <c r="LMW100" s="414"/>
      <c r="LMZ100" s="445"/>
      <c r="LNA100" s="414"/>
      <c r="LND100" s="445"/>
      <c r="LNE100" s="414"/>
      <c r="LNH100" s="445"/>
      <c r="LNI100" s="414"/>
      <c r="LNL100" s="445"/>
      <c r="LNM100" s="414"/>
      <c r="LNP100" s="445"/>
      <c r="LNQ100" s="414"/>
      <c r="LNT100" s="445"/>
      <c r="LNU100" s="414"/>
      <c r="LNX100" s="445"/>
      <c r="LNY100" s="414"/>
      <c r="LOB100" s="445"/>
      <c r="LOC100" s="414"/>
      <c r="LOF100" s="445"/>
      <c r="LOG100" s="414"/>
      <c r="LOJ100" s="445"/>
      <c r="LOK100" s="414"/>
      <c r="LON100" s="445"/>
      <c r="LOO100" s="414"/>
      <c r="LOR100" s="445"/>
      <c r="LOS100" s="414"/>
      <c r="LOV100" s="445"/>
      <c r="LOW100" s="414"/>
      <c r="LOZ100" s="445"/>
      <c r="LPA100" s="414"/>
      <c r="LPD100" s="445"/>
      <c r="LPE100" s="414"/>
      <c r="LPH100" s="445"/>
      <c r="LPI100" s="414"/>
      <c r="LPL100" s="445"/>
      <c r="LPM100" s="414"/>
      <c r="LPP100" s="445"/>
      <c r="LPQ100" s="414"/>
      <c r="LPT100" s="445"/>
      <c r="LPU100" s="414"/>
      <c r="LPX100" s="445"/>
      <c r="LPY100" s="414"/>
      <c r="LQB100" s="445"/>
      <c r="LQC100" s="414"/>
      <c r="LQF100" s="445"/>
      <c r="LQG100" s="414"/>
      <c r="LQJ100" s="445"/>
      <c r="LQK100" s="414"/>
      <c r="LQN100" s="445"/>
      <c r="LQO100" s="414"/>
      <c r="LQR100" s="445"/>
      <c r="LQS100" s="414"/>
      <c r="LQV100" s="445"/>
      <c r="LQW100" s="414"/>
      <c r="LQZ100" s="445"/>
      <c r="LRA100" s="414"/>
      <c r="LRD100" s="445"/>
      <c r="LRE100" s="414"/>
      <c r="LRH100" s="445"/>
      <c r="LRI100" s="414"/>
      <c r="LRL100" s="445"/>
      <c r="LRM100" s="414"/>
      <c r="LRP100" s="445"/>
      <c r="LRQ100" s="414"/>
      <c r="LRT100" s="445"/>
      <c r="LRU100" s="414"/>
      <c r="LRX100" s="445"/>
      <c r="LRY100" s="414"/>
      <c r="LSB100" s="445"/>
      <c r="LSC100" s="414"/>
      <c r="LSF100" s="445"/>
      <c r="LSG100" s="414"/>
      <c r="LSJ100" s="445"/>
      <c r="LSK100" s="414"/>
      <c r="LSN100" s="445"/>
      <c r="LSO100" s="414"/>
      <c r="LSR100" s="445"/>
      <c r="LSS100" s="414"/>
      <c r="LSV100" s="445"/>
      <c r="LSW100" s="414"/>
      <c r="LSZ100" s="445"/>
      <c r="LTA100" s="414"/>
      <c r="LTD100" s="445"/>
      <c r="LTE100" s="414"/>
      <c r="LTH100" s="445"/>
      <c r="LTI100" s="414"/>
      <c r="LTL100" s="445"/>
      <c r="LTM100" s="414"/>
      <c r="LTP100" s="445"/>
      <c r="LTQ100" s="414"/>
      <c r="LTT100" s="445"/>
      <c r="LTU100" s="414"/>
      <c r="LTX100" s="445"/>
      <c r="LTY100" s="414"/>
      <c r="LUB100" s="445"/>
      <c r="LUC100" s="414"/>
      <c r="LUF100" s="445"/>
      <c r="LUG100" s="414"/>
      <c r="LUJ100" s="445"/>
      <c r="LUK100" s="414"/>
      <c r="LUN100" s="445"/>
      <c r="LUO100" s="414"/>
      <c r="LUR100" s="445"/>
      <c r="LUS100" s="414"/>
      <c r="LUV100" s="445"/>
      <c r="LUW100" s="414"/>
      <c r="LUZ100" s="445"/>
      <c r="LVA100" s="414"/>
      <c r="LVD100" s="445"/>
      <c r="LVE100" s="414"/>
      <c r="LVH100" s="445"/>
      <c r="LVI100" s="414"/>
      <c r="LVL100" s="445"/>
      <c r="LVM100" s="414"/>
      <c r="LVP100" s="445"/>
      <c r="LVQ100" s="414"/>
      <c r="LVT100" s="445"/>
      <c r="LVU100" s="414"/>
      <c r="LVX100" s="445"/>
      <c r="LVY100" s="414"/>
      <c r="LWB100" s="445"/>
      <c r="LWC100" s="414"/>
      <c r="LWF100" s="445"/>
      <c r="LWG100" s="414"/>
      <c r="LWJ100" s="445"/>
      <c r="LWK100" s="414"/>
      <c r="LWN100" s="445"/>
      <c r="LWO100" s="414"/>
      <c r="LWR100" s="445"/>
      <c r="LWS100" s="414"/>
      <c r="LWV100" s="445"/>
      <c r="LWW100" s="414"/>
      <c r="LWZ100" s="445"/>
      <c r="LXA100" s="414"/>
      <c r="LXD100" s="445"/>
      <c r="LXE100" s="414"/>
      <c r="LXH100" s="445"/>
      <c r="LXI100" s="414"/>
      <c r="LXL100" s="445"/>
      <c r="LXM100" s="414"/>
      <c r="LXP100" s="445"/>
      <c r="LXQ100" s="414"/>
      <c r="LXT100" s="445"/>
      <c r="LXU100" s="414"/>
      <c r="LXX100" s="445"/>
      <c r="LXY100" s="414"/>
      <c r="LYB100" s="445"/>
      <c r="LYC100" s="414"/>
      <c r="LYF100" s="445"/>
      <c r="LYG100" s="414"/>
      <c r="LYJ100" s="445"/>
      <c r="LYK100" s="414"/>
      <c r="LYN100" s="445"/>
      <c r="LYO100" s="414"/>
      <c r="LYR100" s="445"/>
      <c r="LYS100" s="414"/>
      <c r="LYV100" s="445"/>
      <c r="LYW100" s="414"/>
      <c r="LYZ100" s="445"/>
      <c r="LZA100" s="414"/>
      <c r="LZD100" s="445"/>
      <c r="LZE100" s="414"/>
      <c r="LZH100" s="445"/>
      <c r="LZI100" s="414"/>
      <c r="LZL100" s="445"/>
      <c r="LZM100" s="414"/>
      <c r="LZP100" s="445"/>
      <c r="LZQ100" s="414"/>
      <c r="LZT100" s="445"/>
      <c r="LZU100" s="414"/>
      <c r="LZX100" s="445"/>
      <c r="LZY100" s="414"/>
      <c r="MAB100" s="445"/>
      <c r="MAC100" s="414"/>
      <c r="MAF100" s="445"/>
      <c r="MAG100" s="414"/>
      <c r="MAJ100" s="445"/>
      <c r="MAK100" s="414"/>
      <c r="MAN100" s="445"/>
      <c r="MAO100" s="414"/>
      <c r="MAR100" s="445"/>
      <c r="MAS100" s="414"/>
      <c r="MAV100" s="445"/>
      <c r="MAW100" s="414"/>
      <c r="MAZ100" s="445"/>
      <c r="MBA100" s="414"/>
      <c r="MBD100" s="445"/>
      <c r="MBE100" s="414"/>
      <c r="MBH100" s="445"/>
      <c r="MBI100" s="414"/>
      <c r="MBL100" s="445"/>
      <c r="MBM100" s="414"/>
      <c r="MBP100" s="445"/>
      <c r="MBQ100" s="414"/>
      <c r="MBT100" s="445"/>
      <c r="MBU100" s="414"/>
      <c r="MBX100" s="445"/>
      <c r="MBY100" s="414"/>
      <c r="MCB100" s="445"/>
      <c r="MCC100" s="414"/>
      <c r="MCF100" s="445"/>
      <c r="MCG100" s="414"/>
      <c r="MCJ100" s="445"/>
      <c r="MCK100" s="414"/>
      <c r="MCN100" s="445"/>
      <c r="MCO100" s="414"/>
      <c r="MCR100" s="445"/>
      <c r="MCS100" s="414"/>
      <c r="MCV100" s="445"/>
      <c r="MCW100" s="414"/>
      <c r="MCZ100" s="445"/>
      <c r="MDA100" s="414"/>
      <c r="MDD100" s="445"/>
      <c r="MDE100" s="414"/>
      <c r="MDH100" s="445"/>
      <c r="MDI100" s="414"/>
      <c r="MDL100" s="445"/>
      <c r="MDM100" s="414"/>
      <c r="MDP100" s="445"/>
      <c r="MDQ100" s="414"/>
      <c r="MDT100" s="445"/>
      <c r="MDU100" s="414"/>
      <c r="MDX100" s="445"/>
      <c r="MDY100" s="414"/>
      <c r="MEB100" s="445"/>
      <c r="MEC100" s="414"/>
      <c r="MEF100" s="445"/>
      <c r="MEG100" s="414"/>
      <c r="MEJ100" s="445"/>
      <c r="MEK100" s="414"/>
      <c r="MEN100" s="445"/>
      <c r="MEO100" s="414"/>
      <c r="MER100" s="445"/>
      <c r="MES100" s="414"/>
      <c r="MEV100" s="445"/>
      <c r="MEW100" s="414"/>
      <c r="MEZ100" s="445"/>
      <c r="MFA100" s="414"/>
      <c r="MFD100" s="445"/>
      <c r="MFE100" s="414"/>
      <c r="MFH100" s="445"/>
      <c r="MFI100" s="414"/>
      <c r="MFL100" s="445"/>
      <c r="MFM100" s="414"/>
      <c r="MFP100" s="445"/>
      <c r="MFQ100" s="414"/>
      <c r="MFT100" s="445"/>
      <c r="MFU100" s="414"/>
      <c r="MFX100" s="445"/>
      <c r="MFY100" s="414"/>
      <c r="MGB100" s="445"/>
      <c r="MGC100" s="414"/>
      <c r="MGF100" s="445"/>
      <c r="MGG100" s="414"/>
      <c r="MGJ100" s="445"/>
      <c r="MGK100" s="414"/>
      <c r="MGN100" s="445"/>
      <c r="MGO100" s="414"/>
      <c r="MGR100" s="445"/>
      <c r="MGS100" s="414"/>
      <c r="MGV100" s="445"/>
      <c r="MGW100" s="414"/>
      <c r="MGZ100" s="445"/>
      <c r="MHA100" s="414"/>
      <c r="MHD100" s="445"/>
      <c r="MHE100" s="414"/>
      <c r="MHH100" s="445"/>
      <c r="MHI100" s="414"/>
      <c r="MHL100" s="445"/>
      <c r="MHM100" s="414"/>
      <c r="MHP100" s="445"/>
      <c r="MHQ100" s="414"/>
      <c r="MHT100" s="445"/>
      <c r="MHU100" s="414"/>
      <c r="MHX100" s="445"/>
      <c r="MHY100" s="414"/>
      <c r="MIB100" s="445"/>
      <c r="MIC100" s="414"/>
      <c r="MIF100" s="445"/>
      <c r="MIG100" s="414"/>
      <c r="MIJ100" s="445"/>
      <c r="MIK100" s="414"/>
      <c r="MIN100" s="445"/>
      <c r="MIO100" s="414"/>
      <c r="MIR100" s="445"/>
      <c r="MIS100" s="414"/>
      <c r="MIV100" s="445"/>
      <c r="MIW100" s="414"/>
      <c r="MIZ100" s="445"/>
      <c r="MJA100" s="414"/>
      <c r="MJD100" s="445"/>
      <c r="MJE100" s="414"/>
      <c r="MJH100" s="445"/>
      <c r="MJI100" s="414"/>
      <c r="MJL100" s="445"/>
      <c r="MJM100" s="414"/>
      <c r="MJP100" s="445"/>
      <c r="MJQ100" s="414"/>
      <c r="MJT100" s="445"/>
      <c r="MJU100" s="414"/>
      <c r="MJX100" s="445"/>
      <c r="MJY100" s="414"/>
      <c r="MKB100" s="445"/>
      <c r="MKC100" s="414"/>
      <c r="MKF100" s="445"/>
      <c r="MKG100" s="414"/>
      <c r="MKJ100" s="445"/>
      <c r="MKK100" s="414"/>
      <c r="MKN100" s="445"/>
      <c r="MKO100" s="414"/>
      <c r="MKR100" s="445"/>
      <c r="MKS100" s="414"/>
      <c r="MKV100" s="445"/>
      <c r="MKW100" s="414"/>
      <c r="MKZ100" s="445"/>
      <c r="MLA100" s="414"/>
      <c r="MLD100" s="445"/>
      <c r="MLE100" s="414"/>
      <c r="MLH100" s="445"/>
      <c r="MLI100" s="414"/>
      <c r="MLL100" s="445"/>
      <c r="MLM100" s="414"/>
      <c r="MLP100" s="445"/>
      <c r="MLQ100" s="414"/>
      <c r="MLT100" s="445"/>
      <c r="MLU100" s="414"/>
      <c r="MLX100" s="445"/>
      <c r="MLY100" s="414"/>
      <c r="MMB100" s="445"/>
      <c r="MMC100" s="414"/>
      <c r="MMF100" s="445"/>
      <c r="MMG100" s="414"/>
      <c r="MMJ100" s="445"/>
      <c r="MMK100" s="414"/>
      <c r="MMN100" s="445"/>
      <c r="MMO100" s="414"/>
      <c r="MMR100" s="445"/>
      <c r="MMS100" s="414"/>
      <c r="MMV100" s="445"/>
      <c r="MMW100" s="414"/>
      <c r="MMZ100" s="445"/>
      <c r="MNA100" s="414"/>
      <c r="MND100" s="445"/>
      <c r="MNE100" s="414"/>
      <c r="MNH100" s="445"/>
      <c r="MNI100" s="414"/>
      <c r="MNL100" s="445"/>
      <c r="MNM100" s="414"/>
      <c r="MNP100" s="445"/>
      <c r="MNQ100" s="414"/>
      <c r="MNT100" s="445"/>
      <c r="MNU100" s="414"/>
      <c r="MNX100" s="445"/>
      <c r="MNY100" s="414"/>
      <c r="MOB100" s="445"/>
      <c r="MOC100" s="414"/>
      <c r="MOF100" s="445"/>
      <c r="MOG100" s="414"/>
      <c r="MOJ100" s="445"/>
      <c r="MOK100" s="414"/>
      <c r="MON100" s="445"/>
      <c r="MOO100" s="414"/>
      <c r="MOR100" s="445"/>
      <c r="MOS100" s="414"/>
      <c r="MOV100" s="445"/>
      <c r="MOW100" s="414"/>
      <c r="MOZ100" s="445"/>
      <c r="MPA100" s="414"/>
      <c r="MPD100" s="445"/>
      <c r="MPE100" s="414"/>
      <c r="MPH100" s="445"/>
      <c r="MPI100" s="414"/>
      <c r="MPL100" s="445"/>
      <c r="MPM100" s="414"/>
      <c r="MPP100" s="445"/>
      <c r="MPQ100" s="414"/>
      <c r="MPT100" s="445"/>
      <c r="MPU100" s="414"/>
      <c r="MPX100" s="445"/>
      <c r="MPY100" s="414"/>
      <c r="MQB100" s="445"/>
      <c r="MQC100" s="414"/>
      <c r="MQF100" s="445"/>
      <c r="MQG100" s="414"/>
      <c r="MQJ100" s="445"/>
      <c r="MQK100" s="414"/>
      <c r="MQN100" s="445"/>
      <c r="MQO100" s="414"/>
      <c r="MQR100" s="445"/>
      <c r="MQS100" s="414"/>
      <c r="MQV100" s="445"/>
      <c r="MQW100" s="414"/>
      <c r="MQZ100" s="445"/>
      <c r="MRA100" s="414"/>
      <c r="MRD100" s="445"/>
      <c r="MRE100" s="414"/>
      <c r="MRH100" s="445"/>
      <c r="MRI100" s="414"/>
      <c r="MRL100" s="445"/>
      <c r="MRM100" s="414"/>
      <c r="MRP100" s="445"/>
      <c r="MRQ100" s="414"/>
      <c r="MRT100" s="445"/>
      <c r="MRU100" s="414"/>
      <c r="MRX100" s="445"/>
      <c r="MRY100" s="414"/>
      <c r="MSB100" s="445"/>
      <c r="MSC100" s="414"/>
      <c r="MSF100" s="445"/>
      <c r="MSG100" s="414"/>
      <c r="MSJ100" s="445"/>
      <c r="MSK100" s="414"/>
      <c r="MSN100" s="445"/>
      <c r="MSO100" s="414"/>
      <c r="MSR100" s="445"/>
      <c r="MSS100" s="414"/>
      <c r="MSV100" s="445"/>
      <c r="MSW100" s="414"/>
      <c r="MSZ100" s="445"/>
      <c r="MTA100" s="414"/>
      <c r="MTD100" s="445"/>
      <c r="MTE100" s="414"/>
      <c r="MTH100" s="445"/>
      <c r="MTI100" s="414"/>
      <c r="MTL100" s="445"/>
      <c r="MTM100" s="414"/>
      <c r="MTP100" s="445"/>
      <c r="MTQ100" s="414"/>
      <c r="MTT100" s="445"/>
      <c r="MTU100" s="414"/>
      <c r="MTX100" s="445"/>
      <c r="MTY100" s="414"/>
      <c r="MUB100" s="445"/>
      <c r="MUC100" s="414"/>
      <c r="MUF100" s="445"/>
      <c r="MUG100" s="414"/>
      <c r="MUJ100" s="445"/>
      <c r="MUK100" s="414"/>
      <c r="MUN100" s="445"/>
      <c r="MUO100" s="414"/>
      <c r="MUR100" s="445"/>
      <c r="MUS100" s="414"/>
      <c r="MUV100" s="445"/>
      <c r="MUW100" s="414"/>
      <c r="MUZ100" s="445"/>
      <c r="MVA100" s="414"/>
      <c r="MVD100" s="445"/>
      <c r="MVE100" s="414"/>
      <c r="MVH100" s="445"/>
      <c r="MVI100" s="414"/>
      <c r="MVL100" s="445"/>
      <c r="MVM100" s="414"/>
      <c r="MVP100" s="445"/>
      <c r="MVQ100" s="414"/>
      <c r="MVT100" s="445"/>
      <c r="MVU100" s="414"/>
      <c r="MVX100" s="445"/>
      <c r="MVY100" s="414"/>
      <c r="MWB100" s="445"/>
      <c r="MWC100" s="414"/>
      <c r="MWF100" s="445"/>
      <c r="MWG100" s="414"/>
      <c r="MWJ100" s="445"/>
      <c r="MWK100" s="414"/>
      <c r="MWN100" s="445"/>
      <c r="MWO100" s="414"/>
      <c r="MWR100" s="445"/>
      <c r="MWS100" s="414"/>
      <c r="MWV100" s="445"/>
      <c r="MWW100" s="414"/>
      <c r="MWZ100" s="445"/>
      <c r="MXA100" s="414"/>
      <c r="MXD100" s="445"/>
      <c r="MXE100" s="414"/>
      <c r="MXH100" s="445"/>
      <c r="MXI100" s="414"/>
      <c r="MXL100" s="445"/>
      <c r="MXM100" s="414"/>
      <c r="MXP100" s="445"/>
      <c r="MXQ100" s="414"/>
      <c r="MXT100" s="445"/>
      <c r="MXU100" s="414"/>
      <c r="MXX100" s="445"/>
      <c r="MXY100" s="414"/>
      <c r="MYB100" s="445"/>
      <c r="MYC100" s="414"/>
      <c r="MYF100" s="445"/>
      <c r="MYG100" s="414"/>
      <c r="MYJ100" s="445"/>
      <c r="MYK100" s="414"/>
      <c r="MYN100" s="445"/>
      <c r="MYO100" s="414"/>
      <c r="MYR100" s="445"/>
      <c r="MYS100" s="414"/>
      <c r="MYV100" s="445"/>
      <c r="MYW100" s="414"/>
      <c r="MYZ100" s="445"/>
      <c r="MZA100" s="414"/>
      <c r="MZD100" s="445"/>
      <c r="MZE100" s="414"/>
      <c r="MZH100" s="445"/>
      <c r="MZI100" s="414"/>
      <c r="MZL100" s="445"/>
      <c r="MZM100" s="414"/>
      <c r="MZP100" s="445"/>
      <c r="MZQ100" s="414"/>
      <c r="MZT100" s="445"/>
      <c r="MZU100" s="414"/>
      <c r="MZX100" s="445"/>
      <c r="MZY100" s="414"/>
      <c r="NAB100" s="445"/>
      <c r="NAC100" s="414"/>
      <c r="NAF100" s="445"/>
      <c r="NAG100" s="414"/>
      <c r="NAJ100" s="445"/>
      <c r="NAK100" s="414"/>
      <c r="NAN100" s="445"/>
      <c r="NAO100" s="414"/>
      <c r="NAR100" s="445"/>
      <c r="NAS100" s="414"/>
      <c r="NAV100" s="445"/>
      <c r="NAW100" s="414"/>
      <c r="NAZ100" s="445"/>
      <c r="NBA100" s="414"/>
      <c r="NBD100" s="445"/>
      <c r="NBE100" s="414"/>
      <c r="NBH100" s="445"/>
      <c r="NBI100" s="414"/>
      <c r="NBL100" s="445"/>
      <c r="NBM100" s="414"/>
      <c r="NBP100" s="445"/>
      <c r="NBQ100" s="414"/>
      <c r="NBT100" s="445"/>
      <c r="NBU100" s="414"/>
      <c r="NBX100" s="445"/>
      <c r="NBY100" s="414"/>
      <c r="NCB100" s="445"/>
      <c r="NCC100" s="414"/>
      <c r="NCF100" s="445"/>
      <c r="NCG100" s="414"/>
      <c r="NCJ100" s="445"/>
      <c r="NCK100" s="414"/>
      <c r="NCN100" s="445"/>
      <c r="NCO100" s="414"/>
      <c r="NCR100" s="445"/>
      <c r="NCS100" s="414"/>
      <c r="NCV100" s="445"/>
      <c r="NCW100" s="414"/>
      <c r="NCZ100" s="445"/>
      <c r="NDA100" s="414"/>
      <c r="NDD100" s="445"/>
      <c r="NDE100" s="414"/>
      <c r="NDH100" s="445"/>
      <c r="NDI100" s="414"/>
      <c r="NDL100" s="445"/>
      <c r="NDM100" s="414"/>
      <c r="NDP100" s="445"/>
      <c r="NDQ100" s="414"/>
      <c r="NDT100" s="445"/>
      <c r="NDU100" s="414"/>
      <c r="NDX100" s="445"/>
      <c r="NDY100" s="414"/>
      <c r="NEB100" s="445"/>
      <c r="NEC100" s="414"/>
      <c r="NEF100" s="445"/>
      <c r="NEG100" s="414"/>
      <c r="NEJ100" s="445"/>
      <c r="NEK100" s="414"/>
      <c r="NEN100" s="445"/>
      <c r="NEO100" s="414"/>
      <c r="NER100" s="445"/>
      <c r="NES100" s="414"/>
      <c r="NEV100" s="445"/>
      <c r="NEW100" s="414"/>
      <c r="NEZ100" s="445"/>
      <c r="NFA100" s="414"/>
      <c r="NFD100" s="445"/>
      <c r="NFE100" s="414"/>
      <c r="NFH100" s="445"/>
      <c r="NFI100" s="414"/>
      <c r="NFL100" s="445"/>
      <c r="NFM100" s="414"/>
      <c r="NFP100" s="445"/>
      <c r="NFQ100" s="414"/>
      <c r="NFT100" s="445"/>
      <c r="NFU100" s="414"/>
      <c r="NFX100" s="445"/>
      <c r="NFY100" s="414"/>
      <c r="NGB100" s="445"/>
      <c r="NGC100" s="414"/>
      <c r="NGF100" s="445"/>
      <c r="NGG100" s="414"/>
      <c r="NGJ100" s="445"/>
      <c r="NGK100" s="414"/>
      <c r="NGN100" s="445"/>
      <c r="NGO100" s="414"/>
      <c r="NGR100" s="445"/>
      <c r="NGS100" s="414"/>
      <c r="NGV100" s="445"/>
      <c r="NGW100" s="414"/>
      <c r="NGZ100" s="445"/>
      <c r="NHA100" s="414"/>
      <c r="NHD100" s="445"/>
      <c r="NHE100" s="414"/>
      <c r="NHH100" s="445"/>
      <c r="NHI100" s="414"/>
      <c r="NHL100" s="445"/>
      <c r="NHM100" s="414"/>
      <c r="NHP100" s="445"/>
      <c r="NHQ100" s="414"/>
      <c r="NHT100" s="445"/>
      <c r="NHU100" s="414"/>
      <c r="NHX100" s="445"/>
      <c r="NHY100" s="414"/>
      <c r="NIB100" s="445"/>
      <c r="NIC100" s="414"/>
      <c r="NIF100" s="445"/>
      <c r="NIG100" s="414"/>
      <c r="NIJ100" s="445"/>
      <c r="NIK100" s="414"/>
      <c r="NIN100" s="445"/>
      <c r="NIO100" s="414"/>
      <c r="NIR100" s="445"/>
      <c r="NIS100" s="414"/>
      <c r="NIV100" s="445"/>
      <c r="NIW100" s="414"/>
      <c r="NIZ100" s="445"/>
      <c r="NJA100" s="414"/>
      <c r="NJD100" s="445"/>
      <c r="NJE100" s="414"/>
      <c r="NJH100" s="445"/>
      <c r="NJI100" s="414"/>
      <c r="NJL100" s="445"/>
      <c r="NJM100" s="414"/>
      <c r="NJP100" s="445"/>
      <c r="NJQ100" s="414"/>
      <c r="NJT100" s="445"/>
      <c r="NJU100" s="414"/>
      <c r="NJX100" s="445"/>
      <c r="NJY100" s="414"/>
      <c r="NKB100" s="445"/>
      <c r="NKC100" s="414"/>
      <c r="NKF100" s="445"/>
      <c r="NKG100" s="414"/>
      <c r="NKJ100" s="445"/>
      <c r="NKK100" s="414"/>
      <c r="NKN100" s="445"/>
      <c r="NKO100" s="414"/>
      <c r="NKR100" s="445"/>
      <c r="NKS100" s="414"/>
      <c r="NKV100" s="445"/>
      <c r="NKW100" s="414"/>
      <c r="NKZ100" s="445"/>
      <c r="NLA100" s="414"/>
      <c r="NLD100" s="445"/>
      <c r="NLE100" s="414"/>
      <c r="NLH100" s="445"/>
      <c r="NLI100" s="414"/>
      <c r="NLL100" s="445"/>
      <c r="NLM100" s="414"/>
      <c r="NLP100" s="445"/>
      <c r="NLQ100" s="414"/>
      <c r="NLT100" s="445"/>
      <c r="NLU100" s="414"/>
      <c r="NLX100" s="445"/>
      <c r="NLY100" s="414"/>
      <c r="NMB100" s="445"/>
      <c r="NMC100" s="414"/>
      <c r="NMF100" s="445"/>
      <c r="NMG100" s="414"/>
      <c r="NMJ100" s="445"/>
      <c r="NMK100" s="414"/>
      <c r="NMN100" s="445"/>
      <c r="NMO100" s="414"/>
      <c r="NMR100" s="445"/>
      <c r="NMS100" s="414"/>
      <c r="NMV100" s="445"/>
      <c r="NMW100" s="414"/>
      <c r="NMZ100" s="445"/>
      <c r="NNA100" s="414"/>
      <c r="NND100" s="445"/>
      <c r="NNE100" s="414"/>
      <c r="NNH100" s="445"/>
      <c r="NNI100" s="414"/>
      <c r="NNL100" s="445"/>
      <c r="NNM100" s="414"/>
      <c r="NNP100" s="445"/>
      <c r="NNQ100" s="414"/>
      <c r="NNT100" s="445"/>
      <c r="NNU100" s="414"/>
      <c r="NNX100" s="445"/>
      <c r="NNY100" s="414"/>
      <c r="NOB100" s="445"/>
      <c r="NOC100" s="414"/>
      <c r="NOF100" s="445"/>
      <c r="NOG100" s="414"/>
      <c r="NOJ100" s="445"/>
      <c r="NOK100" s="414"/>
      <c r="NON100" s="445"/>
      <c r="NOO100" s="414"/>
      <c r="NOR100" s="445"/>
      <c r="NOS100" s="414"/>
      <c r="NOV100" s="445"/>
      <c r="NOW100" s="414"/>
      <c r="NOZ100" s="445"/>
      <c r="NPA100" s="414"/>
      <c r="NPD100" s="445"/>
      <c r="NPE100" s="414"/>
      <c r="NPH100" s="445"/>
      <c r="NPI100" s="414"/>
      <c r="NPL100" s="445"/>
      <c r="NPM100" s="414"/>
      <c r="NPP100" s="445"/>
      <c r="NPQ100" s="414"/>
      <c r="NPT100" s="445"/>
      <c r="NPU100" s="414"/>
      <c r="NPX100" s="445"/>
      <c r="NPY100" s="414"/>
      <c r="NQB100" s="445"/>
      <c r="NQC100" s="414"/>
      <c r="NQF100" s="445"/>
      <c r="NQG100" s="414"/>
      <c r="NQJ100" s="445"/>
      <c r="NQK100" s="414"/>
      <c r="NQN100" s="445"/>
      <c r="NQO100" s="414"/>
      <c r="NQR100" s="445"/>
      <c r="NQS100" s="414"/>
      <c r="NQV100" s="445"/>
      <c r="NQW100" s="414"/>
      <c r="NQZ100" s="445"/>
      <c r="NRA100" s="414"/>
      <c r="NRD100" s="445"/>
      <c r="NRE100" s="414"/>
      <c r="NRH100" s="445"/>
      <c r="NRI100" s="414"/>
      <c r="NRL100" s="445"/>
      <c r="NRM100" s="414"/>
      <c r="NRP100" s="445"/>
      <c r="NRQ100" s="414"/>
      <c r="NRT100" s="445"/>
      <c r="NRU100" s="414"/>
      <c r="NRX100" s="445"/>
      <c r="NRY100" s="414"/>
      <c r="NSB100" s="445"/>
      <c r="NSC100" s="414"/>
      <c r="NSF100" s="445"/>
      <c r="NSG100" s="414"/>
      <c r="NSJ100" s="445"/>
      <c r="NSK100" s="414"/>
      <c r="NSN100" s="445"/>
      <c r="NSO100" s="414"/>
      <c r="NSR100" s="445"/>
      <c r="NSS100" s="414"/>
      <c r="NSV100" s="445"/>
      <c r="NSW100" s="414"/>
      <c r="NSZ100" s="445"/>
      <c r="NTA100" s="414"/>
      <c r="NTD100" s="445"/>
      <c r="NTE100" s="414"/>
      <c r="NTH100" s="445"/>
      <c r="NTI100" s="414"/>
      <c r="NTL100" s="445"/>
      <c r="NTM100" s="414"/>
      <c r="NTP100" s="445"/>
      <c r="NTQ100" s="414"/>
      <c r="NTT100" s="445"/>
      <c r="NTU100" s="414"/>
      <c r="NTX100" s="445"/>
      <c r="NTY100" s="414"/>
      <c r="NUB100" s="445"/>
      <c r="NUC100" s="414"/>
      <c r="NUF100" s="445"/>
      <c r="NUG100" s="414"/>
      <c r="NUJ100" s="445"/>
      <c r="NUK100" s="414"/>
      <c r="NUN100" s="445"/>
      <c r="NUO100" s="414"/>
      <c r="NUR100" s="445"/>
      <c r="NUS100" s="414"/>
      <c r="NUV100" s="445"/>
      <c r="NUW100" s="414"/>
      <c r="NUZ100" s="445"/>
      <c r="NVA100" s="414"/>
      <c r="NVD100" s="445"/>
      <c r="NVE100" s="414"/>
      <c r="NVH100" s="445"/>
      <c r="NVI100" s="414"/>
      <c r="NVL100" s="445"/>
      <c r="NVM100" s="414"/>
      <c r="NVP100" s="445"/>
      <c r="NVQ100" s="414"/>
      <c r="NVT100" s="445"/>
      <c r="NVU100" s="414"/>
      <c r="NVX100" s="445"/>
      <c r="NVY100" s="414"/>
      <c r="NWB100" s="445"/>
      <c r="NWC100" s="414"/>
      <c r="NWF100" s="445"/>
      <c r="NWG100" s="414"/>
      <c r="NWJ100" s="445"/>
      <c r="NWK100" s="414"/>
      <c r="NWN100" s="445"/>
      <c r="NWO100" s="414"/>
      <c r="NWR100" s="445"/>
      <c r="NWS100" s="414"/>
      <c r="NWV100" s="445"/>
      <c r="NWW100" s="414"/>
      <c r="NWZ100" s="445"/>
      <c r="NXA100" s="414"/>
      <c r="NXD100" s="445"/>
      <c r="NXE100" s="414"/>
      <c r="NXH100" s="445"/>
      <c r="NXI100" s="414"/>
      <c r="NXL100" s="445"/>
      <c r="NXM100" s="414"/>
      <c r="NXP100" s="445"/>
      <c r="NXQ100" s="414"/>
      <c r="NXT100" s="445"/>
      <c r="NXU100" s="414"/>
      <c r="NXX100" s="445"/>
      <c r="NXY100" s="414"/>
      <c r="NYB100" s="445"/>
      <c r="NYC100" s="414"/>
      <c r="NYF100" s="445"/>
      <c r="NYG100" s="414"/>
      <c r="NYJ100" s="445"/>
      <c r="NYK100" s="414"/>
      <c r="NYN100" s="445"/>
      <c r="NYO100" s="414"/>
      <c r="NYR100" s="445"/>
      <c r="NYS100" s="414"/>
      <c r="NYV100" s="445"/>
      <c r="NYW100" s="414"/>
      <c r="NYZ100" s="445"/>
      <c r="NZA100" s="414"/>
      <c r="NZD100" s="445"/>
      <c r="NZE100" s="414"/>
      <c r="NZH100" s="445"/>
      <c r="NZI100" s="414"/>
      <c r="NZL100" s="445"/>
      <c r="NZM100" s="414"/>
      <c r="NZP100" s="445"/>
      <c r="NZQ100" s="414"/>
      <c r="NZT100" s="445"/>
      <c r="NZU100" s="414"/>
      <c r="NZX100" s="445"/>
      <c r="NZY100" s="414"/>
      <c r="OAB100" s="445"/>
      <c r="OAC100" s="414"/>
      <c r="OAF100" s="445"/>
      <c r="OAG100" s="414"/>
      <c r="OAJ100" s="445"/>
      <c r="OAK100" s="414"/>
      <c r="OAN100" s="445"/>
      <c r="OAO100" s="414"/>
      <c r="OAR100" s="445"/>
      <c r="OAS100" s="414"/>
      <c r="OAV100" s="445"/>
      <c r="OAW100" s="414"/>
      <c r="OAZ100" s="445"/>
      <c r="OBA100" s="414"/>
      <c r="OBD100" s="445"/>
      <c r="OBE100" s="414"/>
      <c r="OBH100" s="445"/>
      <c r="OBI100" s="414"/>
      <c r="OBL100" s="445"/>
      <c r="OBM100" s="414"/>
      <c r="OBP100" s="445"/>
      <c r="OBQ100" s="414"/>
      <c r="OBT100" s="445"/>
      <c r="OBU100" s="414"/>
      <c r="OBX100" s="445"/>
      <c r="OBY100" s="414"/>
      <c r="OCB100" s="445"/>
      <c r="OCC100" s="414"/>
      <c r="OCF100" s="445"/>
      <c r="OCG100" s="414"/>
      <c r="OCJ100" s="445"/>
      <c r="OCK100" s="414"/>
      <c r="OCN100" s="445"/>
      <c r="OCO100" s="414"/>
      <c r="OCR100" s="445"/>
      <c r="OCS100" s="414"/>
      <c r="OCV100" s="445"/>
      <c r="OCW100" s="414"/>
      <c r="OCZ100" s="445"/>
      <c r="ODA100" s="414"/>
      <c r="ODD100" s="445"/>
      <c r="ODE100" s="414"/>
      <c r="ODH100" s="445"/>
      <c r="ODI100" s="414"/>
      <c r="ODL100" s="445"/>
      <c r="ODM100" s="414"/>
      <c r="ODP100" s="445"/>
      <c r="ODQ100" s="414"/>
      <c r="ODT100" s="445"/>
      <c r="ODU100" s="414"/>
      <c r="ODX100" s="445"/>
      <c r="ODY100" s="414"/>
      <c r="OEB100" s="445"/>
      <c r="OEC100" s="414"/>
      <c r="OEF100" s="445"/>
      <c r="OEG100" s="414"/>
      <c r="OEJ100" s="445"/>
      <c r="OEK100" s="414"/>
      <c r="OEN100" s="445"/>
      <c r="OEO100" s="414"/>
      <c r="OER100" s="445"/>
      <c r="OES100" s="414"/>
      <c r="OEV100" s="445"/>
      <c r="OEW100" s="414"/>
      <c r="OEZ100" s="445"/>
      <c r="OFA100" s="414"/>
      <c r="OFD100" s="445"/>
      <c r="OFE100" s="414"/>
      <c r="OFH100" s="445"/>
      <c r="OFI100" s="414"/>
      <c r="OFL100" s="445"/>
      <c r="OFM100" s="414"/>
      <c r="OFP100" s="445"/>
      <c r="OFQ100" s="414"/>
      <c r="OFT100" s="445"/>
      <c r="OFU100" s="414"/>
      <c r="OFX100" s="445"/>
      <c r="OFY100" s="414"/>
      <c r="OGB100" s="445"/>
      <c r="OGC100" s="414"/>
      <c r="OGF100" s="445"/>
      <c r="OGG100" s="414"/>
      <c r="OGJ100" s="445"/>
      <c r="OGK100" s="414"/>
      <c r="OGN100" s="445"/>
      <c r="OGO100" s="414"/>
      <c r="OGR100" s="445"/>
      <c r="OGS100" s="414"/>
      <c r="OGV100" s="445"/>
      <c r="OGW100" s="414"/>
      <c r="OGZ100" s="445"/>
      <c r="OHA100" s="414"/>
      <c r="OHD100" s="445"/>
      <c r="OHE100" s="414"/>
      <c r="OHH100" s="445"/>
      <c r="OHI100" s="414"/>
      <c r="OHL100" s="445"/>
      <c r="OHM100" s="414"/>
      <c r="OHP100" s="445"/>
      <c r="OHQ100" s="414"/>
      <c r="OHT100" s="445"/>
      <c r="OHU100" s="414"/>
      <c r="OHX100" s="445"/>
      <c r="OHY100" s="414"/>
      <c r="OIB100" s="445"/>
      <c r="OIC100" s="414"/>
      <c r="OIF100" s="445"/>
      <c r="OIG100" s="414"/>
      <c r="OIJ100" s="445"/>
      <c r="OIK100" s="414"/>
      <c r="OIN100" s="445"/>
      <c r="OIO100" s="414"/>
      <c r="OIR100" s="445"/>
      <c r="OIS100" s="414"/>
      <c r="OIV100" s="445"/>
      <c r="OIW100" s="414"/>
      <c r="OIZ100" s="445"/>
      <c r="OJA100" s="414"/>
      <c r="OJD100" s="445"/>
      <c r="OJE100" s="414"/>
      <c r="OJH100" s="445"/>
      <c r="OJI100" s="414"/>
      <c r="OJL100" s="445"/>
      <c r="OJM100" s="414"/>
      <c r="OJP100" s="445"/>
      <c r="OJQ100" s="414"/>
      <c r="OJT100" s="445"/>
      <c r="OJU100" s="414"/>
      <c r="OJX100" s="445"/>
      <c r="OJY100" s="414"/>
      <c r="OKB100" s="445"/>
      <c r="OKC100" s="414"/>
      <c r="OKF100" s="445"/>
      <c r="OKG100" s="414"/>
      <c r="OKJ100" s="445"/>
      <c r="OKK100" s="414"/>
      <c r="OKN100" s="445"/>
      <c r="OKO100" s="414"/>
      <c r="OKR100" s="445"/>
      <c r="OKS100" s="414"/>
      <c r="OKV100" s="445"/>
      <c r="OKW100" s="414"/>
      <c r="OKZ100" s="445"/>
      <c r="OLA100" s="414"/>
      <c r="OLD100" s="445"/>
      <c r="OLE100" s="414"/>
      <c r="OLH100" s="445"/>
      <c r="OLI100" s="414"/>
      <c r="OLL100" s="445"/>
      <c r="OLM100" s="414"/>
      <c r="OLP100" s="445"/>
      <c r="OLQ100" s="414"/>
      <c r="OLT100" s="445"/>
      <c r="OLU100" s="414"/>
      <c r="OLX100" s="445"/>
      <c r="OLY100" s="414"/>
      <c r="OMB100" s="445"/>
      <c r="OMC100" s="414"/>
      <c r="OMF100" s="445"/>
      <c r="OMG100" s="414"/>
      <c r="OMJ100" s="445"/>
      <c r="OMK100" s="414"/>
      <c r="OMN100" s="445"/>
      <c r="OMO100" s="414"/>
      <c r="OMR100" s="445"/>
      <c r="OMS100" s="414"/>
      <c r="OMV100" s="445"/>
      <c r="OMW100" s="414"/>
      <c r="OMZ100" s="445"/>
      <c r="ONA100" s="414"/>
      <c r="OND100" s="445"/>
      <c r="ONE100" s="414"/>
      <c r="ONH100" s="445"/>
      <c r="ONI100" s="414"/>
      <c r="ONL100" s="445"/>
      <c r="ONM100" s="414"/>
      <c r="ONP100" s="445"/>
      <c r="ONQ100" s="414"/>
      <c r="ONT100" s="445"/>
      <c r="ONU100" s="414"/>
      <c r="ONX100" s="445"/>
      <c r="ONY100" s="414"/>
      <c r="OOB100" s="445"/>
      <c r="OOC100" s="414"/>
      <c r="OOF100" s="445"/>
      <c r="OOG100" s="414"/>
      <c r="OOJ100" s="445"/>
      <c r="OOK100" s="414"/>
      <c r="OON100" s="445"/>
      <c r="OOO100" s="414"/>
      <c r="OOR100" s="445"/>
      <c r="OOS100" s="414"/>
      <c r="OOV100" s="445"/>
      <c r="OOW100" s="414"/>
      <c r="OOZ100" s="445"/>
      <c r="OPA100" s="414"/>
      <c r="OPD100" s="445"/>
      <c r="OPE100" s="414"/>
      <c r="OPH100" s="445"/>
      <c r="OPI100" s="414"/>
      <c r="OPL100" s="445"/>
      <c r="OPM100" s="414"/>
      <c r="OPP100" s="445"/>
      <c r="OPQ100" s="414"/>
      <c r="OPT100" s="445"/>
      <c r="OPU100" s="414"/>
      <c r="OPX100" s="445"/>
      <c r="OPY100" s="414"/>
      <c r="OQB100" s="445"/>
      <c r="OQC100" s="414"/>
      <c r="OQF100" s="445"/>
      <c r="OQG100" s="414"/>
      <c r="OQJ100" s="445"/>
      <c r="OQK100" s="414"/>
      <c r="OQN100" s="445"/>
      <c r="OQO100" s="414"/>
      <c r="OQR100" s="445"/>
      <c r="OQS100" s="414"/>
      <c r="OQV100" s="445"/>
      <c r="OQW100" s="414"/>
      <c r="OQZ100" s="445"/>
      <c r="ORA100" s="414"/>
      <c r="ORD100" s="445"/>
      <c r="ORE100" s="414"/>
      <c r="ORH100" s="445"/>
      <c r="ORI100" s="414"/>
      <c r="ORL100" s="445"/>
      <c r="ORM100" s="414"/>
      <c r="ORP100" s="445"/>
      <c r="ORQ100" s="414"/>
      <c r="ORT100" s="445"/>
      <c r="ORU100" s="414"/>
      <c r="ORX100" s="445"/>
      <c r="ORY100" s="414"/>
      <c r="OSB100" s="445"/>
      <c r="OSC100" s="414"/>
      <c r="OSF100" s="445"/>
      <c r="OSG100" s="414"/>
      <c r="OSJ100" s="445"/>
      <c r="OSK100" s="414"/>
      <c r="OSN100" s="445"/>
      <c r="OSO100" s="414"/>
      <c r="OSR100" s="445"/>
      <c r="OSS100" s="414"/>
      <c r="OSV100" s="445"/>
      <c r="OSW100" s="414"/>
      <c r="OSZ100" s="445"/>
      <c r="OTA100" s="414"/>
      <c r="OTD100" s="445"/>
      <c r="OTE100" s="414"/>
      <c r="OTH100" s="445"/>
      <c r="OTI100" s="414"/>
      <c r="OTL100" s="445"/>
      <c r="OTM100" s="414"/>
      <c r="OTP100" s="445"/>
      <c r="OTQ100" s="414"/>
      <c r="OTT100" s="445"/>
      <c r="OTU100" s="414"/>
      <c r="OTX100" s="445"/>
      <c r="OTY100" s="414"/>
      <c r="OUB100" s="445"/>
      <c r="OUC100" s="414"/>
      <c r="OUF100" s="445"/>
      <c r="OUG100" s="414"/>
      <c r="OUJ100" s="445"/>
      <c r="OUK100" s="414"/>
      <c r="OUN100" s="445"/>
      <c r="OUO100" s="414"/>
      <c r="OUR100" s="445"/>
      <c r="OUS100" s="414"/>
      <c r="OUV100" s="445"/>
      <c r="OUW100" s="414"/>
      <c r="OUZ100" s="445"/>
      <c r="OVA100" s="414"/>
      <c r="OVD100" s="445"/>
      <c r="OVE100" s="414"/>
      <c r="OVH100" s="445"/>
      <c r="OVI100" s="414"/>
      <c r="OVL100" s="445"/>
      <c r="OVM100" s="414"/>
      <c r="OVP100" s="445"/>
      <c r="OVQ100" s="414"/>
      <c r="OVT100" s="445"/>
      <c r="OVU100" s="414"/>
      <c r="OVX100" s="445"/>
      <c r="OVY100" s="414"/>
      <c r="OWB100" s="445"/>
      <c r="OWC100" s="414"/>
      <c r="OWF100" s="445"/>
      <c r="OWG100" s="414"/>
      <c r="OWJ100" s="445"/>
      <c r="OWK100" s="414"/>
      <c r="OWN100" s="445"/>
      <c r="OWO100" s="414"/>
      <c r="OWR100" s="445"/>
      <c r="OWS100" s="414"/>
      <c r="OWV100" s="445"/>
      <c r="OWW100" s="414"/>
      <c r="OWZ100" s="445"/>
      <c r="OXA100" s="414"/>
      <c r="OXD100" s="445"/>
      <c r="OXE100" s="414"/>
      <c r="OXH100" s="445"/>
      <c r="OXI100" s="414"/>
      <c r="OXL100" s="445"/>
      <c r="OXM100" s="414"/>
      <c r="OXP100" s="445"/>
      <c r="OXQ100" s="414"/>
      <c r="OXT100" s="445"/>
      <c r="OXU100" s="414"/>
      <c r="OXX100" s="445"/>
      <c r="OXY100" s="414"/>
      <c r="OYB100" s="445"/>
      <c r="OYC100" s="414"/>
      <c r="OYF100" s="445"/>
      <c r="OYG100" s="414"/>
      <c r="OYJ100" s="445"/>
      <c r="OYK100" s="414"/>
      <c r="OYN100" s="445"/>
      <c r="OYO100" s="414"/>
      <c r="OYR100" s="445"/>
      <c r="OYS100" s="414"/>
      <c r="OYV100" s="445"/>
      <c r="OYW100" s="414"/>
      <c r="OYZ100" s="445"/>
      <c r="OZA100" s="414"/>
      <c r="OZD100" s="445"/>
      <c r="OZE100" s="414"/>
      <c r="OZH100" s="445"/>
      <c r="OZI100" s="414"/>
      <c r="OZL100" s="445"/>
      <c r="OZM100" s="414"/>
      <c r="OZP100" s="445"/>
      <c r="OZQ100" s="414"/>
      <c r="OZT100" s="445"/>
      <c r="OZU100" s="414"/>
      <c r="OZX100" s="445"/>
      <c r="OZY100" s="414"/>
      <c r="PAB100" s="445"/>
      <c r="PAC100" s="414"/>
      <c r="PAF100" s="445"/>
      <c r="PAG100" s="414"/>
      <c r="PAJ100" s="445"/>
      <c r="PAK100" s="414"/>
      <c r="PAN100" s="445"/>
      <c r="PAO100" s="414"/>
      <c r="PAR100" s="445"/>
      <c r="PAS100" s="414"/>
      <c r="PAV100" s="445"/>
      <c r="PAW100" s="414"/>
      <c r="PAZ100" s="445"/>
      <c r="PBA100" s="414"/>
      <c r="PBD100" s="445"/>
      <c r="PBE100" s="414"/>
      <c r="PBH100" s="445"/>
      <c r="PBI100" s="414"/>
      <c r="PBL100" s="445"/>
      <c r="PBM100" s="414"/>
      <c r="PBP100" s="445"/>
      <c r="PBQ100" s="414"/>
      <c r="PBT100" s="445"/>
      <c r="PBU100" s="414"/>
      <c r="PBX100" s="445"/>
      <c r="PBY100" s="414"/>
      <c r="PCB100" s="445"/>
      <c r="PCC100" s="414"/>
      <c r="PCF100" s="445"/>
      <c r="PCG100" s="414"/>
      <c r="PCJ100" s="445"/>
      <c r="PCK100" s="414"/>
      <c r="PCN100" s="445"/>
      <c r="PCO100" s="414"/>
      <c r="PCR100" s="445"/>
      <c r="PCS100" s="414"/>
      <c r="PCV100" s="445"/>
      <c r="PCW100" s="414"/>
      <c r="PCZ100" s="445"/>
      <c r="PDA100" s="414"/>
      <c r="PDD100" s="445"/>
      <c r="PDE100" s="414"/>
      <c r="PDH100" s="445"/>
      <c r="PDI100" s="414"/>
      <c r="PDL100" s="445"/>
      <c r="PDM100" s="414"/>
      <c r="PDP100" s="445"/>
      <c r="PDQ100" s="414"/>
      <c r="PDT100" s="445"/>
      <c r="PDU100" s="414"/>
      <c r="PDX100" s="445"/>
      <c r="PDY100" s="414"/>
      <c r="PEB100" s="445"/>
      <c r="PEC100" s="414"/>
      <c r="PEF100" s="445"/>
      <c r="PEG100" s="414"/>
      <c r="PEJ100" s="445"/>
      <c r="PEK100" s="414"/>
      <c r="PEN100" s="445"/>
      <c r="PEO100" s="414"/>
      <c r="PER100" s="445"/>
      <c r="PES100" s="414"/>
      <c r="PEV100" s="445"/>
      <c r="PEW100" s="414"/>
      <c r="PEZ100" s="445"/>
      <c r="PFA100" s="414"/>
      <c r="PFD100" s="445"/>
      <c r="PFE100" s="414"/>
      <c r="PFH100" s="445"/>
      <c r="PFI100" s="414"/>
      <c r="PFL100" s="445"/>
      <c r="PFM100" s="414"/>
      <c r="PFP100" s="445"/>
      <c r="PFQ100" s="414"/>
      <c r="PFT100" s="445"/>
      <c r="PFU100" s="414"/>
      <c r="PFX100" s="445"/>
      <c r="PFY100" s="414"/>
      <c r="PGB100" s="445"/>
      <c r="PGC100" s="414"/>
      <c r="PGF100" s="445"/>
      <c r="PGG100" s="414"/>
      <c r="PGJ100" s="445"/>
      <c r="PGK100" s="414"/>
      <c r="PGN100" s="445"/>
      <c r="PGO100" s="414"/>
      <c r="PGR100" s="445"/>
      <c r="PGS100" s="414"/>
      <c r="PGV100" s="445"/>
      <c r="PGW100" s="414"/>
      <c r="PGZ100" s="445"/>
      <c r="PHA100" s="414"/>
      <c r="PHD100" s="445"/>
      <c r="PHE100" s="414"/>
      <c r="PHH100" s="445"/>
      <c r="PHI100" s="414"/>
      <c r="PHL100" s="445"/>
      <c r="PHM100" s="414"/>
      <c r="PHP100" s="445"/>
      <c r="PHQ100" s="414"/>
      <c r="PHT100" s="445"/>
      <c r="PHU100" s="414"/>
      <c r="PHX100" s="445"/>
      <c r="PHY100" s="414"/>
      <c r="PIB100" s="445"/>
      <c r="PIC100" s="414"/>
      <c r="PIF100" s="445"/>
      <c r="PIG100" s="414"/>
      <c r="PIJ100" s="445"/>
      <c r="PIK100" s="414"/>
      <c r="PIN100" s="445"/>
      <c r="PIO100" s="414"/>
      <c r="PIR100" s="445"/>
      <c r="PIS100" s="414"/>
      <c r="PIV100" s="445"/>
      <c r="PIW100" s="414"/>
      <c r="PIZ100" s="445"/>
      <c r="PJA100" s="414"/>
      <c r="PJD100" s="445"/>
      <c r="PJE100" s="414"/>
      <c r="PJH100" s="445"/>
      <c r="PJI100" s="414"/>
      <c r="PJL100" s="445"/>
      <c r="PJM100" s="414"/>
      <c r="PJP100" s="445"/>
      <c r="PJQ100" s="414"/>
      <c r="PJT100" s="445"/>
      <c r="PJU100" s="414"/>
      <c r="PJX100" s="445"/>
      <c r="PJY100" s="414"/>
      <c r="PKB100" s="445"/>
      <c r="PKC100" s="414"/>
      <c r="PKF100" s="445"/>
      <c r="PKG100" s="414"/>
      <c r="PKJ100" s="445"/>
      <c r="PKK100" s="414"/>
      <c r="PKN100" s="445"/>
      <c r="PKO100" s="414"/>
      <c r="PKR100" s="445"/>
      <c r="PKS100" s="414"/>
      <c r="PKV100" s="445"/>
      <c r="PKW100" s="414"/>
      <c r="PKZ100" s="445"/>
      <c r="PLA100" s="414"/>
      <c r="PLD100" s="445"/>
      <c r="PLE100" s="414"/>
      <c r="PLH100" s="445"/>
      <c r="PLI100" s="414"/>
      <c r="PLL100" s="445"/>
      <c r="PLM100" s="414"/>
      <c r="PLP100" s="445"/>
      <c r="PLQ100" s="414"/>
      <c r="PLT100" s="445"/>
      <c r="PLU100" s="414"/>
      <c r="PLX100" s="445"/>
      <c r="PLY100" s="414"/>
      <c r="PMB100" s="445"/>
      <c r="PMC100" s="414"/>
      <c r="PMF100" s="445"/>
      <c r="PMG100" s="414"/>
      <c r="PMJ100" s="445"/>
      <c r="PMK100" s="414"/>
      <c r="PMN100" s="445"/>
      <c r="PMO100" s="414"/>
      <c r="PMR100" s="445"/>
      <c r="PMS100" s="414"/>
      <c r="PMV100" s="445"/>
      <c r="PMW100" s="414"/>
      <c r="PMZ100" s="445"/>
      <c r="PNA100" s="414"/>
      <c r="PND100" s="445"/>
      <c r="PNE100" s="414"/>
      <c r="PNH100" s="445"/>
      <c r="PNI100" s="414"/>
      <c r="PNL100" s="445"/>
      <c r="PNM100" s="414"/>
      <c r="PNP100" s="445"/>
      <c r="PNQ100" s="414"/>
      <c r="PNT100" s="445"/>
      <c r="PNU100" s="414"/>
      <c r="PNX100" s="445"/>
      <c r="PNY100" s="414"/>
      <c r="POB100" s="445"/>
      <c r="POC100" s="414"/>
      <c r="POF100" s="445"/>
      <c r="POG100" s="414"/>
      <c r="POJ100" s="445"/>
      <c r="POK100" s="414"/>
      <c r="PON100" s="445"/>
      <c r="POO100" s="414"/>
      <c r="POR100" s="445"/>
      <c r="POS100" s="414"/>
      <c r="POV100" s="445"/>
      <c r="POW100" s="414"/>
      <c r="POZ100" s="445"/>
      <c r="PPA100" s="414"/>
      <c r="PPD100" s="445"/>
      <c r="PPE100" s="414"/>
      <c r="PPH100" s="445"/>
      <c r="PPI100" s="414"/>
      <c r="PPL100" s="445"/>
      <c r="PPM100" s="414"/>
      <c r="PPP100" s="445"/>
      <c r="PPQ100" s="414"/>
      <c r="PPT100" s="445"/>
      <c r="PPU100" s="414"/>
      <c r="PPX100" s="445"/>
      <c r="PPY100" s="414"/>
      <c r="PQB100" s="445"/>
      <c r="PQC100" s="414"/>
      <c r="PQF100" s="445"/>
      <c r="PQG100" s="414"/>
      <c r="PQJ100" s="445"/>
      <c r="PQK100" s="414"/>
      <c r="PQN100" s="445"/>
      <c r="PQO100" s="414"/>
      <c r="PQR100" s="445"/>
      <c r="PQS100" s="414"/>
      <c r="PQV100" s="445"/>
      <c r="PQW100" s="414"/>
      <c r="PQZ100" s="445"/>
      <c r="PRA100" s="414"/>
      <c r="PRD100" s="445"/>
      <c r="PRE100" s="414"/>
      <c r="PRH100" s="445"/>
      <c r="PRI100" s="414"/>
      <c r="PRL100" s="445"/>
      <c r="PRM100" s="414"/>
      <c r="PRP100" s="445"/>
      <c r="PRQ100" s="414"/>
      <c r="PRT100" s="445"/>
      <c r="PRU100" s="414"/>
      <c r="PRX100" s="445"/>
      <c r="PRY100" s="414"/>
      <c r="PSB100" s="445"/>
      <c r="PSC100" s="414"/>
      <c r="PSF100" s="445"/>
      <c r="PSG100" s="414"/>
      <c r="PSJ100" s="445"/>
      <c r="PSK100" s="414"/>
      <c r="PSN100" s="445"/>
      <c r="PSO100" s="414"/>
      <c r="PSR100" s="445"/>
      <c r="PSS100" s="414"/>
      <c r="PSV100" s="445"/>
      <c r="PSW100" s="414"/>
      <c r="PSZ100" s="445"/>
      <c r="PTA100" s="414"/>
      <c r="PTD100" s="445"/>
      <c r="PTE100" s="414"/>
      <c r="PTH100" s="445"/>
      <c r="PTI100" s="414"/>
      <c r="PTL100" s="445"/>
      <c r="PTM100" s="414"/>
      <c r="PTP100" s="445"/>
      <c r="PTQ100" s="414"/>
      <c r="PTT100" s="445"/>
      <c r="PTU100" s="414"/>
      <c r="PTX100" s="445"/>
      <c r="PTY100" s="414"/>
      <c r="PUB100" s="445"/>
      <c r="PUC100" s="414"/>
      <c r="PUF100" s="445"/>
      <c r="PUG100" s="414"/>
      <c r="PUJ100" s="445"/>
      <c r="PUK100" s="414"/>
      <c r="PUN100" s="445"/>
      <c r="PUO100" s="414"/>
      <c r="PUR100" s="445"/>
      <c r="PUS100" s="414"/>
      <c r="PUV100" s="445"/>
      <c r="PUW100" s="414"/>
      <c r="PUZ100" s="445"/>
      <c r="PVA100" s="414"/>
      <c r="PVD100" s="445"/>
      <c r="PVE100" s="414"/>
      <c r="PVH100" s="445"/>
      <c r="PVI100" s="414"/>
      <c r="PVL100" s="445"/>
      <c r="PVM100" s="414"/>
      <c r="PVP100" s="445"/>
      <c r="PVQ100" s="414"/>
      <c r="PVT100" s="445"/>
      <c r="PVU100" s="414"/>
      <c r="PVX100" s="445"/>
      <c r="PVY100" s="414"/>
      <c r="PWB100" s="445"/>
      <c r="PWC100" s="414"/>
      <c r="PWF100" s="445"/>
      <c r="PWG100" s="414"/>
      <c r="PWJ100" s="445"/>
      <c r="PWK100" s="414"/>
      <c r="PWN100" s="445"/>
      <c r="PWO100" s="414"/>
      <c r="PWR100" s="445"/>
      <c r="PWS100" s="414"/>
      <c r="PWV100" s="445"/>
      <c r="PWW100" s="414"/>
      <c r="PWZ100" s="445"/>
      <c r="PXA100" s="414"/>
      <c r="PXD100" s="445"/>
      <c r="PXE100" s="414"/>
      <c r="PXH100" s="445"/>
      <c r="PXI100" s="414"/>
      <c r="PXL100" s="445"/>
      <c r="PXM100" s="414"/>
      <c r="PXP100" s="445"/>
      <c r="PXQ100" s="414"/>
      <c r="PXT100" s="445"/>
      <c r="PXU100" s="414"/>
      <c r="PXX100" s="445"/>
      <c r="PXY100" s="414"/>
      <c r="PYB100" s="445"/>
      <c r="PYC100" s="414"/>
      <c r="PYF100" s="445"/>
      <c r="PYG100" s="414"/>
      <c r="PYJ100" s="445"/>
      <c r="PYK100" s="414"/>
      <c r="PYN100" s="445"/>
      <c r="PYO100" s="414"/>
      <c r="PYR100" s="445"/>
      <c r="PYS100" s="414"/>
      <c r="PYV100" s="445"/>
      <c r="PYW100" s="414"/>
      <c r="PYZ100" s="445"/>
      <c r="PZA100" s="414"/>
      <c r="PZD100" s="445"/>
      <c r="PZE100" s="414"/>
      <c r="PZH100" s="445"/>
      <c r="PZI100" s="414"/>
      <c r="PZL100" s="445"/>
      <c r="PZM100" s="414"/>
      <c r="PZP100" s="445"/>
      <c r="PZQ100" s="414"/>
      <c r="PZT100" s="445"/>
      <c r="PZU100" s="414"/>
      <c r="PZX100" s="445"/>
      <c r="PZY100" s="414"/>
      <c r="QAB100" s="445"/>
      <c r="QAC100" s="414"/>
      <c r="QAF100" s="445"/>
      <c r="QAG100" s="414"/>
      <c r="QAJ100" s="445"/>
      <c r="QAK100" s="414"/>
      <c r="QAN100" s="445"/>
      <c r="QAO100" s="414"/>
      <c r="QAR100" s="445"/>
      <c r="QAS100" s="414"/>
      <c r="QAV100" s="445"/>
      <c r="QAW100" s="414"/>
      <c r="QAZ100" s="445"/>
      <c r="QBA100" s="414"/>
      <c r="QBD100" s="445"/>
      <c r="QBE100" s="414"/>
      <c r="QBH100" s="445"/>
      <c r="QBI100" s="414"/>
      <c r="QBL100" s="445"/>
      <c r="QBM100" s="414"/>
      <c r="QBP100" s="445"/>
      <c r="QBQ100" s="414"/>
      <c r="QBT100" s="445"/>
      <c r="QBU100" s="414"/>
      <c r="QBX100" s="445"/>
      <c r="QBY100" s="414"/>
      <c r="QCB100" s="445"/>
      <c r="QCC100" s="414"/>
      <c r="QCF100" s="445"/>
      <c r="QCG100" s="414"/>
      <c r="QCJ100" s="445"/>
      <c r="QCK100" s="414"/>
      <c r="QCN100" s="445"/>
      <c r="QCO100" s="414"/>
      <c r="QCR100" s="445"/>
      <c r="QCS100" s="414"/>
      <c r="QCV100" s="445"/>
      <c r="QCW100" s="414"/>
      <c r="QCZ100" s="445"/>
      <c r="QDA100" s="414"/>
      <c r="QDD100" s="445"/>
      <c r="QDE100" s="414"/>
      <c r="QDH100" s="445"/>
      <c r="QDI100" s="414"/>
      <c r="QDL100" s="445"/>
      <c r="QDM100" s="414"/>
      <c r="QDP100" s="445"/>
      <c r="QDQ100" s="414"/>
      <c r="QDT100" s="445"/>
      <c r="QDU100" s="414"/>
      <c r="QDX100" s="445"/>
      <c r="QDY100" s="414"/>
      <c r="QEB100" s="445"/>
      <c r="QEC100" s="414"/>
      <c r="QEF100" s="445"/>
      <c r="QEG100" s="414"/>
      <c r="QEJ100" s="445"/>
      <c r="QEK100" s="414"/>
      <c r="QEN100" s="445"/>
      <c r="QEO100" s="414"/>
      <c r="QER100" s="445"/>
      <c r="QES100" s="414"/>
      <c r="QEV100" s="445"/>
      <c r="QEW100" s="414"/>
      <c r="QEZ100" s="445"/>
      <c r="QFA100" s="414"/>
      <c r="QFD100" s="445"/>
      <c r="QFE100" s="414"/>
      <c r="QFH100" s="445"/>
      <c r="QFI100" s="414"/>
      <c r="QFL100" s="445"/>
      <c r="QFM100" s="414"/>
      <c r="QFP100" s="445"/>
      <c r="QFQ100" s="414"/>
      <c r="QFT100" s="445"/>
      <c r="QFU100" s="414"/>
      <c r="QFX100" s="445"/>
      <c r="QFY100" s="414"/>
      <c r="QGB100" s="445"/>
      <c r="QGC100" s="414"/>
      <c r="QGF100" s="445"/>
      <c r="QGG100" s="414"/>
      <c r="QGJ100" s="445"/>
      <c r="QGK100" s="414"/>
      <c r="QGN100" s="445"/>
      <c r="QGO100" s="414"/>
      <c r="QGR100" s="445"/>
      <c r="QGS100" s="414"/>
      <c r="QGV100" s="445"/>
      <c r="QGW100" s="414"/>
      <c r="QGZ100" s="445"/>
      <c r="QHA100" s="414"/>
      <c r="QHD100" s="445"/>
      <c r="QHE100" s="414"/>
      <c r="QHH100" s="445"/>
      <c r="QHI100" s="414"/>
      <c r="QHL100" s="445"/>
      <c r="QHM100" s="414"/>
      <c r="QHP100" s="445"/>
      <c r="QHQ100" s="414"/>
      <c r="QHT100" s="445"/>
      <c r="QHU100" s="414"/>
      <c r="QHX100" s="445"/>
      <c r="QHY100" s="414"/>
      <c r="QIB100" s="445"/>
      <c r="QIC100" s="414"/>
      <c r="QIF100" s="445"/>
      <c r="QIG100" s="414"/>
      <c r="QIJ100" s="445"/>
      <c r="QIK100" s="414"/>
      <c r="QIN100" s="445"/>
      <c r="QIO100" s="414"/>
      <c r="QIR100" s="445"/>
      <c r="QIS100" s="414"/>
      <c r="QIV100" s="445"/>
      <c r="QIW100" s="414"/>
      <c r="QIZ100" s="445"/>
      <c r="QJA100" s="414"/>
      <c r="QJD100" s="445"/>
      <c r="QJE100" s="414"/>
      <c r="QJH100" s="445"/>
      <c r="QJI100" s="414"/>
      <c r="QJL100" s="445"/>
      <c r="QJM100" s="414"/>
      <c r="QJP100" s="445"/>
      <c r="QJQ100" s="414"/>
      <c r="QJT100" s="445"/>
      <c r="QJU100" s="414"/>
      <c r="QJX100" s="445"/>
      <c r="QJY100" s="414"/>
      <c r="QKB100" s="445"/>
      <c r="QKC100" s="414"/>
      <c r="QKF100" s="445"/>
      <c r="QKG100" s="414"/>
      <c r="QKJ100" s="445"/>
      <c r="QKK100" s="414"/>
      <c r="QKN100" s="445"/>
      <c r="QKO100" s="414"/>
      <c r="QKR100" s="445"/>
      <c r="QKS100" s="414"/>
      <c r="QKV100" s="445"/>
      <c r="QKW100" s="414"/>
      <c r="QKZ100" s="445"/>
      <c r="QLA100" s="414"/>
      <c r="QLD100" s="445"/>
      <c r="QLE100" s="414"/>
      <c r="QLH100" s="445"/>
      <c r="QLI100" s="414"/>
      <c r="QLL100" s="445"/>
      <c r="QLM100" s="414"/>
      <c r="QLP100" s="445"/>
      <c r="QLQ100" s="414"/>
      <c r="QLT100" s="445"/>
      <c r="QLU100" s="414"/>
      <c r="QLX100" s="445"/>
      <c r="QLY100" s="414"/>
      <c r="QMB100" s="445"/>
      <c r="QMC100" s="414"/>
      <c r="QMF100" s="445"/>
      <c r="QMG100" s="414"/>
      <c r="QMJ100" s="445"/>
      <c r="QMK100" s="414"/>
      <c r="QMN100" s="445"/>
      <c r="QMO100" s="414"/>
      <c r="QMR100" s="445"/>
      <c r="QMS100" s="414"/>
      <c r="QMV100" s="445"/>
      <c r="QMW100" s="414"/>
      <c r="QMZ100" s="445"/>
      <c r="QNA100" s="414"/>
      <c r="QND100" s="445"/>
      <c r="QNE100" s="414"/>
      <c r="QNH100" s="445"/>
      <c r="QNI100" s="414"/>
      <c r="QNL100" s="445"/>
      <c r="QNM100" s="414"/>
      <c r="QNP100" s="445"/>
      <c r="QNQ100" s="414"/>
      <c r="QNT100" s="445"/>
      <c r="QNU100" s="414"/>
      <c r="QNX100" s="445"/>
      <c r="QNY100" s="414"/>
      <c r="QOB100" s="445"/>
      <c r="QOC100" s="414"/>
      <c r="QOF100" s="445"/>
      <c r="QOG100" s="414"/>
      <c r="QOJ100" s="445"/>
      <c r="QOK100" s="414"/>
      <c r="QON100" s="445"/>
      <c r="QOO100" s="414"/>
      <c r="QOR100" s="445"/>
      <c r="QOS100" s="414"/>
      <c r="QOV100" s="445"/>
      <c r="QOW100" s="414"/>
      <c r="QOZ100" s="445"/>
      <c r="QPA100" s="414"/>
      <c r="QPD100" s="445"/>
      <c r="QPE100" s="414"/>
      <c r="QPH100" s="445"/>
      <c r="QPI100" s="414"/>
      <c r="QPL100" s="445"/>
      <c r="QPM100" s="414"/>
      <c r="QPP100" s="445"/>
      <c r="QPQ100" s="414"/>
      <c r="QPT100" s="445"/>
      <c r="QPU100" s="414"/>
      <c r="QPX100" s="445"/>
      <c r="QPY100" s="414"/>
      <c r="QQB100" s="445"/>
      <c r="QQC100" s="414"/>
      <c r="QQF100" s="445"/>
      <c r="QQG100" s="414"/>
      <c r="QQJ100" s="445"/>
      <c r="QQK100" s="414"/>
      <c r="QQN100" s="445"/>
      <c r="QQO100" s="414"/>
      <c r="QQR100" s="445"/>
      <c r="QQS100" s="414"/>
      <c r="QQV100" s="445"/>
      <c r="QQW100" s="414"/>
      <c r="QQZ100" s="445"/>
      <c r="QRA100" s="414"/>
      <c r="QRD100" s="445"/>
      <c r="QRE100" s="414"/>
      <c r="QRH100" s="445"/>
      <c r="QRI100" s="414"/>
      <c r="QRL100" s="445"/>
      <c r="QRM100" s="414"/>
      <c r="QRP100" s="445"/>
      <c r="QRQ100" s="414"/>
      <c r="QRT100" s="445"/>
      <c r="QRU100" s="414"/>
      <c r="QRX100" s="445"/>
      <c r="QRY100" s="414"/>
      <c r="QSB100" s="445"/>
      <c r="QSC100" s="414"/>
      <c r="QSF100" s="445"/>
      <c r="QSG100" s="414"/>
      <c r="QSJ100" s="445"/>
      <c r="QSK100" s="414"/>
      <c r="QSN100" s="445"/>
      <c r="QSO100" s="414"/>
      <c r="QSR100" s="445"/>
      <c r="QSS100" s="414"/>
      <c r="QSV100" s="445"/>
      <c r="QSW100" s="414"/>
      <c r="QSZ100" s="445"/>
      <c r="QTA100" s="414"/>
      <c r="QTD100" s="445"/>
      <c r="QTE100" s="414"/>
      <c r="QTH100" s="445"/>
      <c r="QTI100" s="414"/>
      <c r="QTL100" s="445"/>
      <c r="QTM100" s="414"/>
      <c r="QTP100" s="445"/>
      <c r="QTQ100" s="414"/>
      <c r="QTT100" s="445"/>
      <c r="QTU100" s="414"/>
      <c r="QTX100" s="445"/>
      <c r="QTY100" s="414"/>
      <c r="QUB100" s="445"/>
      <c r="QUC100" s="414"/>
      <c r="QUF100" s="445"/>
      <c r="QUG100" s="414"/>
      <c r="QUJ100" s="445"/>
      <c r="QUK100" s="414"/>
      <c r="QUN100" s="445"/>
      <c r="QUO100" s="414"/>
      <c r="QUR100" s="445"/>
      <c r="QUS100" s="414"/>
      <c r="QUV100" s="445"/>
      <c r="QUW100" s="414"/>
      <c r="QUZ100" s="445"/>
      <c r="QVA100" s="414"/>
      <c r="QVD100" s="445"/>
      <c r="QVE100" s="414"/>
      <c r="QVH100" s="445"/>
      <c r="QVI100" s="414"/>
      <c r="QVL100" s="445"/>
      <c r="QVM100" s="414"/>
      <c r="QVP100" s="445"/>
      <c r="QVQ100" s="414"/>
      <c r="QVT100" s="445"/>
      <c r="QVU100" s="414"/>
      <c r="QVX100" s="445"/>
      <c r="QVY100" s="414"/>
      <c r="QWB100" s="445"/>
      <c r="QWC100" s="414"/>
      <c r="QWF100" s="445"/>
      <c r="QWG100" s="414"/>
      <c r="QWJ100" s="445"/>
      <c r="QWK100" s="414"/>
      <c r="QWN100" s="445"/>
      <c r="QWO100" s="414"/>
      <c r="QWR100" s="445"/>
      <c r="QWS100" s="414"/>
      <c r="QWV100" s="445"/>
      <c r="QWW100" s="414"/>
      <c r="QWZ100" s="445"/>
      <c r="QXA100" s="414"/>
      <c r="QXD100" s="445"/>
      <c r="QXE100" s="414"/>
      <c r="QXH100" s="445"/>
      <c r="QXI100" s="414"/>
      <c r="QXL100" s="445"/>
      <c r="QXM100" s="414"/>
      <c r="QXP100" s="445"/>
      <c r="QXQ100" s="414"/>
      <c r="QXT100" s="445"/>
      <c r="QXU100" s="414"/>
      <c r="QXX100" s="445"/>
      <c r="QXY100" s="414"/>
      <c r="QYB100" s="445"/>
      <c r="QYC100" s="414"/>
      <c r="QYF100" s="445"/>
      <c r="QYG100" s="414"/>
      <c r="QYJ100" s="445"/>
      <c r="QYK100" s="414"/>
      <c r="QYN100" s="445"/>
      <c r="QYO100" s="414"/>
      <c r="QYR100" s="445"/>
      <c r="QYS100" s="414"/>
      <c r="QYV100" s="445"/>
      <c r="QYW100" s="414"/>
      <c r="QYZ100" s="445"/>
      <c r="QZA100" s="414"/>
      <c r="QZD100" s="445"/>
      <c r="QZE100" s="414"/>
      <c r="QZH100" s="445"/>
      <c r="QZI100" s="414"/>
      <c r="QZL100" s="445"/>
      <c r="QZM100" s="414"/>
      <c r="QZP100" s="445"/>
      <c r="QZQ100" s="414"/>
      <c r="QZT100" s="445"/>
      <c r="QZU100" s="414"/>
      <c r="QZX100" s="445"/>
      <c r="QZY100" s="414"/>
      <c r="RAB100" s="445"/>
      <c r="RAC100" s="414"/>
      <c r="RAF100" s="445"/>
      <c r="RAG100" s="414"/>
      <c r="RAJ100" s="445"/>
      <c r="RAK100" s="414"/>
      <c r="RAN100" s="445"/>
      <c r="RAO100" s="414"/>
      <c r="RAR100" s="445"/>
      <c r="RAS100" s="414"/>
      <c r="RAV100" s="445"/>
      <c r="RAW100" s="414"/>
      <c r="RAZ100" s="445"/>
      <c r="RBA100" s="414"/>
      <c r="RBD100" s="445"/>
      <c r="RBE100" s="414"/>
      <c r="RBH100" s="445"/>
      <c r="RBI100" s="414"/>
      <c r="RBL100" s="445"/>
      <c r="RBM100" s="414"/>
      <c r="RBP100" s="445"/>
      <c r="RBQ100" s="414"/>
      <c r="RBT100" s="445"/>
      <c r="RBU100" s="414"/>
      <c r="RBX100" s="445"/>
      <c r="RBY100" s="414"/>
      <c r="RCB100" s="445"/>
      <c r="RCC100" s="414"/>
      <c r="RCF100" s="445"/>
      <c r="RCG100" s="414"/>
      <c r="RCJ100" s="445"/>
      <c r="RCK100" s="414"/>
      <c r="RCN100" s="445"/>
      <c r="RCO100" s="414"/>
      <c r="RCR100" s="445"/>
      <c r="RCS100" s="414"/>
      <c r="RCV100" s="445"/>
      <c r="RCW100" s="414"/>
      <c r="RCZ100" s="445"/>
      <c r="RDA100" s="414"/>
      <c r="RDD100" s="445"/>
      <c r="RDE100" s="414"/>
      <c r="RDH100" s="445"/>
      <c r="RDI100" s="414"/>
      <c r="RDL100" s="445"/>
      <c r="RDM100" s="414"/>
      <c r="RDP100" s="445"/>
      <c r="RDQ100" s="414"/>
      <c r="RDT100" s="445"/>
      <c r="RDU100" s="414"/>
      <c r="RDX100" s="445"/>
      <c r="RDY100" s="414"/>
      <c r="REB100" s="445"/>
      <c r="REC100" s="414"/>
      <c r="REF100" s="445"/>
      <c r="REG100" s="414"/>
      <c r="REJ100" s="445"/>
      <c r="REK100" s="414"/>
      <c r="REN100" s="445"/>
      <c r="REO100" s="414"/>
      <c r="RER100" s="445"/>
      <c r="RES100" s="414"/>
      <c r="REV100" s="445"/>
      <c r="REW100" s="414"/>
      <c r="REZ100" s="445"/>
      <c r="RFA100" s="414"/>
      <c r="RFD100" s="445"/>
      <c r="RFE100" s="414"/>
      <c r="RFH100" s="445"/>
      <c r="RFI100" s="414"/>
      <c r="RFL100" s="445"/>
      <c r="RFM100" s="414"/>
      <c r="RFP100" s="445"/>
      <c r="RFQ100" s="414"/>
      <c r="RFT100" s="445"/>
      <c r="RFU100" s="414"/>
      <c r="RFX100" s="445"/>
      <c r="RFY100" s="414"/>
      <c r="RGB100" s="445"/>
      <c r="RGC100" s="414"/>
      <c r="RGF100" s="445"/>
      <c r="RGG100" s="414"/>
      <c r="RGJ100" s="445"/>
      <c r="RGK100" s="414"/>
      <c r="RGN100" s="445"/>
      <c r="RGO100" s="414"/>
      <c r="RGR100" s="445"/>
      <c r="RGS100" s="414"/>
      <c r="RGV100" s="445"/>
      <c r="RGW100" s="414"/>
      <c r="RGZ100" s="445"/>
      <c r="RHA100" s="414"/>
      <c r="RHD100" s="445"/>
      <c r="RHE100" s="414"/>
      <c r="RHH100" s="445"/>
      <c r="RHI100" s="414"/>
      <c r="RHL100" s="445"/>
      <c r="RHM100" s="414"/>
      <c r="RHP100" s="445"/>
      <c r="RHQ100" s="414"/>
      <c r="RHT100" s="445"/>
      <c r="RHU100" s="414"/>
      <c r="RHX100" s="445"/>
      <c r="RHY100" s="414"/>
      <c r="RIB100" s="445"/>
      <c r="RIC100" s="414"/>
      <c r="RIF100" s="445"/>
      <c r="RIG100" s="414"/>
      <c r="RIJ100" s="445"/>
      <c r="RIK100" s="414"/>
      <c r="RIN100" s="445"/>
      <c r="RIO100" s="414"/>
      <c r="RIR100" s="445"/>
      <c r="RIS100" s="414"/>
      <c r="RIV100" s="445"/>
      <c r="RIW100" s="414"/>
      <c r="RIZ100" s="445"/>
      <c r="RJA100" s="414"/>
      <c r="RJD100" s="445"/>
      <c r="RJE100" s="414"/>
      <c r="RJH100" s="445"/>
      <c r="RJI100" s="414"/>
      <c r="RJL100" s="445"/>
      <c r="RJM100" s="414"/>
      <c r="RJP100" s="445"/>
      <c r="RJQ100" s="414"/>
      <c r="RJT100" s="445"/>
      <c r="RJU100" s="414"/>
      <c r="RJX100" s="445"/>
      <c r="RJY100" s="414"/>
      <c r="RKB100" s="445"/>
      <c r="RKC100" s="414"/>
      <c r="RKF100" s="445"/>
      <c r="RKG100" s="414"/>
      <c r="RKJ100" s="445"/>
      <c r="RKK100" s="414"/>
      <c r="RKN100" s="445"/>
      <c r="RKO100" s="414"/>
      <c r="RKR100" s="445"/>
      <c r="RKS100" s="414"/>
      <c r="RKV100" s="445"/>
      <c r="RKW100" s="414"/>
      <c r="RKZ100" s="445"/>
      <c r="RLA100" s="414"/>
      <c r="RLD100" s="445"/>
      <c r="RLE100" s="414"/>
      <c r="RLH100" s="445"/>
      <c r="RLI100" s="414"/>
      <c r="RLL100" s="445"/>
      <c r="RLM100" s="414"/>
      <c r="RLP100" s="445"/>
      <c r="RLQ100" s="414"/>
      <c r="RLT100" s="445"/>
      <c r="RLU100" s="414"/>
      <c r="RLX100" s="445"/>
      <c r="RLY100" s="414"/>
      <c r="RMB100" s="445"/>
      <c r="RMC100" s="414"/>
      <c r="RMF100" s="445"/>
      <c r="RMG100" s="414"/>
      <c r="RMJ100" s="445"/>
      <c r="RMK100" s="414"/>
      <c r="RMN100" s="445"/>
      <c r="RMO100" s="414"/>
      <c r="RMR100" s="445"/>
      <c r="RMS100" s="414"/>
      <c r="RMV100" s="445"/>
      <c r="RMW100" s="414"/>
      <c r="RMZ100" s="445"/>
      <c r="RNA100" s="414"/>
      <c r="RND100" s="445"/>
      <c r="RNE100" s="414"/>
      <c r="RNH100" s="445"/>
      <c r="RNI100" s="414"/>
      <c r="RNL100" s="445"/>
      <c r="RNM100" s="414"/>
      <c r="RNP100" s="445"/>
      <c r="RNQ100" s="414"/>
      <c r="RNT100" s="445"/>
      <c r="RNU100" s="414"/>
      <c r="RNX100" s="445"/>
      <c r="RNY100" s="414"/>
      <c r="ROB100" s="445"/>
      <c r="ROC100" s="414"/>
      <c r="ROF100" s="445"/>
      <c r="ROG100" s="414"/>
      <c r="ROJ100" s="445"/>
      <c r="ROK100" s="414"/>
      <c r="RON100" s="445"/>
      <c r="ROO100" s="414"/>
      <c r="ROR100" s="445"/>
      <c r="ROS100" s="414"/>
      <c r="ROV100" s="445"/>
      <c r="ROW100" s="414"/>
      <c r="ROZ100" s="445"/>
      <c r="RPA100" s="414"/>
      <c r="RPD100" s="445"/>
      <c r="RPE100" s="414"/>
      <c r="RPH100" s="445"/>
      <c r="RPI100" s="414"/>
      <c r="RPL100" s="445"/>
      <c r="RPM100" s="414"/>
      <c r="RPP100" s="445"/>
      <c r="RPQ100" s="414"/>
      <c r="RPT100" s="445"/>
      <c r="RPU100" s="414"/>
      <c r="RPX100" s="445"/>
      <c r="RPY100" s="414"/>
      <c r="RQB100" s="445"/>
      <c r="RQC100" s="414"/>
      <c r="RQF100" s="445"/>
      <c r="RQG100" s="414"/>
      <c r="RQJ100" s="445"/>
      <c r="RQK100" s="414"/>
      <c r="RQN100" s="445"/>
      <c r="RQO100" s="414"/>
      <c r="RQR100" s="445"/>
      <c r="RQS100" s="414"/>
      <c r="RQV100" s="445"/>
      <c r="RQW100" s="414"/>
      <c r="RQZ100" s="445"/>
      <c r="RRA100" s="414"/>
      <c r="RRD100" s="445"/>
      <c r="RRE100" s="414"/>
      <c r="RRH100" s="445"/>
      <c r="RRI100" s="414"/>
      <c r="RRL100" s="445"/>
      <c r="RRM100" s="414"/>
      <c r="RRP100" s="445"/>
      <c r="RRQ100" s="414"/>
      <c r="RRT100" s="445"/>
      <c r="RRU100" s="414"/>
      <c r="RRX100" s="445"/>
      <c r="RRY100" s="414"/>
      <c r="RSB100" s="445"/>
      <c r="RSC100" s="414"/>
      <c r="RSF100" s="445"/>
      <c r="RSG100" s="414"/>
      <c r="RSJ100" s="445"/>
      <c r="RSK100" s="414"/>
      <c r="RSN100" s="445"/>
      <c r="RSO100" s="414"/>
      <c r="RSR100" s="445"/>
      <c r="RSS100" s="414"/>
      <c r="RSV100" s="445"/>
      <c r="RSW100" s="414"/>
      <c r="RSZ100" s="445"/>
      <c r="RTA100" s="414"/>
      <c r="RTD100" s="445"/>
      <c r="RTE100" s="414"/>
      <c r="RTH100" s="445"/>
      <c r="RTI100" s="414"/>
      <c r="RTL100" s="445"/>
      <c r="RTM100" s="414"/>
      <c r="RTP100" s="445"/>
      <c r="RTQ100" s="414"/>
      <c r="RTT100" s="445"/>
      <c r="RTU100" s="414"/>
      <c r="RTX100" s="445"/>
      <c r="RTY100" s="414"/>
      <c r="RUB100" s="445"/>
      <c r="RUC100" s="414"/>
      <c r="RUF100" s="445"/>
      <c r="RUG100" s="414"/>
      <c r="RUJ100" s="445"/>
      <c r="RUK100" s="414"/>
      <c r="RUN100" s="445"/>
      <c r="RUO100" s="414"/>
      <c r="RUR100" s="445"/>
      <c r="RUS100" s="414"/>
      <c r="RUV100" s="445"/>
      <c r="RUW100" s="414"/>
      <c r="RUZ100" s="445"/>
      <c r="RVA100" s="414"/>
      <c r="RVD100" s="445"/>
      <c r="RVE100" s="414"/>
      <c r="RVH100" s="445"/>
      <c r="RVI100" s="414"/>
      <c r="RVL100" s="445"/>
      <c r="RVM100" s="414"/>
      <c r="RVP100" s="445"/>
      <c r="RVQ100" s="414"/>
      <c r="RVT100" s="445"/>
      <c r="RVU100" s="414"/>
      <c r="RVX100" s="445"/>
      <c r="RVY100" s="414"/>
      <c r="RWB100" s="445"/>
      <c r="RWC100" s="414"/>
      <c r="RWF100" s="445"/>
      <c r="RWG100" s="414"/>
      <c r="RWJ100" s="445"/>
      <c r="RWK100" s="414"/>
      <c r="RWN100" s="445"/>
      <c r="RWO100" s="414"/>
      <c r="RWR100" s="445"/>
      <c r="RWS100" s="414"/>
      <c r="RWV100" s="445"/>
      <c r="RWW100" s="414"/>
      <c r="RWZ100" s="445"/>
      <c r="RXA100" s="414"/>
      <c r="RXD100" s="445"/>
      <c r="RXE100" s="414"/>
      <c r="RXH100" s="445"/>
      <c r="RXI100" s="414"/>
      <c r="RXL100" s="445"/>
      <c r="RXM100" s="414"/>
      <c r="RXP100" s="445"/>
      <c r="RXQ100" s="414"/>
      <c r="RXT100" s="445"/>
      <c r="RXU100" s="414"/>
      <c r="RXX100" s="445"/>
      <c r="RXY100" s="414"/>
      <c r="RYB100" s="445"/>
      <c r="RYC100" s="414"/>
      <c r="RYF100" s="445"/>
      <c r="RYG100" s="414"/>
      <c r="RYJ100" s="445"/>
      <c r="RYK100" s="414"/>
      <c r="RYN100" s="445"/>
      <c r="RYO100" s="414"/>
      <c r="RYR100" s="445"/>
      <c r="RYS100" s="414"/>
      <c r="RYV100" s="445"/>
      <c r="RYW100" s="414"/>
      <c r="RYZ100" s="445"/>
      <c r="RZA100" s="414"/>
      <c r="RZD100" s="445"/>
      <c r="RZE100" s="414"/>
      <c r="RZH100" s="445"/>
      <c r="RZI100" s="414"/>
      <c r="RZL100" s="445"/>
      <c r="RZM100" s="414"/>
      <c r="RZP100" s="445"/>
      <c r="RZQ100" s="414"/>
      <c r="RZT100" s="445"/>
      <c r="RZU100" s="414"/>
      <c r="RZX100" s="445"/>
      <c r="RZY100" s="414"/>
      <c r="SAB100" s="445"/>
      <c r="SAC100" s="414"/>
      <c r="SAF100" s="445"/>
      <c r="SAG100" s="414"/>
      <c r="SAJ100" s="445"/>
      <c r="SAK100" s="414"/>
      <c r="SAN100" s="445"/>
      <c r="SAO100" s="414"/>
      <c r="SAR100" s="445"/>
      <c r="SAS100" s="414"/>
      <c r="SAV100" s="445"/>
      <c r="SAW100" s="414"/>
      <c r="SAZ100" s="445"/>
      <c r="SBA100" s="414"/>
      <c r="SBD100" s="445"/>
      <c r="SBE100" s="414"/>
      <c r="SBH100" s="445"/>
      <c r="SBI100" s="414"/>
      <c r="SBL100" s="445"/>
      <c r="SBM100" s="414"/>
      <c r="SBP100" s="445"/>
      <c r="SBQ100" s="414"/>
      <c r="SBT100" s="445"/>
      <c r="SBU100" s="414"/>
      <c r="SBX100" s="445"/>
      <c r="SBY100" s="414"/>
      <c r="SCB100" s="445"/>
      <c r="SCC100" s="414"/>
      <c r="SCF100" s="445"/>
      <c r="SCG100" s="414"/>
      <c r="SCJ100" s="445"/>
      <c r="SCK100" s="414"/>
      <c r="SCN100" s="445"/>
      <c r="SCO100" s="414"/>
      <c r="SCR100" s="445"/>
      <c r="SCS100" s="414"/>
      <c r="SCV100" s="445"/>
      <c r="SCW100" s="414"/>
      <c r="SCZ100" s="445"/>
      <c r="SDA100" s="414"/>
      <c r="SDD100" s="445"/>
      <c r="SDE100" s="414"/>
      <c r="SDH100" s="445"/>
      <c r="SDI100" s="414"/>
      <c r="SDL100" s="445"/>
      <c r="SDM100" s="414"/>
      <c r="SDP100" s="445"/>
      <c r="SDQ100" s="414"/>
      <c r="SDT100" s="445"/>
      <c r="SDU100" s="414"/>
      <c r="SDX100" s="445"/>
      <c r="SDY100" s="414"/>
      <c r="SEB100" s="445"/>
      <c r="SEC100" s="414"/>
      <c r="SEF100" s="445"/>
      <c r="SEG100" s="414"/>
      <c r="SEJ100" s="445"/>
      <c r="SEK100" s="414"/>
      <c r="SEN100" s="445"/>
      <c r="SEO100" s="414"/>
      <c r="SER100" s="445"/>
      <c r="SES100" s="414"/>
      <c r="SEV100" s="445"/>
      <c r="SEW100" s="414"/>
      <c r="SEZ100" s="445"/>
      <c r="SFA100" s="414"/>
      <c r="SFD100" s="445"/>
      <c r="SFE100" s="414"/>
      <c r="SFH100" s="445"/>
      <c r="SFI100" s="414"/>
      <c r="SFL100" s="445"/>
      <c r="SFM100" s="414"/>
      <c r="SFP100" s="445"/>
      <c r="SFQ100" s="414"/>
      <c r="SFT100" s="445"/>
      <c r="SFU100" s="414"/>
      <c r="SFX100" s="445"/>
      <c r="SFY100" s="414"/>
      <c r="SGB100" s="445"/>
      <c r="SGC100" s="414"/>
      <c r="SGF100" s="445"/>
      <c r="SGG100" s="414"/>
      <c r="SGJ100" s="445"/>
      <c r="SGK100" s="414"/>
      <c r="SGN100" s="445"/>
      <c r="SGO100" s="414"/>
      <c r="SGR100" s="445"/>
      <c r="SGS100" s="414"/>
      <c r="SGV100" s="445"/>
      <c r="SGW100" s="414"/>
      <c r="SGZ100" s="445"/>
      <c r="SHA100" s="414"/>
      <c r="SHD100" s="445"/>
      <c r="SHE100" s="414"/>
      <c r="SHH100" s="445"/>
      <c r="SHI100" s="414"/>
      <c r="SHL100" s="445"/>
      <c r="SHM100" s="414"/>
      <c r="SHP100" s="445"/>
      <c r="SHQ100" s="414"/>
      <c r="SHT100" s="445"/>
      <c r="SHU100" s="414"/>
      <c r="SHX100" s="445"/>
      <c r="SHY100" s="414"/>
      <c r="SIB100" s="445"/>
      <c r="SIC100" s="414"/>
      <c r="SIF100" s="445"/>
      <c r="SIG100" s="414"/>
      <c r="SIJ100" s="445"/>
      <c r="SIK100" s="414"/>
      <c r="SIN100" s="445"/>
      <c r="SIO100" s="414"/>
      <c r="SIR100" s="445"/>
      <c r="SIS100" s="414"/>
      <c r="SIV100" s="445"/>
      <c r="SIW100" s="414"/>
      <c r="SIZ100" s="445"/>
      <c r="SJA100" s="414"/>
      <c r="SJD100" s="445"/>
      <c r="SJE100" s="414"/>
      <c r="SJH100" s="445"/>
      <c r="SJI100" s="414"/>
      <c r="SJL100" s="445"/>
      <c r="SJM100" s="414"/>
      <c r="SJP100" s="445"/>
      <c r="SJQ100" s="414"/>
      <c r="SJT100" s="445"/>
      <c r="SJU100" s="414"/>
      <c r="SJX100" s="445"/>
      <c r="SJY100" s="414"/>
      <c r="SKB100" s="445"/>
      <c r="SKC100" s="414"/>
      <c r="SKF100" s="445"/>
      <c r="SKG100" s="414"/>
      <c r="SKJ100" s="445"/>
      <c r="SKK100" s="414"/>
      <c r="SKN100" s="445"/>
      <c r="SKO100" s="414"/>
      <c r="SKR100" s="445"/>
      <c r="SKS100" s="414"/>
      <c r="SKV100" s="445"/>
      <c r="SKW100" s="414"/>
      <c r="SKZ100" s="445"/>
      <c r="SLA100" s="414"/>
      <c r="SLD100" s="445"/>
      <c r="SLE100" s="414"/>
      <c r="SLH100" s="445"/>
      <c r="SLI100" s="414"/>
      <c r="SLL100" s="445"/>
      <c r="SLM100" s="414"/>
      <c r="SLP100" s="445"/>
      <c r="SLQ100" s="414"/>
      <c r="SLT100" s="445"/>
      <c r="SLU100" s="414"/>
      <c r="SLX100" s="445"/>
      <c r="SLY100" s="414"/>
      <c r="SMB100" s="445"/>
      <c r="SMC100" s="414"/>
      <c r="SMF100" s="445"/>
      <c r="SMG100" s="414"/>
      <c r="SMJ100" s="445"/>
      <c r="SMK100" s="414"/>
      <c r="SMN100" s="445"/>
      <c r="SMO100" s="414"/>
      <c r="SMR100" s="445"/>
      <c r="SMS100" s="414"/>
      <c r="SMV100" s="445"/>
      <c r="SMW100" s="414"/>
      <c r="SMZ100" s="445"/>
      <c r="SNA100" s="414"/>
      <c r="SND100" s="445"/>
      <c r="SNE100" s="414"/>
      <c r="SNH100" s="445"/>
      <c r="SNI100" s="414"/>
      <c r="SNL100" s="445"/>
      <c r="SNM100" s="414"/>
      <c r="SNP100" s="445"/>
      <c r="SNQ100" s="414"/>
      <c r="SNT100" s="445"/>
      <c r="SNU100" s="414"/>
      <c r="SNX100" s="445"/>
      <c r="SNY100" s="414"/>
      <c r="SOB100" s="445"/>
      <c r="SOC100" s="414"/>
      <c r="SOF100" s="445"/>
      <c r="SOG100" s="414"/>
      <c r="SOJ100" s="445"/>
      <c r="SOK100" s="414"/>
      <c r="SON100" s="445"/>
      <c r="SOO100" s="414"/>
      <c r="SOR100" s="445"/>
      <c r="SOS100" s="414"/>
      <c r="SOV100" s="445"/>
      <c r="SOW100" s="414"/>
      <c r="SOZ100" s="445"/>
      <c r="SPA100" s="414"/>
      <c r="SPD100" s="445"/>
      <c r="SPE100" s="414"/>
      <c r="SPH100" s="445"/>
      <c r="SPI100" s="414"/>
      <c r="SPL100" s="445"/>
      <c r="SPM100" s="414"/>
      <c r="SPP100" s="445"/>
      <c r="SPQ100" s="414"/>
      <c r="SPT100" s="445"/>
      <c r="SPU100" s="414"/>
      <c r="SPX100" s="445"/>
      <c r="SPY100" s="414"/>
      <c r="SQB100" s="445"/>
      <c r="SQC100" s="414"/>
      <c r="SQF100" s="445"/>
      <c r="SQG100" s="414"/>
      <c r="SQJ100" s="445"/>
      <c r="SQK100" s="414"/>
      <c r="SQN100" s="445"/>
      <c r="SQO100" s="414"/>
      <c r="SQR100" s="445"/>
      <c r="SQS100" s="414"/>
      <c r="SQV100" s="445"/>
      <c r="SQW100" s="414"/>
      <c r="SQZ100" s="445"/>
      <c r="SRA100" s="414"/>
      <c r="SRD100" s="445"/>
      <c r="SRE100" s="414"/>
      <c r="SRH100" s="445"/>
      <c r="SRI100" s="414"/>
      <c r="SRL100" s="445"/>
      <c r="SRM100" s="414"/>
      <c r="SRP100" s="445"/>
      <c r="SRQ100" s="414"/>
      <c r="SRT100" s="445"/>
      <c r="SRU100" s="414"/>
      <c r="SRX100" s="445"/>
      <c r="SRY100" s="414"/>
      <c r="SSB100" s="445"/>
      <c r="SSC100" s="414"/>
      <c r="SSF100" s="445"/>
      <c r="SSG100" s="414"/>
      <c r="SSJ100" s="445"/>
      <c r="SSK100" s="414"/>
      <c r="SSN100" s="445"/>
      <c r="SSO100" s="414"/>
      <c r="SSR100" s="445"/>
      <c r="SSS100" s="414"/>
      <c r="SSV100" s="445"/>
      <c r="SSW100" s="414"/>
      <c r="SSZ100" s="445"/>
      <c r="STA100" s="414"/>
      <c r="STD100" s="445"/>
      <c r="STE100" s="414"/>
      <c r="STH100" s="445"/>
      <c r="STI100" s="414"/>
      <c r="STL100" s="445"/>
      <c r="STM100" s="414"/>
      <c r="STP100" s="445"/>
      <c r="STQ100" s="414"/>
      <c r="STT100" s="445"/>
      <c r="STU100" s="414"/>
      <c r="STX100" s="445"/>
      <c r="STY100" s="414"/>
      <c r="SUB100" s="445"/>
      <c r="SUC100" s="414"/>
      <c r="SUF100" s="445"/>
      <c r="SUG100" s="414"/>
      <c r="SUJ100" s="445"/>
      <c r="SUK100" s="414"/>
      <c r="SUN100" s="445"/>
      <c r="SUO100" s="414"/>
      <c r="SUR100" s="445"/>
      <c r="SUS100" s="414"/>
      <c r="SUV100" s="445"/>
      <c r="SUW100" s="414"/>
      <c r="SUZ100" s="445"/>
      <c r="SVA100" s="414"/>
      <c r="SVD100" s="445"/>
      <c r="SVE100" s="414"/>
      <c r="SVH100" s="445"/>
      <c r="SVI100" s="414"/>
      <c r="SVL100" s="445"/>
      <c r="SVM100" s="414"/>
      <c r="SVP100" s="445"/>
      <c r="SVQ100" s="414"/>
      <c r="SVT100" s="445"/>
      <c r="SVU100" s="414"/>
      <c r="SVX100" s="445"/>
      <c r="SVY100" s="414"/>
      <c r="SWB100" s="445"/>
      <c r="SWC100" s="414"/>
      <c r="SWF100" s="445"/>
      <c r="SWG100" s="414"/>
      <c r="SWJ100" s="445"/>
      <c r="SWK100" s="414"/>
      <c r="SWN100" s="445"/>
      <c r="SWO100" s="414"/>
      <c r="SWR100" s="445"/>
      <c r="SWS100" s="414"/>
      <c r="SWV100" s="445"/>
      <c r="SWW100" s="414"/>
      <c r="SWZ100" s="445"/>
      <c r="SXA100" s="414"/>
      <c r="SXD100" s="445"/>
      <c r="SXE100" s="414"/>
      <c r="SXH100" s="445"/>
      <c r="SXI100" s="414"/>
      <c r="SXL100" s="445"/>
      <c r="SXM100" s="414"/>
      <c r="SXP100" s="445"/>
      <c r="SXQ100" s="414"/>
      <c r="SXT100" s="445"/>
      <c r="SXU100" s="414"/>
      <c r="SXX100" s="445"/>
      <c r="SXY100" s="414"/>
      <c r="SYB100" s="445"/>
      <c r="SYC100" s="414"/>
      <c r="SYF100" s="445"/>
      <c r="SYG100" s="414"/>
      <c r="SYJ100" s="445"/>
      <c r="SYK100" s="414"/>
      <c r="SYN100" s="445"/>
      <c r="SYO100" s="414"/>
      <c r="SYR100" s="445"/>
      <c r="SYS100" s="414"/>
      <c r="SYV100" s="445"/>
      <c r="SYW100" s="414"/>
      <c r="SYZ100" s="445"/>
      <c r="SZA100" s="414"/>
      <c r="SZD100" s="445"/>
      <c r="SZE100" s="414"/>
      <c r="SZH100" s="445"/>
      <c r="SZI100" s="414"/>
      <c r="SZL100" s="445"/>
      <c r="SZM100" s="414"/>
      <c r="SZP100" s="445"/>
      <c r="SZQ100" s="414"/>
      <c r="SZT100" s="445"/>
      <c r="SZU100" s="414"/>
      <c r="SZX100" s="445"/>
      <c r="SZY100" s="414"/>
      <c r="TAB100" s="445"/>
      <c r="TAC100" s="414"/>
      <c r="TAF100" s="445"/>
      <c r="TAG100" s="414"/>
      <c r="TAJ100" s="445"/>
      <c r="TAK100" s="414"/>
      <c r="TAN100" s="445"/>
      <c r="TAO100" s="414"/>
      <c r="TAR100" s="445"/>
      <c r="TAS100" s="414"/>
      <c r="TAV100" s="445"/>
      <c r="TAW100" s="414"/>
      <c r="TAZ100" s="445"/>
      <c r="TBA100" s="414"/>
      <c r="TBD100" s="445"/>
      <c r="TBE100" s="414"/>
      <c r="TBH100" s="445"/>
      <c r="TBI100" s="414"/>
      <c r="TBL100" s="445"/>
      <c r="TBM100" s="414"/>
      <c r="TBP100" s="445"/>
      <c r="TBQ100" s="414"/>
      <c r="TBT100" s="445"/>
      <c r="TBU100" s="414"/>
      <c r="TBX100" s="445"/>
      <c r="TBY100" s="414"/>
      <c r="TCB100" s="445"/>
      <c r="TCC100" s="414"/>
      <c r="TCF100" s="445"/>
      <c r="TCG100" s="414"/>
      <c r="TCJ100" s="445"/>
      <c r="TCK100" s="414"/>
      <c r="TCN100" s="445"/>
      <c r="TCO100" s="414"/>
      <c r="TCR100" s="445"/>
      <c r="TCS100" s="414"/>
      <c r="TCV100" s="445"/>
      <c r="TCW100" s="414"/>
      <c r="TCZ100" s="445"/>
      <c r="TDA100" s="414"/>
      <c r="TDD100" s="445"/>
      <c r="TDE100" s="414"/>
      <c r="TDH100" s="445"/>
      <c r="TDI100" s="414"/>
      <c r="TDL100" s="445"/>
      <c r="TDM100" s="414"/>
      <c r="TDP100" s="445"/>
      <c r="TDQ100" s="414"/>
      <c r="TDT100" s="445"/>
      <c r="TDU100" s="414"/>
      <c r="TDX100" s="445"/>
      <c r="TDY100" s="414"/>
      <c r="TEB100" s="445"/>
      <c r="TEC100" s="414"/>
      <c r="TEF100" s="445"/>
      <c r="TEG100" s="414"/>
      <c r="TEJ100" s="445"/>
      <c r="TEK100" s="414"/>
      <c r="TEN100" s="445"/>
      <c r="TEO100" s="414"/>
      <c r="TER100" s="445"/>
      <c r="TES100" s="414"/>
      <c r="TEV100" s="445"/>
      <c r="TEW100" s="414"/>
      <c r="TEZ100" s="445"/>
      <c r="TFA100" s="414"/>
      <c r="TFD100" s="445"/>
      <c r="TFE100" s="414"/>
      <c r="TFH100" s="445"/>
      <c r="TFI100" s="414"/>
      <c r="TFL100" s="445"/>
      <c r="TFM100" s="414"/>
      <c r="TFP100" s="445"/>
      <c r="TFQ100" s="414"/>
      <c r="TFT100" s="445"/>
      <c r="TFU100" s="414"/>
      <c r="TFX100" s="445"/>
      <c r="TFY100" s="414"/>
      <c r="TGB100" s="445"/>
      <c r="TGC100" s="414"/>
      <c r="TGF100" s="445"/>
      <c r="TGG100" s="414"/>
      <c r="TGJ100" s="445"/>
      <c r="TGK100" s="414"/>
      <c r="TGN100" s="445"/>
      <c r="TGO100" s="414"/>
      <c r="TGR100" s="445"/>
      <c r="TGS100" s="414"/>
      <c r="TGV100" s="445"/>
      <c r="TGW100" s="414"/>
      <c r="TGZ100" s="445"/>
      <c r="THA100" s="414"/>
      <c r="THD100" s="445"/>
      <c r="THE100" s="414"/>
      <c r="THH100" s="445"/>
      <c r="THI100" s="414"/>
      <c r="THL100" s="445"/>
      <c r="THM100" s="414"/>
      <c r="THP100" s="445"/>
      <c r="THQ100" s="414"/>
      <c r="THT100" s="445"/>
      <c r="THU100" s="414"/>
      <c r="THX100" s="445"/>
      <c r="THY100" s="414"/>
      <c r="TIB100" s="445"/>
      <c r="TIC100" s="414"/>
      <c r="TIF100" s="445"/>
      <c r="TIG100" s="414"/>
      <c r="TIJ100" s="445"/>
      <c r="TIK100" s="414"/>
      <c r="TIN100" s="445"/>
      <c r="TIO100" s="414"/>
      <c r="TIR100" s="445"/>
      <c r="TIS100" s="414"/>
      <c r="TIV100" s="445"/>
      <c r="TIW100" s="414"/>
      <c r="TIZ100" s="445"/>
      <c r="TJA100" s="414"/>
      <c r="TJD100" s="445"/>
      <c r="TJE100" s="414"/>
      <c r="TJH100" s="445"/>
      <c r="TJI100" s="414"/>
      <c r="TJL100" s="445"/>
      <c r="TJM100" s="414"/>
      <c r="TJP100" s="445"/>
      <c r="TJQ100" s="414"/>
      <c r="TJT100" s="445"/>
      <c r="TJU100" s="414"/>
      <c r="TJX100" s="445"/>
      <c r="TJY100" s="414"/>
      <c r="TKB100" s="445"/>
      <c r="TKC100" s="414"/>
      <c r="TKF100" s="445"/>
      <c r="TKG100" s="414"/>
      <c r="TKJ100" s="445"/>
      <c r="TKK100" s="414"/>
      <c r="TKN100" s="445"/>
      <c r="TKO100" s="414"/>
      <c r="TKR100" s="445"/>
      <c r="TKS100" s="414"/>
      <c r="TKV100" s="445"/>
      <c r="TKW100" s="414"/>
      <c r="TKZ100" s="445"/>
      <c r="TLA100" s="414"/>
      <c r="TLD100" s="445"/>
      <c r="TLE100" s="414"/>
      <c r="TLH100" s="445"/>
      <c r="TLI100" s="414"/>
      <c r="TLL100" s="445"/>
      <c r="TLM100" s="414"/>
      <c r="TLP100" s="445"/>
      <c r="TLQ100" s="414"/>
      <c r="TLT100" s="445"/>
      <c r="TLU100" s="414"/>
      <c r="TLX100" s="445"/>
      <c r="TLY100" s="414"/>
      <c r="TMB100" s="445"/>
      <c r="TMC100" s="414"/>
      <c r="TMF100" s="445"/>
      <c r="TMG100" s="414"/>
      <c r="TMJ100" s="445"/>
      <c r="TMK100" s="414"/>
      <c r="TMN100" s="445"/>
      <c r="TMO100" s="414"/>
      <c r="TMR100" s="445"/>
      <c r="TMS100" s="414"/>
      <c r="TMV100" s="445"/>
      <c r="TMW100" s="414"/>
      <c r="TMZ100" s="445"/>
      <c r="TNA100" s="414"/>
      <c r="TND100" s="445"/>
      <c r="TNE100" s="414"/>
      <c r="TNH100" s="445"/>
      <c r="TNI100" s="414"/>
      <c r="TNL100" s="445"/>
      <c r="TNM100" s="414"/>
      <c r="TNP100" s="445"/>
      <c r="TNQ100" s="414"/>
      <c r="TNT100" s="445"/>
      <c r="TNU100" s="414"/>
      <c r="TNX100" s="445"/>
      <c r="TNY100" s="414"/>
      <c r="TOB100" s="445"/>
      <c r="TOC100" s="414"/>
      <c r="TOF100" s="445"/>
      <c r="TOG100" s="414"/>
      <c r="TOJ100" s="445"/>
      <c r="TOK100" s="414"/>
      <c r="TON100" s="445"/>
      <c r="TOO100" s="414"/>
      <c r="TOR100" s="445"/>
      <c r="TOS100" s="414"/>
      <c r="TOV100" s="445"/>
      <c r="TOW100" s="414"/>
      <c r="TOZ100" s="445"/>
      <c r="TPA100" s="414"/>
      <c r="TPD100" s="445"/>
      <c r="TPE100" s="414"/>
      <c r="TPH100" s="445"/>
      <c r="TPI100" s="414"/>
      <c r="TPL100" s="445"/>
      <c r="TPM100" s="414"/>
      <c r="TPP100" s="445"/>
      <c r="TPQ100" s="414"/>
      <c r="TPT100" s="445"/>
      <c r="TPU100" s="414"/>
      <c r="TPX100" s="445"/>
      <c r="TPY100" s="414"/>
      <c r="TQB100" s="445"/>
      <c r="TQC100" s="414"/>
      <c r="TQF100" s="445"/>
      <c r="TQG100" s="414"/>
      <c r="TQJ100" s="445"/>
      <c r="TQK100" s="414"/>
      <c r="TQN100" s="445"/>
      <c r="TQO100" s="414"/>
      <c r="TQR100" s="445"/>
      <c r="TQS100" s="414"/>
      <c r="TQV100" s="445"/>
      <c r="TQW100" s="414"/>
      <c r="TQZ100" s="445"/>
      <c r="TRA100" s="414"/>
      <c r="TRD100" s="445"/>
      <c r="TRE100" s="414"/>
      <c r="TRH100" s="445"/>
      <c r="TRI100" s="414"/>
      <c r="TRL100" s="445"/>
      <c r="TRM100" s="414"/>
      <c r="TRP100" s="445"/>
      <c r="TRQ100" s="414"/>
      <c r="TRT100" s="445"/>
      <c r="TRU100" s="414"/>
      <c r="TRX100" s="445"/>
      <c r="TRY100" s="414"/>
      <c r="TSB100" s="445"/>
      <c r="TSC100" s="414"/>
      <c r="TSF100" s="445"/>
      <c r="TSG100" s="414"/>
      <c r="TSJ100" s="445"/>
      <c r="TSK100" s="414"/>
      <c r="TSN100" s="445"/>
      <c r="TSO100" s="414"/>
      <c r="TSR100" s="445"/>
      <c r="TSS100" s="414"/>
      <c r="TSV100" s="445"/>
      <c r="TSW100" s="414"/>
      <c r="TSZ100" s="445"/>
      <c r="TTA100" s="414"/>
      <c r="TTD100" s="445"/>
      <c r="TTE100" s="414"/>
      <c r="TTH100" s="445"/>
      <c r="TTI100" s="414"/>
      <c r="TTL100" s="445"/>
      <c r="TTM100" s="414"/>
      <c r="TTP100" s="445"/>
      <c r="TTQ100" s="414"/>
      <c r="TTT100" s="445"/>
      <c r="TTU100" s="414"/>
      <c r="TTX100" s="445"/>
      <c r="TTY100" s="414"/>
      <c r="TUB100" s="445"/>
      <c r="TUC100" s="414"/>
      <c r="TUF100" s="445"/>
      <c r="TUG100" s="414"/>
      <c r="TUJ100" s="445"/>
      <c r="TUK100" s="414"/>
      <c r="TUN100" s="445"/>
      <c r="TUO100" s="414"/>
      <c r="TUR100" s="445"/>
      <c r="TUS100" s="414"/>
      <c r="TUV100" s="445"/>
      <c r="TUW100" s="414"/>
      <c r="TUZ100" s="445"/>
      <c r="TVA100" s="414"/>
      <c r="TVD100" s="445"/>
      <c r="TVE100" s="414"/>
      <c r="TVH100" s="445"/>
      <c r="TVI100" s="414"/>
      <c r="TVL100" s="445"/>
      <c r="TVM100" s="414"/>
      <c r="TVP100" s="445"/>
      <c r="TVQ100" s="414"/>
      <c r="TVT100" s="445"/>
      <c r="TVU100" s="414"/>
      <c r="TVX100" s="445"/>
      <c r="TVY100" s="414"/>
      <c r="TWB100" s="445"/>
      <c r="TWC100" s="414"/>
      <c r="TWF100" s="445"/>
      <c r="TWG100" s="414"/>
      <c r="TWJ100" s="445"/>
      <c r="TWK100" s="414"/>
      <c r="TWN100" s="445"/>
      <c r="TWO100" s="414"/>
      <c r="TWR100" s="445"/>
      <c r="TWS100" s="414"/>
      <c r="TWV100" s="445"/>
      <c r="TWW100" s="414"/>
      <c r="TWZ100" s="445"/>
      <c r="TXA100" s="414"/>
      <c r="TXD100" s="445"/>
      <c r="TXE100" s="414"/>
      <c r="TXH100" s="445"/>
      <c r="TXI100" s="414"/>
      <c r="TXL100" s="445"/>
      <c r="TXM100" s="414"/>
      <c r="TXP100" s="445"/>
      <c r="TXQ100" s="414"/>
      <c r="TXT100" s="445"/>
      <c r="TXU100" s="414"/>
      <c r="TXX100" s="445"/>
      <c r="TXY100" s="414"/>
      <c r="TYB100" s="445"/>
      <c r="TYC100" s="414"/>
      <c r="TYF100" s="445"/>
      <c r="TYG100" s="414"/>
      <c r="TYJ100" s="445"/>
      <c r="TYK100" s="414"/>
      <c r="TYN100" s="445"/>
      <c r="TYO100" s="414"/>
      <c r="TYR100" s="445"/>
      <c r="TYS100" s="414"/>
      <c r="TYV100" s="445"/>
      <c r="TYW100" s="414"/>
      <c r="TYZ100" s="445"/>
      <c r="TZA100" s="414"/>
      <c r="TZD100" s="445"/>
      <c r="TZE100" s="414"/>
      <c r="TZH100" s="445"/>
      <c r="TZI100" s="414"/>
      <c r="TZL100" s="445"/>
      <c r="TZM100" s="414"/>
      <c r="TZP100" s="445"/>
      <c r="TZQ100" s="414"/>
      <c r="TZT100" s="445"/>
      <c r="TZU100" s="414"/>
      <c r="TZX100" s="445"/>
      <c r="TZY100" s="414"/>
      <c r="UAB100" s="445"/>
      <c r="UAC100" s="414"/>
      <c r="UAF100" s="445"/>
      <c r="UAG100" s="414"/>
      <c r="UAJ100" s="445"/>
      <c r="UAK100" s="414"/>
      <c r="UAN100" s="445"/>
      <c r="UAO100" s="414"/>
      <c r="UAR100" s="445"/>
      <c r="UAS100" s="414"/>
      <c r="UAV100" s="445"/>
      <c r="UAW100" s="414"/>
      <c r="UAZ100" s="445"/>
      <c r="UBA100" s="414"/>
      <c r="UBD100" s="445"/>
      <c r="UBE100" s="414"/>
      <c r="UBH100" s="445"/>
      <c r="UBI100" s="414"/>
      <c r="UBL100" s="445"/>
      <c r="UBM100" s="414"/>
      <c r="UBP100" s="445"/>
      <c r="UBQ100" s="414"/>
      <c r="UBT100" s="445"/>
      <c r="UBU100" s="414"/>
      <c r="UBX100" s="445"/>
      <c r="UBY100" s="414"/>
      <c r="UCB100" s="445"/>
      <c r="UCC100" s="414"/>
      <c r="UCF100" s="445"/>
      <c r="UCG100" s="414"/>
      <c r="UCJ100" s="445"/>
      <c r="UCK100" s="414"/>
      <c r="UCN100" s="445"/>
      <c r="UCO100" s="414"/>
      <c r="UCR100" s="445"/>
      <c r="UCS100" s="414"/>
      <c r="UCV100" s="445"/>
      <c r="UCW100" s="414"/>
      <c r="UCZ100" s="445"/>
      <c r="UDA100" s="414"/>
      <c r="UDD100" s="445"/>
      <c r="UDE100" s="414"/>
      <c r="UDH100" s="445"/>
      <c r="UDI100" s="414"/>
      <c r="UDL100" s="445"/>
      <c r="UDM100" s="414"/>
      <c r="UDP100" s="445"/>
      <c r="UDQ100" s="414"/>
      <c r="UDT100" s="445"/>
      <c r="UDU100" s="414"/>
      <c r="UDX100" s="445"/>
      <c r="UDY100" s="414"/>
      <c r="UEB100" s="445"/>
      <c r="UEC100" s="414"/>
      <c r="UEF100" s="445"/>
      <c r="UEG100" s="414"/>
      <c r="UEJ100" s="445"/>
      <c r="UEK100" s="414"/>
      <c r="UEN100" s="445"/>
      <c r="UEO100" s="414"/>
      <c r="UER100" s="445"/>
      <c r="UES100" s="414"/>
      <c r="UEV100" s="445"/>
      <c r="UEW100" s="414"/>
      <c r="UEZ100" s="445"/>
      <c r="UFA100" s="414"/>
      <c r="UFD100" s="445"/>
      <c r="UFE100" s="414"/>
      <c r="UFH100" s="445"/>
      <c r="UFI100" s="414"/>
      <c r="UFL100" s="445"/>
      <c r="UFM100" s="414"/>
      <c r="UFP100" s="445"/>
      <c r="UFQ100" s="414"/>
      <c r="UFT100" s="445"/>
      <c r="UFU100" s="414"/>
      <c r="UFX100" s="445"/>
      <c r="UFY100" s="414"/>
      <c r="UGB100" s="445"/>
      <c r="UGC100" s="414"/>
      <c r="UGF100" s="445"/>
      <c r="UGG100" s="414"/>
      <c r="UGJ100" s="445"/>
      <c r="UGK100" s="414"/>
      <c r="UGN100" s="445"/>
      <c r="UGO100" s="414"/>
      <c r="UGR100" s="445"/>
      <c r="UGS100" s="414"/>
      <c r="UGV100" s="445"/>
      <c r="UGW100" s="414"/>
      <c r="UGZ100" s="445"/>
      <c r="UHA100" s="414"/>
      <c r="UHD100" s="445"/>
      <c r="UHE100" s="414"/>
      <c r="UHH100" s="445"/>
      <c r="UHI100" s="414"/>
      <c r="UHL100" s="445"/>
      <c r="UHM100" s="414"/>
      <c r="UHP100" s="445"/>
      <c r="UHQ100" s="414"/>
      <c r="UHT100" s="445"/>
      <c r="UHU100" s="414"/>
      <c r="UHX100" s="445"/>
      <c r="UHY100" s="414"/>
      <c r="UIB100" s="445"/>
      <c r="UIC100" s="414"/>
      <c r="UIF100" s="445"/>
      <c r="UIG100" s="414"/>
      <c r="UIJ100" s="445"/>
      <c r="UIK100" s="414"/>
      <c r="UIN100" s="445"/>
      <c r="UIO100" s="414"/>
      <c r="UIR100" s="445"/>
      <c r="UIS100" s="414"/>
      <c r="UIV100" s="445"/>
      <c r="UIW100" s="414"/>
      <c r="UIZ100" s="445"/>
      <c r="UJA100" s="414"/>
      <c r="UJD100" s="445"/>
      <c r="UJE100" s="414"/>
      <c r="UJH100" s="445"/>
      <c r="UJI100" s="414"/>
      <c r="UJL100" s="445"/>
      <c r="UJM100" s="414"/>
      <c r="UJP100" s="445"/>
      <c r="UJQ100" s="414"/>
      <c r="UJT100" s="445"/>
      <c r="UJU100" s="414"/>
      <c r="UJX100" s="445"/>
      <c r="UJY100" s="414"/>
      <c r="UKB100" s="445"/>
      <c r="UKC100" s="414"/>
      <c r="UKF100" s="445"/>
      <c r="UKG100" s="414"/>
      <c r="UKJ100" s="445"/>
      <c r="UKK100" s="414"/>
      <c r="UKN100" s="445"/>
      <c r="UKO100" s="414"/>
      <c r="UKR100" s="445"/>
      <c r="UKS100" s="414"/>
      <c r="UKV100" s="445"/>
      <c r="UKW100" s="414"/>
      <c r="UKZ100" s="445"/>
      <c r="ULA100" s="414"/>
      <c r="ULD100" s="445"/>
      <c r="ULE100" s="414"/>
      <c r="ULH100" s="445"/>
      <c r="ULI100" s="414"/>
      <c r="ULL100" s="445"/>
      <c r="ULM100" s="414"/>
      <c r="ULP100" s="445"/>
      <c r="ULQ100" s="414"/>
      <c r="ULT100" s="445"/>
      <c r="ULU100" s="414"/>
      <c r="ULX100" s="445"/>
      <c r="ULY100" s="414"/>
      <c r="UMB100" s="445"/>
      <c r="UMC100" s="414"/>
      <c r="UMF100" s="445"/>
      <c r="UMG100" s="414"/>
      <c r="UMJ100" s="445"/>
      <c r="UMK100" s="414"/>
      <c r="UMN100" s="445"/>
      <c r="UMO100" s="414"/>
      <c r="UMR100" s="445"/>
      <c r="UMS100" s="414"/>
      <c r="UMV100" s="445"/>
      <c r="UMW100" s="414"/>
      <c r="UMZ100" s="445"/>
      <c r="UNA100" s="414"/>
      <c r="UND100" s="445"/>
      <c r="UNE100" s="414"/>
      <c r="UNH100" s="445"/>
      <c r="UNI100" s="414"/>
      <c r="UNL100" s="445"/>
      <c r="UNM100" s="414"/>
      <c r="UNP100" s="445"/>
      <c r="UNQ100" s="414"/>
      <c r="UNT100" s="445"/>
      <c r="UNU100" s="414"/>
      <c r="UNX100" s="445"/>
      <c r="UNY100" s="414"/>
      <c r="UOB100" s="445"/>
      <c r="UOC100" s="414"/>
      <c r="UOF100" s="445"/>
      <c r="UOG100" s="414"/>
      <c r="UOJ100" s="445"/>
      <c r="UOK100" s="414"/>
      <c r="UON100" s="445"/>
      <c r="UOO100" s="414"/>
      <c r="UOR100" s="445"/>
      <c r="UOS100" s="414"/>
      <c r="UOV100" s="445"/>
      <c r="UOW100" s="414"/>
      <c r="UOZ100" s="445"/>
      <c r="UPA100" s="414"/>
      <c r="UPD100" s="445"/>
      <c r="UPE100" s="414"/>
      <c r="UPH100" s="445"/>
      <c r="UPI100" s="414"/>
      <c r="UPL100" s="445"/>
      <c r="UPM100" s="414"/>
      <c r="UPP100" s="445"/>
      <c r="UPQ100" s="414"/>
      <c r="UPT100" s="445"/>
      <c r="UPU100" s="414"/>
      <c r="UPX100" s="445"/>
      <c r="UPY100" s="414"/>
      <c r="UQB100" s="445"/>
      <c r="UQC100" s="414"/>
      <c r="UQF100" s="445"/>
      <c r="UQG100" s="414"/>
      <c r="UQJ100" s="445"/>
      <c r="UQK100" s="414"/>
      <c r="UQN100" s="445"/>
      <c r="UQO100" s="414"/>
      <c r="UQR100" s="445"/>
      <c r="UQS100" s="414"/>
      <c r="UQV100" s="445"/>
      <c r="UQW100" s="414"/>
      <c r="UQZ100" s="445"/>
      <c r="URA100" s="414"/>
      <c r="URD100" s="445"/>
      <c r="URE100" s="414"/>
      <c r="URH100" s="445"/>
      <c r="URI100" s="414"/>
      <c r="URL100" s="445"/>
      <c r="URM100" s="414"/>
      <c r="URP100" s="445"/>
      <c r="URQ100" s="414"/>
      <c r="URT100" s="445"/>
      <c r="URU100" s="414"/>
      <c r="URX100" s="445"/>
      <c r="URY100" s="414"/>
      <c r="USB100" s="445"/>
      <c r="USC100" s="414"/>
      <c r="USF100" s="445"/>
      <c r="USG100" s="414"/>
      <c r="USJ100" s="445"/>
      <c r="USK100" s="414"/>
      <c r="USN100" s="445"/>
      <c r="USO100" s="414"/>
      <c r="USR100" s="445"/>
      <c r="USS100" s="414"/>
      <c r="USV100" s="445"/>
      <c r="USW100" s="414"/>
      <c r="USZ100" s="445"/>
      <c r="UTA100" s="414"/>
      <c r="UTD100" s="445"/>
      <c r="UTE100" s="414"/>
      <c r="UTH100" s="445"/>
      <c r="UTI100" s="414"/>
      <c r="UTL100" s="445"/>
      <c r="UTM100" s="414"/>
      <c r="UTP100" s="445"/>
      <c r="UTQ100" s="414"/>
      <c r="UTT100" s="445"/>
      <c r="UTU100" s="414"/>
      <c r="UTX100" s="445"/>
      <c r="UTY100" s="414"/>
      <c r="UUB100" s="445"/>
      <c r="UUC100" s="414"/>
      <c r="UUF100" s="445"/>
      <c r="UUG100" s="414"/>
      <c r="UUJ100" s="445"/>
      <c r="UUK100" s="414"/>
      <c r="UUN100" s="445"/>
      <c r="UUO100" s="414"/>
      <c r="UUR100" s="445"/>
      <c r="UUS100" s="414"/>
      <c r="UUV100" s="445"/>
      <c r="UUW100" s="414"/>
      <c r="UUZ100" s="445"/>
      <c r="UVA100" s="414"/>
      <c r="UVD100" s="445"/>
      <c r="UVE100" s="414"/>
      <c r="UVH100" s="445"/>
      <c r="UVI100" s="414"/>
      <c r="UVL100" s="445"/>
      <c r="UVM100" s="414"/>
      <c r="UVP100" s="445"/>
      <c r="UVQ100" s="414"/>
      <c r="UVT100" s="445"/>
      <c r="UVU100" s="414"/>
      <c r="UVX100" s="445"/>
      <c r="UVY100" s="414"/>
      <c r="UWB100" s="445"/>
      <c r="UWC100" s="414"/>
      <c r="UWF100" s="445"/>
      <c r="UWG100" s="414"/>
      <c r="UWJ100" s="445"/>
      <c r="UWK100" s="414"/>
      <c r="UWN100" s="445"/>
      <c r="UWO100" s="414"/>
      <c r="UWR100" s="445"/>
      <c r="UWS100" s="414"/>
      <c r="UWV100" s="445"/>
      <c r="UWW100" s="414"/>
      <c r="UWZ100" s="445"/>
      <c r="UXA100" s="414"/>
      <c r="UXD100" s="445"/>
      <c r="UXE100" s="414"/>
      <c r="UXH100" s="445"/>
      <c r="UXI100" s="414"/>
      <c r="UXL100" s="445"/>
      <c r="UXM100" s="414"/>
      <c r="UXP100" s="445"/>
      <c r="UXQ100" s="414"/>
      <c r="UXT100" s="445"/>
      <c r="UXU100" s="414"/>
      <c r="UXX100" s="445"/>
      <c r="UXY100" s="414"/>
      <c r="UYB100" s="445"/>
      <c r="UYC100" s="414"/>
      <c r="UYF100" s="445"/>
      <c r="UYG100" s="414"/>
      <c r="UYJ100" s="445"/>
      <c r="UYK100" s="414"/>
      <c r="UYN100" s="445"/>
      <c r="UYO100" s="414"/>
      <c r="UYR100" s="445"/>
      <c r="UYS100" s="414"/>
      <c r="UYV100" s="445"/>
      <c r="UYW100" s="414"/>
      <c r="UYZ100" s="445"/>
      <c r="UZA100" s="414"/>
      <c r="UZD100" s="445"/>
      <c r="UZE100" s="414"/>
      <c r="UZH100" s="445"/>
      <c r="UZI100" s="414"/>
      <c r="UZL100" s="445"/>
      <c r="UZM100" s="414"/>
      <c r="UZP100" s="445"/>
      <c r="UZQ100" s="414"/>
      <c r="UZT100" s="445"/>
      <c r="UZU100" s="414"/>
      <c r="UZX100" s="445"/>
      <c r="UZY100" s="414"/>
      <c r="VAB100" s="445"/>
      <c r="VAC100" s="414"/>
      <c r="VAF100" s="445"/>
      <c r="VAG100" s="414"/>
      <c r="VAJ100" s="445"/>
      <c r="VAK100" s="414"/>
      <c r="VAN100" s="445"/>
      <c r="VAO100" s="414"/>
      <c r="VAR100" s="445"/>
      <c r="VAS100" s="414"/>
      <c r="VAV100" s="445"/>
      <c r="VAW100" s="414"/>
      <c r="VAZ100" s="445"/>
      <c r="VBA100" s="414"/>
      <c r="VBD100" s="445"/>
      <c r="VBE100" s="414"/>
      <c r="VBH100" s="445"/>
      <c r="VBI100" s="414"/>
      <c r="VBL100" s="445"/>
      <c r="VBM100" s="414"/>
      <c r="VBP100" s="445"/>
      <c r="VBQ100" s="414"/>
      <c r="VBT100" s="445"/>
      <c r="VBU100" s="414"/>
      <c r="VBX100" s="445"/>
      <c r="VBY100" s="414"/>
      <c r="VCB100" s="445"/>
      <c r="VCC100" s="414"/>
      <c r="VCF100" s="445"/>
      <c r="VCG100" s="414"/>
      <c r="VCJ100" s="445"/>
      <c r="VCK100" s="414"/>
      <c r="VCN100" s="445"/>
      <c r="VCO100" s="414"/>
      <c r="VCR100" s="445"/>
      <c r="VCS100" s="414"/>
      <c r="VCV100" s="445"/>
      <c r="VCW100" s="414"/>
      <c r="VCZ100" s="445"/>
      <c r="VDA100" s="414"/>
      <c r="VDD100" s="445"/>
      <c r="VDE100" s="414"/>
      <c r="VDH100" s="445"/>
      <c r="VDI100" s="414"/>
      <c r="VDL100" s="445"/>
      <c r="VDM100" s="414"/>
      <c r="VDP100" s="445"/>
      <c r="VDQ100" s="414"/>
      <c r="VDT100" s="445"/>
      <c r="VDU100" s="414"/>
      <c r="VDX100" s="445"/>
      <c r="VDY100" s="414"/>
      <c r="VEB100" s="445"/>
      <c r="VEC100" s="414"/>
      <c r="VEF100" s="445"/>
      <c r="VEG100" s="414"/>
      <c r="VEJ100" s="445"/>
      <c r="VEK100" s="414"/>
      <c r="VEN100" s="445"/>
      <c r="VEO100" s="414"/>
      <c r="VER100" s="445"/>
      <c r="VES100" s="414"/>
      <c r="VEV100" s="445"/>
      <c r="VEW100" s="414"/>
      <c r="VEZ100" s="445"/>
      <c r="VFA100" s="414"/>
      <c r="VFD100" s="445"/>
      <c r="VFE100" s="414"/>
      <c r="VFH100" s="445"/>
      <c r="VFI100" s="414"/>
      <c r="VFL100" s="445"/>
      <c r="VFM100" s="414"/>
      <c r="VFP100" s="445"/>
      <c r="VFQ100" s="414"/>
      <c r="VFT100" s="445"/>
      <c r="VFU100" s="414"/>
      <c r="VFX100" s="445"/>
      <c r="VFY100" s="414"/>
      <c r="VGB100" s="445"/>
      <c r="VGC100" s="414"/>
      <c r="VGF100" s="445"/>
      <c r="VGG100" s="414"/>
      <c r="VGJ100" s="445"/>
      <c r="VGK100" s="414"/>
      <c r="VGN100" s="445"/>
      <c r="VGO100" s="414"/>
      <c r="VGR100" s="445"/>
      <c r="VGS100" s="414"/>
      <c r="VGV100" s="445"/>
      <c r="VGW100" s="414"/>
      <c r="VGZ100" s="445"/>
      <c r="VHA100" s="414"/>
      <c r="VHD100" s="445"/>
      <c r="VHE100" s="414"/>
      <c r="VHH100" s="445"/>
      <c r="VHI100" s="414"/>
      <c r="VHL100" s="445"/>
      <c r="VHM100" s="414"/>
      <c r="VHP100" s="445"/>
      <c r="VHQ100" s="414"/>
      <c r="VHT100" s="445"/>
      <c r="VHU100" s="414"/>
      <c r="VHX100" s="445"/>
      <c r="VHY100" s="414"/>
      <c r="VIB100" s="445"/>
      <c r="VIC100" s="414"/>
      <c r="VIF100" s="445"/>
      <c r="VIG100" s="414"/>
      <c r="VIJ100" s="445"/>
      <c r="VIK100" s="414"/>
      <c r="VIN100" s="445"/>
      <c r="VIO100" s="414"/>
      <c r="VIR100" s="445"/>
      <c r="VIS100" s="414"/>
      <c r="VIV100" s="445"/>
      <c r="VIW100" s="414"/>
      <c r="VIZ100" s="445"/>
      <c r="VJA100" s="414"/>
      <c r="VJD100" s="445"/>
      <c r="VJE100" s="414"/>
      <c r="VJH100" s="445"/>
      <c r="VJI100" s="414"/>
      <c r="VJL100" s="445"/>
      <c r="VJM100" s="414"/>
      <c r="VJP100" s="445"/>
      <c r="VJQ100" s="414"/>
      <c r="VJT100" s="445"/>
      <c r="VJU100" s="414"/>
      <c r="VJX100" s="445"/>
      <c r="VJY100" s="414"/>
      <c r="VKB100" s="445"/>
      <c r="VKC100" s="414"/>
      <c r="VKF100" s="445"/>
      <c r="VKG100" s="414"/>
      <c r="VKJ100" s="445"/>
      <c r="VKK100" s="414"/>
      <c r="VKN100" s="445"/>
      <c r="VKO100" s="414"/>
      <c r="VKR100" s="445"/>
      <c r="VKS100" s="414"/>
      <c r="VKV100" s="445"/>
      <c r="VKW100" s="414"/>
      <c r="VKZ100" s="445"/>
      <c r="VLA100" s="414"/>
      <c r="VLD100" s="445"/>
      <c r="VLE100" s="414"/>
      <c r="VLH100" s="445"/>
      <c r="VLI100" s="414"/>
      <c r="VLL100" s="445"/>
      <c r="VLM100" s="414"/>
      <c r="VLP100" s="445"/>
      <c r="VLQ100" s="414"/>
      <c r="VLT100" s="445"/>
      <c r="VLU100" s="414"/>
      <c r="VLX100" s="445"/>
      <c r="VLY100" s="414"/>
      <c r="VMB100" s="445"/>
      <c r="VMC100" s="414"/>
      <c r="VMF100" s="445"/>
      <c r="VMG100" s="414"/>
      <c r="VMJ100" s="445"/>
      <c r="VMK100" s="414"/>
      <c r="VMN100" s="445"/>
      <c r="VMO100" s="414"/>
      <c r="VMR100" s="445"/>
      <c r="VMS100" s="414"/>
      <c r="VMV100" s="445"/>
      <c r="VMW100" s="414"/>
      <c r="VMZ100" s="445"/>
      <c r="VNA100" s="414"/>
      <c r="VND100" s="445"/>
      <c r="VNE100" s="414"/>
      <c r="VNH100" s="445"/>
      <c r="VNI100" s="414"/>
      <c r="VNL100" s="445"/>
      <c r="VNM100" s="414"/>
      <c r="VNP100" s="445"/>
      <c r="VNQ100" s="414"/>
      <c r="VNT100" s="445"/>
      <c r="VNU100" s="414"/>
      <c r="VNX100" s="445"/>
      <c r="VNY100" s="414"/>
      <c r="VOB100" s="445"/>
      <c r="VOC100" s="414"/>
      <c r="VOF100" s="445"/>
      <c r="VOG100" s="414"/>
      <c r="VOJ100" s="445"/>
      <c r="VOK100" s="414"/>
      <c r="VON100" s="445"/>
      <c r="VOO100" s="414"/>
      <c r="VOR100" s="445"/>
      <c r="VOS100" s="414"/>
      <c r="VOV100" s="445"/>
      <c r="VOW100" s="414"/>
      <c r="VOZ100" s="445"/>
      <c r="VPA100" s="414"/>
      <c r="VPD100" s="445"/>
      <c r="VPE100" s="414"/>
      <c r="VPH100" s="445"/>
      <c r="VPI100" s="414"/>
      <c r="VPL100" s="445"/>
      <c r="VPM100" s="414"/>
      <c r="VPP100" s="445"/>
      <c r="VPQ100" s="414"/>
      <c r="VPT100" s="445"/>
      <c r="VPU100" s="414"/>
      <c r="VPX100" s="445"/>
      <c r="VPY100" s="414"/>
      <c r="VQB100" s="445"/>
      <c r="VQC100" s="414"/>
      <c r="VQF100" s="445"/>
      <c r="VQG100" s="414"/>
      <c r="VQJ100" s="445"/>
      <c r="VQK100" s="414"/>
      <c r="VQN100" s="445"/>
      <c r="VQO100" s="414"/>
      <c r="VQR100" s="445"/>
      <c r="VQS100" s="414"/>
      <c r="VQV100" s="445"/>
      <c r="VQW100" s="414"/>
      <c r="VQZ100" s="445"/>
      <c r="VRA100" s="414"/>
      <c r="VRD100" s="445"/>
      <c r="VRE100" s="414"/>
      <c r="VRH100" s="445"/>
      <c r="VRI100" s="414"/>
      <c r="VRL100" s="445"/>
      <c r="VRM100" s="414"/>
      <c r="VRP100" s="445"/>
      <c r="VRQ100" s="414"/>
      <c r="VRT100" s="445"/>
      <c r="VRU100" s="414"/>
      <c r="VRX100" s="445"/>
      <c r="VRY100" s="414"/>
      <c r="VSB100" s="445"/>
      <c r="VSC100" s="414"/>
      <c r="VSF100" s="445"/>
      <c r="VSG100" s="414"/>
      <c r="VSJ100" s="445"/>
      <c r="VSK100" s="414"/>
      <c r="VSN100" s="445"/>
      <c r="VSO100" s="414"/>
      <c r="VSR100" s="445"/>
      <c r="VSS100" s="414"/>
      <c r="VSV100" s="445"/>
      <c r="VSW100" s="414"/>
      <c r="VSZ100" s="445"/>
      <c r="VTA100" s="414"/>
      <c r="VTD100" s="445"/>
      <c r="VTE100" s="414"/>
      <c r="VTH100" s="445"/>
      <c r="VTI100" s="414"/>
      <c r="VTL100" s="445"/>
      <c r="VTM100" s="414"/>
      <c r="VTP100" s="445"/>
      <c r="VTQ100" s="414"/>
      <c r="VTT100" s="445"/>
      <c r="VTU100" s="414"/>
      <c r="VTX100" s="445"/>
      <c r="VTY100" s="414"/>
      <c r="VUB100" s="445"/>
      <c r="VUC100" s="414"/>
      <c r="VUF100" s="445"/>
      <c r="VUG100" s="414"/>
      <c r="VUJ100" s="445"/>
      <c r="VUK100" s="414"/>
      <c r="VUN100" s="445"/>
      <c r="VUO100" s="414"/>
      <c r="VUR100" s="445"/>
      <c r="VUS100" s="414"/>
      <c r="VUV100" s="445"/>
      <c r="VUW100" s="414"/>
      <c r="VUZ100" s="445"/>
      <c r="VVA100" s="414"/>
      <c r="VVD100" s="445"/>
      <c r="VVE100" s="414"/>
      <c r="VVH100" s="445"/>
      <c r="VVI100" s="414"/>
      <c r="VVL100" s="445"/>
      <c r="VVM100" s="414"/>
      <c r="VVP100" s="445"/>
      <c r="VVQ100" s="414"/>
      <c r="VVT100" s="445"/>
      <c r="VVU100" s="414"/>
      <c r="VVX100" s="445"/>
      <c r="VVY100" s="414"/>
      <c r="VWB100" s="445"/>
      <c r="VWC100" s="414"/>
      <c r="VWF100" s="445"/>
      <c r="VWG100" s="414"/>
      <c r="VWJ100" s="445"/>
      <c r="VWK100" s="414"/>
      <c r="VWN100" s="445"/>
      <c r="VWO100" s="414"/>
      <c r="VWR100" s="445"/>
      <c r="VWS100" s="414"/>
      <c r="VWV100" s="445"/>
      <c r="VWW100" s="414"/>
      <c r="VWZ100" s="445"/>
      <c r="VXA100" s="414"/>
      <c r="VXD100" s="445"/>
      <c r="VXE100" s="414"/>
      <c r="VXH100" s="445"/>
      <c r="VXI100" s="414"/>
      <c r="VXL100" s="445"/>
      <c r="VXM100" s="414"/>
      <c r="VXP100" s="445"/>
      <c r="VXQ100" s="414"/>
      <c r="VXT100" s="445"/>
      <c r="VXU100" s="414"/>
      <c r="VXX100" s="445"/>
      <c r="VXY100" s="414"/>
      <c r="VYB100" s="445"/>
      <c r="VYC100" s="414"/>
      <c r="VYF100" s="445"/>
      <c r="VYG100" s="414"/>
      <c r="VYJ100" s="445"/>
      <c r="VYK100" s="414"/>
      <c r="VYN100" s="445"/>
      <c r="VYO100" s="414"/>
      <c r="VYR100" s="445"/>
      <c r="VYS100" s="414"/>
      <c r="VYV100" s="445"/>
      <c r="VYW100" s="414"/>
      <c r="VYZ100" s="445"/>
      <c r="VZA100" s="414"/>
      <c r="VZD100" s="445"/>
      <c r="VZE100" s="414"/>
      <c r="VZH100" s="445"/>
      <c r="VZI100" s="414"/>
      <c r="VZL100" s="445"/>
      <c r="VZM100" s="414"/>
      <c r="VZP100" s="445"/>
      <c r="VZQ100" s="414"/>
      <c r="VZT100" s="445"/>
      <c r="VZU100" s="414"/>
      <c r="VZX100" s="445"/>
      <c r="VZY100" s="414"/>
      <c r="WAB100" s="445"/>
      <c r="WAC100" s="414"/>
      <c r="WAF100" s="445"/>
      <c r="WAG100" s="414"/>
      <c r="WAJ100" s="445"/>
      <c r="WAK100" s="414"/>
      <c r="WAN100" s="445"/>
      <c r="WAO100" s="414"/>
      <c r="WAR100" s="445"/>
      <c r="WAS100" s="414"/>
      <c r="WAV100" s="445"/>
      <c r="WAW100" s="414"/>
      <c r="WAZ100" s="445"/>
      <c r="WBA100" s="414"/>
      <c r="WBD100" s="445"/>
      <c r="WBE100" s="414"/>
      <c r="WBH100" s="445"/>
      <c r="WBI100" s="414"/>
      <c r="WBL100" s="445"/>
      <c r="WBM100" s="414"/>
      <c r="WBP100" s="445"/>
      <c r="WBQ100" s="414"/>
      <c r="WBT100" s="445"/>
      <c r="WBU100" s="414"/>
      <c r="WBX100" s="445"/>
      <c r="WBY100" s="414"/>
      <c r="WCB100" s="445"/>
      <c r="WCC100" s="414"/>
      <c r="WCF100" s="445"/>
      <c r="WCG100" s="414"/>
      <c r="WCJ100" s="445"/>
      <c r="WCK100" s="414"/>
      <c r="WCN100" s="445"/>
      <c r="WCO100" s="414"/>
      <c r="WCR100" s="445"/>
      <c r="WCS100" s="414"/>
      <c r="WCV100" s="445"/>
      <c r="WCW100" s="414"/>
      <c r="WCZ100" s="445"/>
      <c r="WDA100" s="414"/>
      <c r="WDD100" s="445"/>
      <c r="WDE100" s="414"/>
      <c r="WDH100" s="445"/>
      <c r="WDI100" s="414"/>
      <c r="WDL100" s="445"/>
      <c r="WDM100" s="414"/>
      <c r="WDP100" s="445"/>
      <c r="WDQ100" s="414"/>
      <c r="WDT100" s="445"/>
      <c r="WDU100" s="414"/>
      <c r="WDX100" s="445"/>
      <c r="WDY100" s="414"/>
      <c r="WEB100" s="445"/>
      <c r="WEC100" s="414"/>
      <c r="WEF100" s="445"/>
      <c r="WEG100" s="414"/>
      <c r="WEJ100" s="445"/>
      <c r="WEK100" s="414"/>
      <c r="WEN100" s="445"/>
      <c r="WEO100" s="414"/>
      <c r="WER100" s="445"/>
      <c r="WES100" s="414"/>
      <c r="WEV100" s="445"/>
      <c r="WEW100" s="414"/>
      <c r="WEZ100" s="445"/>
      <c r="WFA100" s="414"/>
      <c r="WFD100" s="445"/>
      <c r="WFE100" s="414"/>
      <c r="WFH100" s="445"/>
      <c r="WFI100" s="414"/>
      <c r="WFL100" s="445"/>
      <c r="WFM100" s="414"/>
      <c r="WFP100" s="445"/>
      <c r="WFQ100" s="414"/>
      <c r="WFT100" s="445"/>
      <c r="WFU100" s="414"/>
      <c r="WFX100" s="445"/>
      <c r="WFY100" s="414"/>
      <c r="WGB100" s="445"/>
      <c r="WGC100" s="414"/>
      <c r="WGF100" s="445"/>
      <c r="WGG100" s="414"/>
      <c r="WGJ100" s="445"/>
      <c r="WGK100" s="414"/>
      <c r="WGN100" s="445"/>
      <c r="WGO100" s="414"/>
      <c r="WGR100" s="445"/>
      <c r="WGS100" s="414"/>
      <c r="WGV100" s="445"/>
      <c r="WGW100" s="414"/>
      <c r="WGZ100" s="445"/>
      <c r="WHA100" s="414"/>
      <c r="WHD100" s="445"/>
      <c r="WHE100" s="414"/>
      <c r="WHH100" s="445"/>
      <c r="WHI100" s="414"/>
      <c r="WHL100" s="445"/>
      <c r="WHM100" s="414"/>
      <c r="WHP100" s="445"/>
      <c r="WHQ100" s="414"/>
      <c r="WHT100" s="445"/>
      <c r="WHU100" s="414"/>
      <c r="WHX100" s="445"/>
      <c r="WHY100" s="414"/>
      <c r="WIB100" s="445"/>
      <c r="WIC100" s="414"/>
      <c r="WIF100" s="445"/>
      <c r="WIG100" s="414"/>
      <c r="WIJ100" s="445"/>
      <c r="WIK100" s="414"/>
      <c r="WIN100" s="445"/>
      <c r="WIO100" s="414"/>
      <c r="WIR100" s="445"/>
      <c r="WIS100" s="414"/>
      <c r="WIV100" s="445"/>
      <c r="WIW100" s="414"/>
      <c r="WIZ100" s="445"/>
      <c r="WJA100" s="414"/>
      <c r="WJD100" s="445"/>
      <c r="WJE100" s="414"/>
      <c r="WJH100" s="445"/>
      <c r="WJI100" s="414"/>
      <c r="WJL100" s="445"/>
      <c r="WJM100" s="414"/>
      <c r="WJP100" s="445"/>
      <c r="WJQ100" s="414"/>
      <c r="WJT100" s="445"/>
      <c r="WJU100" s="414"/>
      <c r="WJX100" s="445"/>
      <c r="WJY100" s="414"/>
      <c r="WKB100" s="445"/>
      <c r="WKC100" s="414"/>
      <c r="WKF100" s="445"/>
      <c r="WKG100" s="414"/>
      <c r="WKJ100" s="445"/>
      <c r="WKK100" s="414"/>
      <c r="WKN100" s="445"/>
      <c r="WKO100" s="414"/>
      <c r="WKR100" s="445"/>
      <c r="WKS100" s="414"/>
      <c r="WKV100" s="445"/>
      <c r="WKW100" s="414"/>
      <c r="WKZ100" s="445"/>
      <c r="WLA100" s="414"/>
      <c r="WLD100" s="445"/>
      <c r="WLE100" s="414"/>
      <c r="WLH100" s="445"/>
      <c r="WLI100" s="414"/>
      <c r="WLL100" s="445"/>
      <c r="WLM100" s="414"/>
      <c r="WLP100" s="445"/>
      <c r="WLQ100" s="414"/>
      <c r="WLT100" s="445"/>
      <c r="WLU100" s="414"/>
      <c r="WLX100" s="445"/>
      <c r="WLY100" s="414"/>
      <c r="WMB100" s="445"/>
      <c r="WMC100" s="414"/>
      <c r="WMF100" s="445"/>
      <c r="WMG100" s="414"/>
      <c r="WMJ100" s="445"/>
      <c r="WMK100" s="414"/>
      <c r="WMN100" s="445"/>
      <c r="WMO100" s="414"/>
      <c r="WMR100" s="445"/>
      <c r="WMS100" s="414"/>
      <c r="WMV100" s="445"/>
      <c r="WMW100" s="414"/>
      <c r="WMZ100" s="445"/>
      <c r="WNA100" s="414"/>
      <c r="WND100" s="445"/>
      <c r="WNE100" s="414"/>
      <c r="WNH100" s="445"/>
      <c r="WNI100" s="414"/>
      <c r="WNL100" s="445"/>
      <c r="WNM100" s="414"/>
      <c r="WNP100" s="445"/>
      <c r="WNQ100" s="414"/>
      <c r="WNT100" s="445"/>
      <c r="WNU100" s="414"/>
      <c r="WNX100" s="445"/>
      <c r="WNY100" s="414"/>
      <c r="WOB100" s="445"/>
      <c r="WOC100" s="414"/>
      <c r="WOF100" s="445"/>
      <c r="WOG100" s="414"/>
      <c r="WOJ100" s="445"/>
      <c r="WOK100" s="414"/>
      <c r="WON100" s="445"/>
      <c r="WOO100" s="414"/>
      <c r="WOR100" s="445"/>
      <c r="WOS100" s="414"/>
      <c r="WOV100" s="445"/>
      <c r="WOW100" s="414"/>
      <c r="WOZ100" s="445"/>
      <c r="WPA100" s="414"/>
      <c r="WPD100" s="445"/>
      <c r="WPE100" s="414"/>
      <c r="WPH100" s="445"/>
      <c r="WPI100" s="414"/>
      <c r="WPL100" s="445"/>
      <c r="WPM100" s="414"/>
      <c r="WPP100" s="445"/>
      <c r="WPQ100" s="414"/>
      <c r="WPT100" s="445"/>
      <c r="WPU100" s="414"/>
      <c r="WPX100" s="445"/>
      <c r="WPY100" s="414"/>
      <c r="WQB100" s="445"/>
      <c r="WQC100" s="414"/>
      <c r="WQF100" s="445"/>
      <c r="WQG100" s="414"/>
      <c r="WQJ100" s="445"/>
      <c r="WQK100" s="414"/>
      <c r="WQN100" s="445"/>
      <c r="WQO100" s="414"/>
      <c r="WQR100" s="445"/>
      <c r="WQS100" s="414"/>
      <c r="WQV100" s="445"/>
      <c r="WQW100" s="414"/>
      <c r="WQZ100" s="445"/>
      <c r="WRA100" s="414"/>
      <c r="WRD100" s="445"/>
      <c r="WRE100" s="414"/>
      <c r="WRH100" s="445"/>
      <c r="WRI100" s="414"/>
      <c r="WRL100" s="445"/>
      <c r="WRM100" s="414"/>
      <c r="WRP100" s="445"/>
      <c r="WRQ100" s="414"/>
      <c r="WRT100" s="445"/>
      <c r="WRU100" s="414"/>
      <c r="WRX100" s="445"/>
      <c r="WRY100" s="414"/>
      <c r="WSB100" s="445"/>
      <c r="WSC100" s="414"/>
      <c r="WSF100" s="445"/>
      <c r="WSG100" s="414"/>
      <c r="WSJ100" s="445"/>
      <c r="WSK100" s="414"/>
      <c r="WSN100" s="445"/>
      <c r="WSO100" s="414"/>
      <c r="WSR100" s="445"/>
      <c r="WSS100" s="414"/>
      <c r="WSV100" s="445"/>
      <c r="WSW100" s="414"/>
      <c r="WSZ100" s="445"/>
      <c r="WTA100" s="414"/>
      <c r="WTD100" s="445"/>
      <c r="WTE100" s="414"/>
      <c r="WTH100" s="445"/>
      <c r="WTI100" s="414"/>
      <c r="WTL100" s="445"/>
      <c r="WTM100" s="414"/>
      <c r="WTP100" s="445"/>
      <c r="WTQ100" s="414"/>
      <c r="WTT100" s="445"/>
      <c r="WTU100" s="414"/>
      <c r="WTX100" s="445"/>
      <c r="WTY100" s="414"/>
      <c r="WUB100" s="445"/>
      <c r="WUC100" s="414"/>
      <c r="WUF100" s="445"/>
      <c r="WUG100" s="414"/>
      <c r="WUJ100" s="445"/>
      <c r="WUK100" s="414"/>
      <c r="WUN100" s="445"/>
      <c r="WUO100" s="414"/>
      <c r="WUR100" s="445"/>
      <c r="WUS100" s="414"/>
      <c r="WUV100" s="445"/>
      <c r="WUW100" s="414"/>
      <c r="WUZ100" s="445"/>
      <c r="WVA100" s="414"/>
      <c r="WVD100" s="445"/>
      <c r="WVE100" s="414"/>
      <c r="WVH100" s="445"/>
      <c r="WVI100" s="414"/>
      <c r="WVL100" s="445"/>
      <c r="WVM100" s="414"/>
      <c r="WVP100" s="445"/>
      <c r="WVQ100" s="414"/>
      <c r="WVT100" s="445"/>
      <c r="WVU100" s="414"/>
      <c r="WVX100" s="445"/>
      <c r="WVY100" s="414"/>
      <c r="WWB100" s="445"/>
      <c r="WWC100" s="414"/>
      <c r="WWF100" s="445"/>
      <c r="WWG100" s="414"/>
      <c r="WWJ100" s="445"/>
      <c r="WWK100" s="414"/>
      <c r="WWN100" s="445"/>
      <c r="WWO100" s="414"/>
      <c r="WWR100" s="445"/>
      <c r="WWS100" s="414"/>
      <c r="WWV100" s="445"/>
      <c r="WWW100" s="414"/>
      <c r="WWZ100" s="445"/>
      <c r="WXA100" s="414"/>
      <c r="WXD100" s="445"/>
      <c r="WXE100" s="414"/>
      <c r="WXH100" s="445"/>
      <c r="WXI100" s="414"/>
      <c r="WXL100" s="445"/>
      <c r="WXM100" s="414"/>
      <c r="WXP100" s="445"/>
      <c r="WXQ100" s="414"/>
      <c r="WXT100" s="445"/>
      <c r="WXU100" s="414"/>
      <c r="WXX100" s="445"/>
      <c r="WXY100" s="414"/>
      <c r="WYB100" s="445"/>
      <c r="WYC100" s="414"/>
      <c r="WYF100" s="445"/>
      <c r="WYG100" s="414"/>
      <c r="WYJ100" s="445"/>
      <c r="WYK100" s="414"/>
      <c r="WYN100" s="445"/>
      <c r="WYO100" s="414"/>
      <c r="WYR100" s="445"/>
      <c r="WYS100" s="414"/>
      <c r="WYV100" s="445"/>
      <c r="WYW100" s="414"/>
      <c r="WYZ100" s="445"/>
      <c r="WZA100" s="414"/>
      <c r="WZD100" s="445"/>
      <c r="WZE100" s="414"/>
      <c r="WZH100" s="445"/>
      <c r="WZI100" s="414"/>
      <c r="WZL100" s="445"/>
      <c r="WZM100" s="414"/>
      <c r="WZP100" s="445"/>
      <c r="WZQ100" s="414"/>
      <c r="WZT100" s="445"/>
      <c r="WZU100" s="414"/>
      <c r="WZX100" s="445"/>
      <c r="WZY100" s="414"/>
      <c r="XAB100" s="445"/>
      <c r="XAC100" s="414"/>
      <c r="XAF100" s="445"/>
      <c r="XAG100" s="414"/>
      <c r="XAJ100" s="445"/>
      <c r="XAK100" s="414"/>
      <c r="XAN100" s="445"/>
      <c r="XAO100" s="414"/>
      <c r="XAR100" s="445"/>
      <c r="XAS100" s="414"/>
      <c r="XAV100" s="445"/>
      <c r="XAW100" s="414"/>
      <c r="XAZ100" s="445"/>
      <c r="XBA100" s="414"/>
      <c r="XBD100" s="445"/>
      <c r="XBE100" s="414"/>
      <c r="XBH100" s="445"/>
      <c r="XBI100" s="414"/>
      <c r="XBL100" s="445"/>
      <c r="XBM100" s="414"/>
      <c r="XBP100" s="445"/>
      <c r="XBQ100" s="414"/>
      <c r="XBT100" s="445"/>
      <c r="XBU100" s="414"/>
      <c r="XBX100" s="445"/>
      <c r="XBY100" s="414"/>
      <c r="XCB100" s="445"/>
      <c r="XCC100" s="414"/>
      <c r="XCF100" s="445"/>
      <c r="XCG100" s="414"/>
      <c r="XCJ100" s="445"/>
      <c r="XCK100" s="414"/>
      <c r="XCN100" s="445"/>
      <c r="XCO100" s="414"/>
      <c r="XCR100" s="445"/>
      <c r="XCS100" s="414"/>
      <c r="XCV100" s="445"/>
      <c r="XCW100" s="414"/>
      <c r="XCZ100" s="445"/>
      <c r="XDA100" s="414"/>
      <c r="XDD100" s="445"/>
      <c r="XDE100" s="414"/>
      <c r="XDH100" s="445"/>
      <c r="XDI100" s="414"/>
      <c r="XDL100" s="445"/>
      <c r="XDM100" s="414"/>
      <c r="XDP100" s="445"/>
      <c r="XDQ100" s="414"/>
      <c r="XDT100" s="445"/>
      <c r="XDU100" s="414"/>
      <c r="XDX100" s="445"/>
      <c r="XDY100" s="414"/>
      <c r="XEB100" s="445"/>
      <c r="XEC100" s="414"/>
      <c r="XEF100" s="445"/>
      <c r="XEG100" s="414"/>
      <c r="XEJ100" s="445"/>
      <c r="XEK100" s="414"/>
      <c r="XEN100" s="445"/>
      <c r="XEO100" s="414"/>
      <c r="XER100" s="445"/>
      <c r="XES100" s="414"/>
      <c r="XEV100" s="445"/>
      <c r="XEW100" s="414"/>
      <c r="XEZ100" s="445"/>
    </row>
    <row r="101" spans="1:16380" s="436" customFormat="1" ht="12.75">
      <c r="A101" s="445"/>
      <c r="B101" s="443">
        <v>100</v>
      </c>
      <c r="C101" s="447"/>
      <c r="D101" s="613" t="s">
        <v>2119</v>
      </c>
      <c r="E101" s="447" t="s">
        <v>1998</v>
      </c>
      <c r="F101" s="444" t="s">
        <v>133</v>
      </c>
      <c r="G101" s="416"/>
      <c r="H101" s="443"/>
      <c r="I101" s="444"/>
      <c r="AP101" s="414"/>
      <c r="AV101" s="445"/>
      <c r="AW101" s="414"/>
      <c r="AZ101" s="445"/>
      <c r="BA101" s="414"/>
      <c r="BD101" s="445"/>
      <c r="BE101" s="414"/>
      <c r="BH101" s="445"/>
      <c r="BI101" s="414"/>
      <c r="BL101" s="445"/>
      <c r="BM101" s="414"/>
      <c r="BP101" s="445"/>
      <c r="BQ101" s="414"/>
      <c r="BT101" s="445"/>
      <c r="BU101" s="414"/>
      <c r="BX101" s="445"/>
      <c r="BY101" s="414"/>
      <c r="CB101" s="445"/>
      <c r="CC101" s="414"/>
      <c r="CF101" s="445"/>
      <c r="CG101" s="414"/>
      <c r="CJ101" s="445"/>
      <c r="CK101" s="414"/>
      <c r="CN101" s="445"/>
      <c r="CO101" s="414"/>
      <c r="CR101" s="445"/>
      <c r="CS101" s="414"/>
      <c r="CV101" s="445"/>
      <c r="CW101" s="414"/>
      <c r="CZ101" s="445"/>
      <c r="DA101" s="414"/>
      <c r="DD101" s="445"/>
      <c r="DE101" s="414"/>
      <c r="DH101" s="445"/>
      <c r="DI101" s="414"/>
      <c r="DL101" s="445"/>
      <c r="DM101" s="414"/>
      <c r="DP101" s="445"/>
      <c r="DQ101" s="414"/>
      <c r="DT101" s="445"/>
      <c r="DU101" s="414"/>
      <c r="DX101" s="445"/>
      <c r="DY101" s="414"/>
      <c r="EB101" s="445"/>
      <c r="EC101" s="414"/>
      <c r="EF101" s="445"/>
      <c r="EG101" s="414"/>
      <c r="EJ101" s="445"/>
      <c r="EK101" s="414"/>
      <c r="EN101" s="445"/>
      <c r="EO101" s="414"/>
      <c r="ER101" s="445"/>
      <c r="ES101" s="414"/>
      <c r="EV101" s="445"/>
      <c r="EW101" s="414"/>
      <c r="EZ101" s="445"/>
      <c r="FA101" s="414"/>
      <c r="FD101" s="445"/>
      <c r="FE101" s="414"/>
      <c r="FH101" s="445"/>
      <c r="FI101" s="414"/>
      <c r="FL101" s="445"/>
      <c r="FM101" s="414"/>
      <c r="FP101" s="445"/>
      <c r="FQ101" s="414"/>
      <c r="FT101" s="445"/>
      <c r="FU101" s="414"/>
      <c r="FX101" s="445"/>
      <c r="FY101" s="414"/>
      <c r="GB101" s="445"/>
      <c r="GC101" s="414"/>
      <c r="GF101" s="445"/>
      <c r="GG101" s="414"/>
      <c r="GJ101" s="445"/>
      <c r="GK101" s="414"/>
      <c r="GN101" s="445"/>
      <c r="GO101" s="414"/>
      <c r="GR101" s="445"/>
      <c r="GS101" s="414"/>
      <c r="GV101" s="445"/>
      <c r="GW101" s="414"/>
      <c r="GZ101" s="445"/>
      <c r="HA101" s="414"/>
      <c r="HD101" s="445"/>
      <c r="HE101" s="414"/>
      <c r="HH101" s="445"/>
      <c r="HI101" s="414"/>
      <c r="HL101" s="445"/>
      <c r="HM101" s="414"/>
      <c r="HP101" s="445"/>
      <c r="HQ101" s="414"/>
      <c r="HT101" s="445"/>
      <c r="HU101" s="414"/>
      <c r="HX101" s="445"/>
      <c r="HY101" s="414"/>
      <c r="IB101" s="445"/>
      <c r="IC101" s="414"/>
      <c r="IF101" s="445"/>
      <c r="IG101" s="414"/>
      <c r="IJ101" s="445"/>
      <c r="IK101" s="414"/>
      <c r="IN101" s="445"/>
      <c r="IO101" s="414"/>
      <c r="IR101" s="445"/>
      <c r="IS101" s="414"/>
      <c r="IV101" s="445"/>
      <c r="IW101" s="414"/>
      <c r="IZ101" s="445"/>
      <c r="JA101" s="414"/>
      <c r="JD101" s="445"/>
      <c r="JE101" s="414"/>
      <c r="JH101" s="445"/>
      <c r="JI101" s="414"/>
      <c r="JL101" s="445"/>
      <c r="JM101" s="414"/>
      <c r="JP101" s="445"/>
      <c r="JQ101" s="414"/>
      <c r="JT101" s="445"/>
      <c r="JU101" s="414"/>
      <c r="JX101" s="445"/>
      <c r="JY101" s="414"/>
      <c r="KB101" s="445"/>
      <c r="KC101" s="414"/>
      <c r="KF101" s="445"/>
      <c r="KG101" s="414"/>
      <c r="KJ101" s="445"/>
      <c r="KK101" s="414"/>
      <c r="KN101" s="445"/>
      <c r="KO101" s="414"/>
      <c r="KR101" s="445"/>
      <c r="KS101" s="414"/>
      <c r="KV101" s="445"/>
      <c r="KW101" s="414"/>
      <c r="KZ101" s="445"/>
      <c r="LA101" s="414"/>
      <c r="LD101" s="445"/>
      <c r="LE101" s="414"/>
      <c r="LH101" s="445"/>
      <c r="LI101" s="414"/>
      <c r="LL101" s="445"/>
      <c r="LM101" s="414"/>
      <c r="LP101" s="445"/>
      <c r="LQ101" s="414"/>
      <c r="LT101" s="445"/>
      <c r="LU101" s="414"/>
      <c r="LX101" s="445"/>
      <c r="LY101" s="414"/>
      <c r="MB101" s="445"/>
      <c r="MC101" s="414"/>
      <c r="MF101" s="445"/>
      <c r="MG101" s="414"/>
      <c r="MJ101" s="445"/>
      <c r="MK101" s="414"/>
      <c r="MN101" s="445"/>
      <c r="MO101" s="414"/>
      <c r="MR101" s="445"/>
      <c r="MS101" s="414"/>
      <c r="MV101" s="445"/>
      <c r="MW101" s="414"/>
      <c r="MZ101" s="445"/>
      <c r="NA101" s="414"/>
      <c r="ND101" s="445"/>
      <c r="NE101" s="414"/>
      <c r="NH101" s="445"/>
      <c r="NI101" s="414"/>
      <c r="NL101" s="445"/>
      <c r="NM101" s="414"/>
      <c r="NP101" s="445"/>
      <c r="NQ101" s="414"/>
      <c r="NT101" s="445"/>
      <c r="NU101" s="414"/>
      <c r="NX101" s="445"/>
      <c r="NY101" s="414"/>
      <c r="OB101" s="445"/>
      <c r="OC101" s="414"/>
      <c r="OF101" s="445"/>
      <c r="OG101" s="414"/>
      <c r="OJ101" s="445"/>
      <c r="OK101" s="414"/>
      <c r="ON101" s="445"/>
      <c r="OO101" s="414"/>
      <c r="OR101" s="445"/>
      <c r="OS101" s="414"/>
      <c r="OV101" s="445"/>
      <c r="OW101" s="414"/>
      <c r="OZ101" s="445"/>
      <c r="PA101" s="414"/>
      <c r="PD101" s="445"/>
      <c r="PE101" s="414"/>
      <c r="PH101" s="445"/>
      <c r="PI101" s="414"/>
      <c r="PL101" s="445"/>
      <c r="PM101" s="414"/>
      <c r="PP101" s="445"/>
      <c r="PQ101" s="414"/>
      <c r="PT101" s="445"/>
      <c r="PU101" s="414"/>
      <c r="PX101" s="445"/>
      <c r="PY101" s="414"/>
      <c r="QB101" s="445"/>
      <c r="QC101" s="414"/>
      <c r="QF101" s="445"/>
      <c r="QG101" s="414"/>
      <c r="QJ101" s="445"/>
      <c r="QK101" s="414"/>
      <c r="QN101" s="445"/>
      <c r="QO101" s="414"/>
      <c r="QR101" s="445"/>
      <c r="QS101" s="414"/>
      <c r="QV101" s="445"/>
      <c r="QW101" s="414"/>
      <c r="QZ101" s="445"/>
      <c r="RA101" s="414"/>
      <c r="RD101" s="445"/>
      <c r="RE101" s="414"/>
      <c r="RH101" s="445"/>
      <c r="RI101" s="414"/>
      <c r="RL101" s="445"/>
      <c r="RM101" s="414"/>
      <c r="RP101" s="445"/>
      <c r="RQ101" s="414"/>
      <c r="RT101" s="445"/>
      <c r="RU101" s="414"/>
      <c r="RX101" s="445"/>
      <c r="RY101" s="414"/>
      <c r="SB101" s="445"/>
      <c r="SC101" s="414"/>
      <c r="SF101" s="445"/>
      <c r="SG101" s="414"/>
      <c r="SJ101" s="445"/>
      <c r="SK101" s="414"/>
      <c r="SN101" s="445"/>
      <c r="SO101" s="414"/>
      <c r="SR101" s="445"/>
      <c r="SS101" s="414"/>
      <c r="SV101" s="445"/>
      <c r="SW101" s="414"/>
      <c r="SZ101" s="445"/>
      <c r="TA101" s="414"/>
      <c r="TD101" s="445"/>
      <c r="TE101" s="414"/>
      <c r="TH101" s="445"/>
      <c r="TI101" s="414"/>
      <c r="TL101" s="445"/>
      <c r="TM101" s="414"/>
      <c r="TP101" s="445"/>
      <c r="TQ101" s="414"/>
      <c r="TT101" s="445"/>
      <c r="TU101" s="414"/>
      <c r="TX101" s="445"/>
      <c r="TY101" s="414"/>
      <c r="UB101" s="445"/>
      <c r="UC101" s="414"/>
      <c r="UF101" s="445"/>
      <c r="UG101" s="414"/>
      <c r="UJ101" s="445"/>
      <c r="UK101" s="414"/>
      <c r="UN101" s="445"/>
      <c r="UO101" s="414"/>
      <c r="UR101" s="445"/>
      <c r="US101" s="414"/>
      <c r="UV101" s="445"/>
      <c r="UW101" s="414"/>
      <c r="UZ101" s="445"/>
      <c r="VA101" s="414"/>
      <c r="VD101" s="445"/>
      <c r="VE101" s="414"/>
      <c r="VH101" s="445"/>
      <c r="VI101" s="414"/>
      <c r="VL101" s="445"/>
      <c r="VM101" s="414"/>
      <c r="VP101" s="445"/>
      <c r="VQ101" s="414"/>
      <c r="VT101" s="445"/>
      <c r="VU101" s="414"/>
      <c r="VX101" s="445"/>
      <c r="VY101" s="414"/>
      <c r="WB101" s="445"/>
      <c r="WC101" s="414"/>
      <c r="WF101" s="445"/>
      <c r="WG101" s="414"/>
      <c r="WJ101" s="445"/>
      <c r="WK101" s="414"/>
      <c r="WN101" s="445"/>
      <c r="WO101" s="414"/>
      <c r="WR101" s="445"/>
      <c r="WS101" s="414"/>
      <c r="WV101" s="445"/>
      <c r="WW101" s="414"/>
      <c r="WZ101" s="445"/>
      <c r="XA101" s="414"/>
      <c r="XD101" s="445"/>
      <c r="XE101" s="414"/>
      <c r="XH101" s="445"/>
      <c r="XI101" s="414"/>
      <c r="XL101" s="445"/>
      <c r="XM101" s="414"/>
      <c r="XP101" s="445"/>
      <c r="XQ101" s="414"/>
      <c r="XT101" s="445"/>
      <c r="XU101" s="414"/>
      <c r="XX101" s="445"/>
      <c r="XY101" s="414"/>
      <c r="YB101" s="445"/>
      <c r="YC101" s="414"/>
      <c r="YF101" s="445"/>
      <c r="YG101" s="414"/>
      <c r="YJ101" s="445"/>
      <c r="YK101" s="414"/>
      <c r="YN101" s="445"/>
      <c r="YO101" s="414"/>
      <c r="YR101" s="445"/>
      <c r="YS101" s="414"/>
      <c r="YV101" s="445"/>
      <c r="YW101" s="414"/>
      <c r="YZ101" s="445"/>
      <c r="ZA101" s="414"/>
      <c r="ZD101" s="445"/>
      <c r="ZE101" s="414"/>
      <c r="ZH101" s="445"/>
      <c r="ZI101" s="414"/>
      <c r="ZL101" s="445"/>
      <c r="ZM101" s="414"/>
      <c r="ZP101" s="445"/>
      <c r="ZQ101" s="414"/>
      <c r="ZT101" s="445"/>
      <c r="ZU101" s="414"/>
      <c r="ZX101" s="445"/>
      <c r="ZY101" s="414"/>
      <c r="AAB101" s="445"/>
      <c r="AAC101" s="414"/>
      <c r="AAF101" s="445"/>
      <c r="AAG101" s="414"/>
      <c r="AAJ101" s="445"/>
      <c r="AAK101" s="414"/>
      <c r="AAN101" s="445"/>
      <c r="AAO101" s="414"/>
      <c r="AAR101" s="445"/>
      <c r="AAS101" s="414"/>
      <c r="AAV101" s="445"/>
      <c r="AAW101" s="414"/>
      <c r="AAZ101" s="445"/>
      <c r="ABA101" s="414"/>
      <c r="ABD101" s="445"/>
      <c r="ABE101" s="414"/>
      <c r="ABH101" s="445"/>
      <c r="ABI101" s="414"/>
      <c r="ABL101" s="445"/>
      <c r="ABM101" s="414"/>
      <c r="ABP101" s="445"/>
      <c r="ABQ101" s="414"/>
      <c r="ABT101" s="445"/>
      <c r="ABU101" s="414"/>
      <c r="ABX101" s="445"/>
      <c r="ABY101" s="414"/>
      <c r="ACB101" s="445"/>
      <c r="ACC101" s="414"/>
      <c r="ACF101" s="445"/>
      <c r="ACG101" s="414"/>
      <c r="ACJ101" s="445"/>
      <c r="ACK101" s="414"/>
      <c r="ACN101" s="445"/>
      <c r="ACO101" s="414"/>
      <c r="ACR101" s="445"/>
      <c r="ACS101" s="414"/>
      <c r="ACV101" s="445"/>
      <c r="ACW101" s="414"/>
      <c r="ACZ101" s="445"/>
      <c r="ADA101" s="414"/>
      <c r="ADD101" s="445"/>
      <c r="ADE101" s="414"/>
      <c r="ADH101" s="445"/>
      <c r="ADI101" s="414"/>
      <c r="ADL101" s="445"/>
      <c r="ADM101" s="414"/>
      <c r="ADP101" s="445"/>
      <c r="ADQ101" s="414"/>
      <c r="ADT101" s="445"/>
      <c r="ADU101" s="414"/>
      <c r="ADX101" s="445"/>
      <c r="ADY101" s="414"/>
      <c r="AEB101" s="445"/>
      <c r="AEC101" s="414"/>
      <c r="AEF101" s="445"/>
      <c r="AEG101" s="414"/>
      <c r="AEJ101" s="445"/>
      <c r="AEK101" s="414"/>
      <c r="AEN101" s="445"/>
      <c r="AEO101" s="414"/>
      <c r="AER101" s="445"/>
      <c r="AES101" s="414"/>
      <c r="AEV101" s="445"/>
      <c r="AEW101" s="414"/>
      <c r="AEZ101" s="445"/>
      <c r="AFA101" s="414"/>
      <c r="AFD101" s="445"/>
      <c r="AFE101" s="414"/>
      <c r="AFH101" s="445"/>
      <c r="AFI101" s="414"/>
      <c r="AFL101" s="445"/>
      <c r="AFM101" s="414"/>
      <c r="AFP101" s="445"/>
      <c r="AFQ101" s="414"/>
      <c r="AFT101" s="445"/>
      <c r="AFU101" s="414"/>
      <c r="AFX101" s="445"/>
      <c r="AFY101" s="414"/>
      <c r="AGB101" s="445"/>
      <c r="AGC101" s="414"/>
      <c r="AGF101" s="445"/>
      <c r="AGG101" s="414"/>
      <c r="AGJ101" s="445"/>
      <c r="AGK101" s="414"/>
      <c r="AGN101" s="445"/>
      <c r="AGO101" s="414"/>
      <c r="AGR101" s="445"/>
      <c r="AGS101" s="414"/>
      <c r="AGV101" s="445"/>
      <c r="AGW101" s="414"/>
      <c r="AGZ101" s="445"/>
      <c r="AHA101" s="414"/>
      <c r="AHD101" s="445"/>
      <c r="AHE101" s="414"/>
      <c r="AHH101" s="445"/>
      <c r="AHI101" s="414"/>
      <c r="AHL101" s="445"/>
      <c r="AHM101" s="414"/>
      <c r="AHP101" s="445"/>
      <c r="AHQ101" s="414"/>
      <c r="AHT101" s="445"/>
      <c r="AHU101" s="414"/>
      <c r="AHX101" s="445"/>
      <c r="AHY101" s="414"/>
      <c r="AIB101" s="445"/>
      <c r="AIC101" s="414"/>
      <c r="AIF101" s="445"/>
      <c r="AIG101" s="414"/>
      <c r="AIJ101" s="445"/>
      <c r="AIK101" s="414"/>
      <c r="AIN101" s="445"/>
      <c r="AIO101" s="414"/>
      <c r="AIR101" s="445"/>
      <c r="AIS101" s="414"/>
      <c r="AIV101" s="445"/>
      <c r="AIW101" s="414"/>
      <c r="AIZ101" s="445"/>
      <c r="AJA101" s="414"/>
      <c r="AJD101" s="445"/>
      <c r="AJE101" s="414"/>
      <c r="AJH101" s="445"/>
      <c r="AJI101" s="414"/>
      <c r="AJL101" s="445"/>
      <c r="AJM101" s="414"/>
      <c r="AJP101" s="445"/>
      <c r="AJQ101" s="414"/>
      <c r="AJT101" s="445"/>
      <c r="AJU101" s="414"/>
      <c r="AJX101" s="445"/>
      <c r="AJY101" s="414"/>
      <c r="AKB101" s="445"/>
      <c r="AKC101" s="414"/>
      <c r="AKF101" s="445"/>
      <c r="AKG101" s="414"/>
      <c r="AKJ101" s="445"/>
      <c r="AKK101" s="414"/>
      <c r="AKN101" s="445"/>
      <c r="AKO101" s="414"/>
      <c r="AKR101" s="445"/>
      <c r="AKS101" s="414"/>
      <c r="AKV101" s="445"/>
      <c r="AKW101" s="414"/>
      <c r="AKZ101" s="445"/>
      <c r="ALA101" s="414"/>
      <c r="ALD101" s="445"/>
      <c r="ALE101" s="414"/>
      <c r="ALH101" s="445"/>
      <c r="ALI101" s="414"/>
      <c r="ALL101" s="445"/>
      <c r="ALM101" s="414"/>
      <c r="ALP101" s="445"/>
      <c r="ALQ101" s="414"/>
      <c r="ALT101" s="445"/>
      <c r="ALU101" s="414"/>
      <c r="ALX101" s="445"/>
      <c r="ALY101" s="414"/>
      <c r="AMB101" s="445"/>
      <c r="AMC101" s="414"/>
      <c r="AMF101" s="445"/>
      <c r="AMG101" s="414"/>
      <c r="AMJ101" s="445"/>
      <c r="AMK101" s="414"/>
      <c r="AMN101" s="445"/>
      <c r="AMO101" s="414"/>
      <c r="AMR101" s="445"/>
      <c r="AMS101" s="414"/>
      <c r="AMV101" s="445"/>
      <c r="AMW101" s="414"/>
      <c r="AMZ101" s="445"/>
      <c r="ANA101" s="414"/>
      <c r="AND101" s="445"/>
      <c r="ANE101" s="414"/>
      <c r="ANH101" s="445"/>
      <c r="ANI101" s="414"/>
      <c r="ANL101" s="445"/>
      <c r="ANM101" s="414"/>
      <c r="ANP101" s="445"/>
      <c r="ANQ101" s="414"/>
      <c r="ANT101" s="445"/>
      <c r="ANU101" s="414"/>
      <c r="ANX101" s="445"/>
      <c r="ANY101" s="414"/>
      <c r="AOB101" s="445"/>
      <c r="AOC101" s="414"/>
      <c r="AOF101" s="445"/>
      <c r="AOG101" s="414"/>
      <c r="AOJ101" s="445"/>
      <c r="AOK101" s="414"/>
      <c r="AON101" s="445"/>
      <c r="AOO101" s="414"/>
      <c r="AOR101" s="445"/>
      <c r="AOS101" s="414"/>
      <c r="AOV101" s="445"/>
      <c r="AOW101" s="414"/>
      <c r="AOZ101" s="445"/>
      <c r="APA101" s="414"/>
      <c r="APD101" s="445"/>
      <c r="APE101" s="414"/>
      <c r="APH101" s="445"/>
      <c r="API101" s="414"/>
      <c r="APL101" s="445"/>
      <c r="APM101" s="414"/>
      <c r="APP101" s="445"/>
      <c r="APQ101" s="414"/>
      <c r="APT101" s="445"/>
      <c r="APU101" s="414"/>
      <c r="APX101" s="445"/>
      <c r="APY101" s="414"/>
      <c r="AQB101" s="445"/>
      <c r="AQC101" s="414"/>
      <c r="AQF101" s="445"/>
      <c r="AQG101" s="414"/>
      <c r="AQJ101" s="445"/>
      <c r="AQK101" s="414"/>
      <c r="AQN101" s="445"/>
      <c r="AQO101" s="414"/>
      <c r="AQR101" s="445"/>
      <c r="AQS101" s="414"/>
      <c r="AQV101" s="445"/>
      <c r="AQW101" s="414"/>
      <c r="AQZ101" s="445"/>
      <c r="ARA101" s="414"/>
      <c r="ARD101" s="445"/>
      <c r="ARE101" s="414"/>
      <c r="ARH101" s="445"/>
      <c r="ARI101" s="414"/>
      <c r="ARL101" s="445"/>
      <c r="ARM101" s="414"/>
      <c r="ARP101" s="445"/>
      <c r="ARQ101" s="414"/>
      <c r="ART101" s="445"/>
      <c r="ARU101" s="414"/>
      <c r="ARX101" s="445"/>
      <c r="ARY101" s="414"/>
      <c r="ASB101" s="445"/>
      <c r="ASC101" s="414"/>
      <c r="ASF101" s="445"/>
      <c r="ASG101" s="414"/>
      <c r="ASJ101" s="445"/>
      <c r="ASK101" s="414"/>
      <c r="ASN101" s="445"/>
      <c r="ASO101" s="414"/>
      <c r="ASR101" s="445"/>
      <c r="ASS101" s="414"/>
      <c r="ASV101" s="445"/>
      <c r="ASW101" s="414"/>
      <c r="ASZ101" s="445"/>
      <c r="ATA101" s="414"/>
      <c r="ATD101" s="445"/>
      <c r="ATE101" s="414"/>
      <c r="ATH101" s="445"/>
      <c r="ATI101" s="414"/>
      <c r="ATL101" s="445"/>
      <c r="ATM101" s="414"/>
      <c r="ATP101" s="445"/>
      <c r="ATQ101" s="414"/>
      <c r="ATT101" s="445"/>
      <c r="ATU101" s="414"/>
      <c r="ATX101" s="445"/>
      <c r="ATY101" s="414"/>
      <c r="AUB101" s="445"/>
      <c r="AUC101" s="414"/>
      <c r="AUF101" s="445"/>
      <c r="AUG101" s="414"/>
      <c r="AUJ101" s="445"/>
      <c r="AUK101" s="414"/>
      <c r="AUN101" s="445"/>
      <c r="AUO101" s="414"/>
      <c r="AUR101" s="445"/>
      <c r="AUS101" s="414"/>
      <c r="AUV101" s="445"/>
      <c r="AUW101" s="414"/>
      <c r="AUZ101" s="445"/>
      <c r="AVA101" s="414"/>
      <c r="AVD101" s="445"/>
      <c r="AVE101" s="414"/>
      <c r="AVH101" s="445"/>
      <c r="AVI101" s="414"/>
      <c r="AVL101" s="445"/>
      <c r="AVM101" s="414"/>
      <c r="AVP101" s="445"/>
      <c r="AVQ101" s="414"/>
      <c r="AVT101" s="445"/>
      <c r="AVU101" s="414"/>
      <c r="AVX101" s="445"/>
      <c r="AVY101" s="414"/>
      <c r="AWB101" s="445"/>
      <c r="AWC101" s="414"/>
      <c r="AWF101" s="445"/>
      <c r="AWG101" s="414"/>
      <c r="AWJ101" s="445"/>
      <c r="AWK101" s="414"/>
      <c r="AWN101" s="445"/>
      <c r="AWO101" s="414"/>
      <c r="AWR101" s="445"/>
      <c r="AWS101" s="414"/>
      <c r="AWV101" s="445"/>
      <c r="AWW101" s="414"/>
      <c r="AWZ101" s="445"/>
      <c r="AXA101" s="414"/>
      <c r="AXD101" s="445"/>
      <c r="AXE101" s="414"/>
      <c r="AXH101" s="445"/>
      <c r="AXI101" s="414"/>
      <c r="AXL101" s="445"/>
      <c r="AXM101" s="414"/>
      <c r="AXP101" s="445"/>
      <c r="AXQ101" s="414"/>
      <c r="AXT101" s="445"/>
      <c r="AXU101" s="414"/>
      <c r="AXX101" s="445"/>
      <c r="AXY101" s="414"/>
      <c r="AYB101" s="445"/>
      <c r="AYC101" s="414"/>
      <c r="AYF101" s="445"/>
      <c r="AYG101" s="414"/>
      <c r="AYJ101" s="445"/>
      <c r="AYK101" s="414"/>
      <c r="AYN101" s="445"/>
      <c r="AYO101" s="414"/>
      <c r="AYR101" s="445"/>
      <c r="AYS101" s="414"/>
      <c r="AYV101" s="445"/>
      <c r="AYW101" s="414"/>
      <c r="AYZ101" s="445"/>
      <c r="AZA101" s="414"/>
      <c r="AZD101" s="445"/>
      <c r="AZE101" s="414"/>
      <c r="AZH101" s="445"/>
      <c r="AZI101" s="414"/>
      <c r="AZL101" s="445"/>
      <c r="AZM101" s="414"/>
      <c r="AZP101" s="445"/>
      <c r="AZQ101" s="414"/>
      <c r="AZT101" s="445"/>
      <c r="AZU101" s="414"/>
      <c r="AZX101" s="445"/>
      <c r="AZY101" s="414"/>
      <c r="BAB101" s="445"/>
      <c r="BAC101" s="414"/>
      <c r="BAF101" s="445"/>
      <c r="BAG101" s="414"/>
      <c r="BAJ101" s="445"/>
      <c r="BAK101" s="414"/>
      <c r="BAN101" s="445"/>
      <c r="BAO101" s="414"/>
      <c r="BAR101" s="445"/>
      <c r="BAS101" s="414"/>
      <c r="BAV101" s="445"/>
      <c r="BAW101" s="414"/>
      <c r="BAZ101" s="445"/>
      <c r="BBA101" s="414"/>
      <c r="BBD101" s="445"/>
      <c r="BBE101" s="414"/>
      <c r="BBH101" s="445"/>
      <c r="BBI101" s="414"/>
      <c r="BBL101" s="445"/>
      <c r="BBM101" s="414"/>
      <c r="BBP101" s="445"/>
      <c r="BBQ101" s="414"/>
      <c r="BBT101" s="445"/>
      <c r="BBU101" s="414"/>
      <c r="BBX101" s="445"/>
      <c r="BBY101" s="414"/>
      <c r="BCB101" s="445"/>
      <c r="BCC101" s="414"/>
      <c r="BCF101" s="445"/>
      <c r="BCG101" s="414"/>
      <c r="BCJ101" s="445"/>
      <c r="BCK101" s="414"/>
      <c r="BCN101" s="445"/>
      <c r="BCO101" s="414"/>
      <c r="BCR101" s="445"/>
      <c r="BCS101" s="414"/>
      <c r="BCV101" s="445"/>
      <c r="BCW101" s="414"/>
      <c r="BCZ101" s="445"/>
      <c r="BDA101" s="414"/>
      <c r="BDD101" s="445"/>
      <c r="BDE101" s="414"/>
      <c r="BDH101" s="445"/>
      <c r="BDI101" s="414"/>
      <c r="BDL101" s="445"/>
      <c r="BDM101" s="414"/>
      <c r="BDP101" s="445"/>
      <c r="BDQ101" s="414"/>
      <c r="BDT101" s="445"/>
      <c r="BDU101" s="414"/>
      <c r="BDX101" s="445"/>
      <c r="BDY101" s="414"/>
      <c r="BEB101" s="445"/>
      <c r="BEC101" s="414"/>
      <c r="BEF101" s="445"/>
      <c r="BEG101" s="414"/>
      <c r="BEJ101" s="445"/>
      <c r="BEK101" s="414"/>
      <c r="BEN101" s="445"/>
      <c r="BEO101" s="414"/>
      <c r="BER101" s="445"/>
      <c r="BES101" s="414"/>
      <c r="BEV101" s="445"/>
      <c r="BEW101" s="414"/>
      <c r="BEZ101" s="445"/>
      <c r="BFA101" s="414"/>
      <c r="BFD101" s="445"/>
      <c r="BFE101" s="414"/>
      <c r="BFH101" s="445"/>
      <c r="BFI101" s="414"/>
      <c r="BFL101" s="445"/>
      <c r="BFM101" s="414"/>
      <c r="BFP101" s="445"/>
      <c r="BFQ101" s="414"/>
      <c r="BFT101" s="445"/>
      <c r="BFU101" s="414"/>
      <c r="BFX101" s="445"/>
      <c r="BFY101" s="414"/>
      <c r="BGB101" s="445"/>
      <c r="BGC101" s="414"/>
      <c r="BGF101" s="445"/>
      <c r="BGG101" s="414"/>
      <c r="BGJ101" s="445"/>
      <c r="BGK101" s="414"/>
      <c r="BGN101" s="445"/>
      <c r="BGO101" s="414"/>
      <c r="BGR101" s="445"/>
      <c r="BGS101" s="414"/>
      <c r="BGV101" s="445"/>
      <c r="BGW101" s="414"/>
      <c r="BGZ101" s="445"/>
      <c r="BHA101" s="414"/>
      <c r="BHD101" s="445"/>
      <c r="BHE101" s="414"/>
      <c r="BHH101" s="445"/>
      <c r="BHI101" s="414"/>
      <c r="BHL101" s="445"/>
      <c r="BHM101" s="414"/>
      <c r="BHP101" s="445"/>
      <c r="BHQ101" s="414"/>
      <c r="BHT101" s="445"/>
      <c r="BHU101" s="414"/>
      <c r="BHX101" s="445"/>
      <c r="BHY101" s="414"/>
      <c r="BIB101" s="445"/>
      <c r="BIC101" s="414"/>
      <c r="BIF101" s="445"/>
      <c r="BIG101" s="414"/>
      <c r="BIJ101" s="445"/>
      <c r="BIK101" s="414"/>
      <c r="BIN101" s="445"/>
      <c r="BIO101" s="414"/>
      <c r="BIR101" s="445"/>
      <c r="BIS101" s="414"/>
      <c r="BIV101" s="445"/>
      <c r="BIW101" s="414"/>
      <c r="BIZ101" s="445"/>
      <c r="BJA101" s="414"/>
      <c r="BJD101" s="445"/>
      <c r="BJE101" s="414"/>
      <c r="BJH101" s="445"/>
      <c r="BJI101" s="414"/>
      <c r="BJL101" s="445"/>
      <c r="BJM101" s="414"/>
      <c r="BJP101" s="445"/>
      <c r="BJQ101" s="414"/>
      <c r="BJT101" s="445"/>
      <c r="BJU101" s="414"/>
      <c r="BJX101" s="445"/>
      <c r="BJY101" s="414"/>
      <c r="BKB101" s="445"/>
      <c r="BKC101" s="414"/>
      <c r="BKF101" s="445"/>
      <c r="BKG101" s="414"/>
      <c r="BKJ101" s="445"/>
      <c r="BKK101" s="414"/>
      <c r="BKN101" s="445"/>
      <c r="BKO101" s="414"/>
      <c r="BKR101" s="445"/>
      <c r="BKS101" s="414"/>
      <c r="BKV101" s="445"/>
      <c r="BKW101" s="414"/>
      <c r="BKZ101" s="445"/>
      <c r="BLA101" s="414"/>
      <c r="BLD101" s="445"/>
      <c r="BLE101" s="414"/>
      <c r="BLH101" s="445"/>
      <c r="BLI101" s="414"/>
      <c r="BLL101" s="445"/>
      <c r="BLM101" s="414"/>
      <c r="BLP101" s="445"/>
      <c r="BLQ101" s="414"/>
      <c r="BLT101" s="445"/>
      <c r="BLU101" s="414"/>
      <c r="BLX101" s="445"/>
      <c r="BLY101" s="414"/>
      <c r="BMB101" s="445"/>
      <c r="BMC101" s="414"/>
      <c r="BMF101" s="445"/>
      <c r="BMG101" s="414"/>
      <c r="BMJ101" s="445"/>
      <c r="BMK101" s="414"/>
      <c r="BMN101" s="445"/>
      <c r="BMO101" s="414"/>
      <c r="BMR101" s="445"/>
      <c r="BMS101" s="414"/>
      <c r="BMV101" s="445"/>
      <c r="BMW101" s="414"/>
      <c r="BMZ101" s="445"/>
      <c r="BNA101" s="414"/>
      <c r="BND101" s="445"/>
      <c r="BNE101" s="414"/>
      <c r="BNH101" s="445"/>
      <c r="BNI101" s="414"/>
      <c r="BNL101" s="445"/>
      <c r="BNM101" s="414"/>
      <c r="BNP101" s="445"/>
      <c r="BNQ101" s="414"/>
      <c r="BNT101" s="445"/>
      <c r="BNU101" s="414"/>
      <c r="BNX101" s="445"/>
      <c r="BNY101" s="414"/>
      <c r="BOB101" s="445"/>
      <c r="BOC101" s="414"/>
      <c r="BOF101" s="445"/>
      <c r="BOG101" s="414"/>
      <c r="BOJ101" s="445"/>
      <c r="BOK101" s="414"/>
      <c r="BON101" s="445"/>
      <c r="BOO101" s="414"/>
      <c r="BOR101" s="445"/>
      <c r="BOS101" s="414"/>
      <c r="BOV101" s="445"/>
      <c r="BOW101" s="414"/>
      <c r="BOZ101" s="445"/>
      <c r="BPA101" s="414"/>
      <c r="BPD101" s="445"/>
      <c r="BPE101" s="414"/>
      <c r="BPH101" s="445"/>
      <c r="BPI101" s="414"/>
      <c r="BPL101" s="445"/>
      <c r="BPM101" s="414"/>
      <c r="BPP101" s="445"/>
      <c r="BPQ101" s="414"/>
      <c r="BPT101" s="445"/>
      <c r="BPU101" s="414"/>
      <c r="BPX101" s="445"/>
      <c r="BPY101" s="414"/>
      <c r="BQB101" s="445"/>
      <c r="BQC101" s="414"/>
      <c r="BQF101" s="445"/>
      <c r="BQG101" s="414"/>
      <c r="BQJ101" s="445"/>
      <c r="BQK101" s="414"/>
      <c r="BQN101" s="445"/>
      <c r="BQO101" s="414"/>
      <c r="BQR101" s="445"/>
      <c r="BQS101" s="414"/>
      <c r="BQV101" s="445"/>
      <c r="BQW101" s="414"/>
      <c r="BQZ101" s="445"/>
      <c r="BRA101" s="414"/>
      <c r="BRD101" s="445"/>
      <c r="BRE101" s="414"/>
      <c r="BRH101" s="445"/>
      <c r="BRI101" s="414"/>
      <c r="BRL101" s="445"/>
      <c r="BRM101" s="414"/>
      <c r="BRP101" s="445"/>
      <c r="BRQ101" s="414"/>
      <c r="BRT101" s="445"/>
      <c r="BRU101" s="414"/>
      <c r="BRX101" s="445"/>
      <c r="BRY101" s="414"/>
      <c r="BSB101" s="445"/>
      <c r="BSC101" s="414"/>
      <c r="BSF101" s="445"/>
      <c r="BSG101" s="414"/>
      <c r="BSJ101" s="445"/>
      <c r="BSK101" s="414"/>
      <c r="BSN101" s="445"/>
      <c r="BSO101" s="414"/>
      <c r="BSR101" s="445"/>
      <c r="BSS101" s="414"/>
      <c r="BSV101" s="445"/>
      <c r="BSW101" s="414"/>
      <c r="BSZ101" s="445"/>
      <c r="BTA101" s="414"/>
      <c r="BTD101" s="445"/>
      <c r="BTE101" s="414"/>
      <c r="BTH101" s="445"/>
      <c r="BTI101" s="414"/>
      <c r="BTL101" s="445"/>
      <c r="BTM101" s="414"/>
      <c r="BTP101" s="445"/>
      <c r="BTQ101" s="414"/>
      <c r="BTT101" s="445"/>
      <c r="BTU101" s="414"/>
      <c r="BTX101" s="445"/>
      <c r="BTY101" s="414"/>
      <c r="BUB101" s="445"/>
      <c r="BUC101" s="414"/>
      <c r="BUF101" s="445"/>
      <c r="BUG101" s="414"/>
      <c r="BUJ101" s="445"/>
      <c r="BUK101" s="414"/>
      <c r="BUN101" s="445"/>
      <c r="BUO101" s="414"/>
      <c r="BUR101" s="445"/>
      <c r="BUS101" s="414"/>
      <c r="BUV101" s="445"/>
      <c r="BUW101" s="414"/>
      <c r="BUZ101" s="445"/>
      <c r="BVA101" s="414"/>
      <c r="BVD101" s="445"/>
      <c r="BVE101" s="414"/>
      <c r="BVH101" s="445"/>
      <c r="BVI101" s="414"/>
      <c r="BVL101" s="445"/>
      <c r="BVM101" s="414"/>
      <c r="BVP101" s="445"/>
      <c r="BVQ101" s="414"/>
      <c r="BVT101" s="445"/>
      <c r="BVU101" s="414"/>
      <c r="BVX101" s="445"/>
      <c r="BVY101" s="414"/>
      <c r="BWB101" s="445"/>
      <c r="BWC101" s="414"/>
      <c r="BWF101" s="445"/>
      <c r="BWG101" s="414"/>
      <c r="BWJ101" s="445"/>
      <c r="BWK101" s="414"/>
      <c r="BWN101" s="445"/>
      <c r="BWO101" s="414"/>
      <c r="BWR101" s="445"/>
      <c r="BWS101" s="414"/>
      <c r="BWV101" s="445"/>
      <c r="BWW101" s="414"/>
      <c r="BWZ101" s="445"/>
      <c r="BXA101" s="414"/>
      <c r="BXD101" s="445"/>
      <c r="BXE101" s="414"/>
      <c r="BXH101" s="445"/>
      <c r="BXI101" s="414"/>
      <c r="BXL101" s="445"/>
      <c r="BXM101" s="414"/>
      <c r="BXP101" s="445"/>
      <c r="BXQ101" s="414"/>
      <c r="BXT101" s="445"/>
      <c r="BXU101" s="414"/>
      <c r="BXX101" s="445"/>
      <c r="BXY101" s="414"/>
      <c r="BYB101" s="445"/>
      <c r="BYC101" s="414"/>
      <c r="BYF101" s="445"/>
      <c r="BYG101" s="414"/>
      <c r="BYJ101" s="445"/>
      <c r="BYK101" s="414"/>
      <c r="BYN101" s="445"/>
      <c r="BYO101" s="414"/>
      <c r="BYR101" s="445"/>
      <c r="BYS101" s="414"/>
      <c r="BYV101" s="445"/>
      <c r="BYW101" s="414"/>
      <c r="BYZ101" s="445"/>
      <c r="BZA101" s="414"/>
      <c r="BZD101" s="445"/>
      <c r="BZE101" s="414"/>
      <c r="BZH101" s="445"/>
      <c r="BZI101" s="414"/>
      <c r="BZL101" s="445"/>
      <c r="BZM101" s="414"/>
      <c r="BZP101" s="445"/>
      <c r="BZQ101" s="414"/>
      <c r="BZT101" s="445"/>
      <c r="BZU101" s="414"/>
      <c r="BZX101" s="445"/>
      <c r="BZY101" s="414"/>
      <c r="CAB101" s="445"/>
      <c r="CAC101" s="414"/>
      <c r="CAF101" s="445"/>
      <c r="CAG101" s="414"/>
      <c r="CAJ101" s="445"/>
      <c r="CAK101" s="414"/>
      <c r="CAN101" s="445"/>
      <c r="CAO101" s="414"/>
      <c r="CAR101" s="445"/>
      <c r="CAS101" s="414"/>
      <c r="CAV101" s="445"/>
      <c r="CAW101" s="414"/>
      <c r="CAZ101" s="445"/>
      <c r="CBA101" s="414"/>
      <c r="CBD101" s="445"/>
      <c r="CBE101" s="414"/>
      <c r="CBH101" s="445"/>
      <c r="CBI101" s="414"/>
      <c r="CBL101" s="445"/>
      <c r="CBM101" s="414"/>
      <c r="CBP101" s="445"/>
      <c r="CBQ101" s="414"/>
      <c r="CBT101" s="445"/>
      <c r="CBU101" s="414"/>
      <c r="CBX101" s="445"/>
      <c r="CBY101" s="414"/>
      <c r="CCB101" s="445"/>
      <c r="CCC101" s="414"/>
      <c r="CCF101" s="445"/>
      <c r="CCG101" s="414"/>
      <c r="CCJ101" s="445"/>
      <c r="CCK101" s="414"/>
      <c r="CCN101" s="445"/>
      <c r="CCO101" s="414"/>
      <c r="CCR101" s="445"/>
      <c r="CCS101" s="414"/>
      <c r="CCV101" s="445"/>
      <c r="CCW101" s="414"/>
      <c r="CCZ101" s="445"/>
      <c r="CDA101" s="414"/>
      <c r="CDD101" s="445"/>
      <c r="CDE101" s="414"/>
      <c r="CDH101" s="445"/>
      <c r="CDI101" s="414"/>
      <c r="CDL101" s="445"/>
      <c r="CDM101" s="414"/>
      <c r="CDP101" s="445"/>
      <c r="CDQ101" s="414"/>
      <c r="CDT101" s="445"/>
      <c r="CDU101" s="414"/>
      <c r="CDX101" s="445"/>
      <c r="CDY101" s="414"/>
      <c r="CEB101" s="445"/>
      <c r="CEC101" s="414"/>
      <c r="CEF101" s="445"/>
      <c r="CEG101" s="414"/>
      <c r="CEJ101" s="445"/>
      <c r="CEK101" s="414"/>
      <c r="CEN101" s="445"/>
      <c r="CEO101" s="414"/>
      <c r="CER101" s="445"/>
      <c r="CES101" s="414"/>
      <c r="CEV101" s="445"/>
      <c r="CEW101" s="414"/>
      <c r="CEZ101" s="445"/>
      <c r="CFA101" s="414"/>
      <c r="CFD101" s="445"/>
      <c r="CFE101" s="414"/>
      <c r="CFH101" s="445"/>
      <c r="CFI101" s="414"/>
      <c r="CFL101" s="445"/>
      <c r="CFM101" s="414"/>
      <c r="CFP101" s="445"/>
      <c r="CFQ101" s="414"/>
      <c r="CFT101" s="445"/>
      <c r="CFU101" s="414"/>
      <c r="CFX101" s="445"/>
      <c r="CFY101" s="414"/>
      <c r="CGB101" s="445"/>
      <c r="CGC101" s="414"/>
      <c r="CGF101" s="445"/>
      <c r="CGG101" s="414"/>
      <c r="CGJ101" s="445"/>
      <c r="CGK101" s="414"/>
      <c r="CGN101" s="445"/>
      <c r="CGO101" s="414"/>
      <c r="CGR101" s="445"/>
      <c r="CGS101" s="414"/>
      <c r="CGV101" s="445"/>
      <c r="CGW101" s="414"/>
      <c r="CGZ101" s="445"/>
      <c r="CHA101" s="414"/>
      <c r="CHD101" s="445"/>
      <c r="CHE101" s="414"/>
      <c r="CHH101" s="445"/>
      <c r="CHI101" s="414"/>
      <c r="CHL101" s="445"/>
      <c r="CHM101" s="414"/>
      <c r="CHP101" s="445"/>
      <c r="CHQ101" s="414"/>
      <c r="CHT101" s="445"/>
      <c r="CHU101" s="414"/>
      <c r="CHX101" s="445"/>
      <c r="CHY101" s="414"/>
      <c r="CIB101" s="445"/>
      <c r="CIC101" s="414"/>
      <c r="CIF101" s="445"/>
      <c r="CIG101" s="414"/>
      <c r="CIJ101" s="445"/>
      <c r="CIK101" s="414"/>
      <c r="CIN101" s="445"/>
      <c r="CIO101" s="414"/>
      <c r="CIR101" s="445"/>
      <c r="CIS101" s="414"/>
      <c r="CIV101" s="445"/>
      <c r="CIW101" s="414"/>
      <c r="CIZ101" s="445"/>
      <c r="CJA101" s="414"/>
      <c r="CJD101" s="445"/>
      <c r="CJE101" s="414"/>
      <c r="CJH101" s="445"/>
      <c r="CJI101" s="414"/>
      <c r="CJL101" s="445"/>
      <c r="CJM101" s="414"/>
      <c r="CJP101" s="445"/>
      <c r="CJQ101" s="414"/>
      <c r="CJT101" s="445"/>
      <c r="CJU101" s="414"/>
      <c r="CJX101" s="445"/>
      <c r="CJY101" s="414"/>
      <c r="CKB101" s="445"/>
      <c r="CKC101" s="414"/>
      <c r="CKF101" s="445"/>
      <c r="CKG101" s="414"/>
      <c r="CKJ101" s="445"/>
      <c r="CKK101" s="414"/>
      <c r="CKN101" s="445"/>
      <c r="CKO101" s="414"/>
      <c r="CKR101" s="445"/>
      <c r="CKS101" s="414"/>
      <c r="CKV101" s="445"/>
      <c r="CKW101" s="414"/>
      <c r="CKZ101" s="445"/>
      <c r="CLA101" s="414"/>
      <c r="CLD101" s="445"/>
      <c r="CLE101" s="414"/>
      <c r="CLH101" s="445"/>
      <c r="CLI101" s="414"/>
      <c r="CLL101" s="445"/>
      <c r="CLM101" s="414"/>
      <c r="CLP101" s="445"/>
      <c r="CLQ101" s="414"/>
      <c r="CLT101" s="445"/>
      <c r="CLU101" s="414"/>
      <c r="CLX101" s="445"/>
      <c r="CLY101" s="414"/>
      <c r="CMB101" s="445"/>
      <c r="CMC101" s="414"/>
      <c r="CMF101" s="445"/>
      <c r="CMG101" s="414"/>
      <c r="CMJ101" s="445"/>
      <c r="CMK101" s="414"/>
      <c r="CMN101" s="445"/>
      <c r="CMO101" s="414"/>
      <c r="CMR101" s="445"/>
      <c r="CMS101" s="414"/>
      <c r="CMV101" s="445"/>
      <c r="CMW101" s="414"/>
      <c r="CMZ101" s="445"/>
      <c r="CNA101" s="414"/>
      <c r="CND101" s="445"/>
      <c r="CNE101" s="414"/>
      <c r="CNH101" s="445"/>
      <c r="CNI101" s="414"/>
      <c r="CNL101" s="445"/>
      <c r="CNM101" s="414"/>
      <c r="CNP101" s="445"/>
      <c r="CNQ101" s="414"/>
      <c r="CNT101" s="445"/>
      <c r="CNU101" s="414"/>
      <c r="CNX101" s="445"/>
      <c r="CNY101" s="414"/>
      <c r="COB101" s="445"/>
      <c r="COC101" s="414"/>
      <c r="COF101" s="445"/>
      <c r="COG101" s="414"/>
      <c r="COJ101" s="445"/>
      <c r="COK101" s="414"/>
      <c r="CON101" s="445"/>
      <c r="COO101" s="414"/>
      <c r="COR101" s="445"/>
      <c r="COS101" s="414"/>
      <c r="COV101" s="445"/>
      <c r="COW101" s="414"/>
      <c r="COZ101" s="445"/>
      <c r="CPA101" s="414"/>
      <c r="CPD101" s="445"/>
      <c r="CPE101" s="414"/>
      <c r="CPH101" s="445"/>
      <c r="CPI101" s="414"/>
      <c r="CPL101" s="445"/>
      <c r="CPM101" s="414"/>
      <c r="CPP101" s="445"/>
      <c r="CPQ101" s="414"/>
      <c r="CPT101" s="445"/>
      <c r="CPU101" s="414"/>
      <c r="CPX101" s="445"/>
      <c r="CPY101" s="414"/>
      <c r="CQB101" s="445"/>
      <c r="CQC101" s="414"/>
      <c r="CQF101" s="445"/>
      <c r="CQG101" s="414"/>
      <c r="CQJ101" s="445"/>
      <c r="CQK101" s="414"/>
      <c r="CQN101" s="445"/>
      <c r="CQO101" s="414"/>
      <c r="CQR101" s="445"/>
      <c r="CQS101" s="414"/>
      <c r="CQV101" s="445"/>
      <c r="CQW101" s="414"/>
      <c r="CQZ101" s="445"/>
      <c r="CRA101" s="414"/>
      <c r="CRD101" s="445"/>
      <c r="CRE101" s="414"/>
      <c r="CRH101" s="445"/>
      <c r="CRI101" s="414"/>
      <c r="CRL101" s="445"/>
      <c r="CRM101" s="414"/>
      <c r="CRP101" s="445"/>
      <c r="CRQ101" s="414"/>
      <c r="CRT101" s="445"/>
      <c r="CRU101" s="414"/>
      <c r="CRX101" s="445"/>
      <c r="CRY101" s="414"/>
      <c r="CSB101" s="445"/>
      <c r="CSC101" s="414"/>
      <c r="CSF101" s="445"/>
      <c r="CSG101" s="414"/>
      <c r="CSJ101" s="445"/>
      <c r="CSK101" s="414"/>
      <c r="CSN101" s="445"/>
      <c r="CSO101" s="414"/>
      <c r="CSR101" s="445"/>
      <c r="CSS101" s="414"/>
      <c r="CSV101" s="445"/>
      <c r="CSW101" s="414"/>
      <c r="CSZ101" s="445"/>
      <c r="CTA101" s="414"/>
      <c r="CTD101" s="445"/>
      <c r="CTE101" s="414"/>
      <c r="CTH101" s="445"/>
      <c r="CTI101" s="414"/>
      <c r="CTL101" s="445"/>
      <c r="CTM101" s="414"/>
      <c r="CTP101" s="445"/>
      <c r="CTQ101" s="414"/>
      <c r="CTT101" s="445"/>
      <c r="CTU101" s="414"/>
      <c r="CTX101" s="445"/>
      <c r="CTY101" s="414"/>
      <c r="CUB101" s="445"/>
      <c r="CUC101" s="414"/>
      <c r="CUF101" s="445"/>
      <c r="CUG101" s="414"/>
      <c r="CUJ101" s="445"/>
      <c r="CUK101" s="414"/>
      <c r="CUN101" s="445"/>
      <c r="CUO101" s="414"/>
      <c r="CUR101" s="445"/>
      <c r="CUS101" s="414"/>
      <c r="CUV101" s="445"/>
      <c r="CUW101" s="414"/>
      <c r="CUZ101" s="445"/>
      <c r="CVA101" s="414"/>
      <c r="CVD101" s="445"/>
      <c r="CVE101" s="414"/>
      <c r="CVH101" s="445"/>
      <c r="CVI101" s="414"/>
      <c r="CVL101" s="445"/>
      <c r="CVM101" s="414"/>
      <c r="CVP101" s="445"/>
      <c r="CVQ101" s="414"/>
      <c r="CVT101" s="445"/>
      <c r="CVU101" s="414"/>
      <c r="CVX101" s="445"/>
      <c r="CVY101" s="414"/>
      <c r="CWB101" s="445"/>
      <c r="CWC101" s="414"/>
      <c r="CWF101" s="445"/>
      <c r="CWG101" s="414"/>
      <c r="CWJ101" s="445"/>
      <c r="CWK101" s="414"/>
      <c r="CWN101" s="445"/>
      <c r="CWO101" s="414"/>
      <c r="CWR101" s="445"/>
      <c r="CWS101" s="414"/>
      <c r="CWV101" s="445"/>
      <c r="CWW101" s="414"/>
      <c r="CWZ101" s="445"/>
      <c r="CXA101" s="414"/>
      <c r="CXD101" s="445"/>
      <c r="CXE101" s="414"/>
      <c r="CXH101" s="445"/>
      <c r="CXI101" s="414"/>
      <c r="CXL101" s="445"/>
      <c r="CXM101" s="414"/>
      <c r="CXP101" s="445"/>
      <c r="CXQ101" s="414"/>
      <c r="CXT101" s="445"/>
      <c r="CXU101" s="414"/>
      <c r="CXX101" s="445"/>
      <c r="CXY101" s="414"/>
      <c r="CYB101" s="445"/>
      <c r="CYC101" s="414"/>
      <c r="CYF101" s="445"/>
      <c r="CYG101" s="414"/>
      <c r="CYJ101" s="445"/>
      <c r="CYK101" s="414"/>
      <c r="CYN101" s="445"/>
      <c r="CYO101" s="414"/>
      <c r="CYR101" s="445"/>
      <c r="CYS101" s="414"/>
      <c r="CYV101" s="445"/>
      <c r="CYW101" s="414"/>
      <c r="CYZ101" s="445"/>
      <c r="CZA101" s="414"/>
      <c r="CZD101" s="445"/>
      <c r="CZE101" s="414"/>
      <c r="CZH101" s="445"/>
      <c r="CZI101" s="414"/>
      <c r="CZL101" s="445"/>
      <c r="CZM101" s="414"/>
      <c r="CZP101" s="445"/>
      <c r="CZQ101" s="414"/>
      <c r="CZT101" s="445"/>
      <c r="CZU101" s="414"/>
      <c r="CZX101" s="445"/>
      <c r="CZY101" s="414"/>
      <c r="DAB101" s="445"/>
      <c r="DAC101" s="414"/>
      <c r="DAF101" s="445"/>
      <c r="DAG101" s="414"/>
      <c r="DAJ101" s="445"/>
      <c r="DAK101" s="414"/>
      <c r="DAN101" s="445"/>
      <c r="DAO101" s="414"/>
      <c r="DAR101" s="445"/>
      <c r="DAS101" s="414"/>
      <c r="DAV101" s="445"/>
      <c r="DAW101" s="414"/>
      <c r="DAZ101" s="445"/>
      <c r="DBA101" s="414"/>
      <c r="DBD101" s="445"/>
      <c r="DBE101" s="414"/>
      <c r="DBH101" s="445"/>
      <c r="DBI101" s="414"/>
      <c r="DBL101" s="445"/>
      <c r="DBM101" s="414"/>
      <c r="DBP101" s="445"/>
      <c r="DBQ101" s="414"/>
      <c r="DBT101" s="445"/>
      <c r="DBU101" s="414"/>
      <c r="DBX101" s="445"/>
      <c r="DBY101" s="414"/>
      <c r="DCB101" s="445"/>
      <c r="DCC101" s="414"/>
      <c r="DCF101" s="445"/>
      <c r="DCG101" s="414"/>
      <c r="DCJ101" s="445"/>
      <c r="DCK101" s="414"/>
      <c r="DCN101" s="445"/>
      <c r="DCO101" s="414"/>
      <c r="DCR101" s="445"/>
      <c r="DCS101" s="414"/>
      <c r="DCV101" s="445"/>
      <c r="DCW101" s="414"/>
      <c r="DCZ101" s="445"/>
      <c r="DDA101" s="414"/>
      <c r="DDD101" s="445"/>
      <c r="DDE101" s="414"/>
      <c r="DDH101" s="445"/>
      <c r="DDI101" s="414"/>
      <c r="DDL101" s="445"/>
      <c r="DDM101" s="414"/>
      <c r="DDP101" s="445"/>
      <c r="DDQ101" s="414"/>
      <c r="DDT101" s="445"/>
      <c r="DDU101" s="414"/>
      <c r="DDX101" s="445"/>
      <c r="DDY101" s="414"/>
      <c r="DEB101" s="445"/>
      <c r="DEC101" s="414"/>
      <c r="DEF101" s="445"/>
      <c r="DEG101" s="414"/>
      <c r="DEJ101" s="445"/>
      <c r="DEK101" s="414"/>
      <c r="DEN101" s="445"/>
      <c r="DEO101" s="414"/>
      <c r="DER101" s="445"/>
      <c r="DES101" s="414"/>
      <c r="DEV101" s="445"/>
      <c r="DEW101" s="414"/>
      <c r="DEZ101" s="445"/>
      <c r="DFA101" s="414"/>
      <c r="DFD101" s="445"/>
      <c r="DFE101" s="414"/>
      <c r="DFH101" s="445"/>
      <c r="DFI101" s="414"/>
      <c r="DFL101" s="445"/>
      <c r="DFM101" s="414"/>
      <c r="DFP101" s="445"/>
      <c r="DFQ101" s="414"/>
      <c r="DFT101" s="445"/>
      <c r="DFU101" s="414"/>
      <c r="DFX101" s="445"/>
      <c r="DFY101" s="414"/>
      <c r="DGB101" s="445"/>
      <c r="DGC101" s="414"/>
      <c r="DGF101" s="445"/>
      <c r="DGG101" s="414"/>
      <c r="DGJ101" s="445"/>
      <c r="DGK101" s="414"/>
      <c r="DGN101" s="445"/>
      <c r="DGO101" s="414"/>
      <c r="DGR101" s="445"/>
      <c r="DGS101" s="414"/>
      <c r="DGV101" s="445"/>
      <c r="DGW101" s="414"/>
      <c r="DGZ101" s="445"/>
      <c r="DHA101" s="414"/>
      <c r="DHD101" s="445"/>
      <c r="DHE101" s="414"/>
      <c r="DHH101" s="445"/>
      <c r="DHI101" s="414"/>
      <c r="DHL101" s="445"/>
      <c r="DHM101" s="414"/>
      <c r="DHP101" s="445"/>
      <c r="DHQ101" s="414"/>
      <c r="DHT101" s="445"/>
      <c r="DHU101" s="414"/>
      <c r="DHX101" s="445"/>
      <c r="DHY101" s="414"/>
      <c r="DIB101" s="445"/>
      <c r="DIC101" s="414"/>
      <c r="DIF101" s="445"/>
      <c r="DIG101" s="414"/>
      <c r="DIJ101" s="445"/>
      <c r="DIK101" s="414"/>
      <c r="DIN101" s="445"/>
      <c r="DIO101" s="414"/>
      <c r="DIR101" s="445"/>
      <c r="DIS101" s="414"/>
      <c r="DIV101" s="445"/>
      <c r="DIW101" s="414"/>
      <c r="DIZ101" s="445"/>
      <c r="DJA101" s="414"/>
      <c r="DJD101" s="445"/>
      <c r="DJE101" s="414"/>
      <c r="DJH101" s="445"/>
      <c r="DJI101" s="414"/>
      <c r="DJL101" s="445"/>
      <c r="DJM101" s="414"/>
      <c r="DJP101" s="445"/>
      <c r="DJQ101" s="414"/>
      <c r="DJT101" s="445"/>
      <c r="DJU101" s="414"/>
      <c r="DJX101" s="445"/>
      <c r="DJY101" s="414"/>
      <c r="DKB101" s="445"/>
      <c r="DKC101" s="414"/>
      <c r="DKF101" s="445"/>
      <c r="DKG101" s="414"/>
      <c r="DKJ101" s="445"/>
      <c r="DKK101" s="414"/>
      <c r="DKN101" s="445"/>
      <c r="DKO101" s="414"/>
      <c r="DKR101" s="445"/>
      <c r="DKS101" s="414"/>
      <c r="DKV101" s="445"/>
      <c r="DKW101" s="414"/>
      <c r="DKZ101" s="445"/>
      <c r="DLA101" s="414"/>
      <c r="DLD101" s="445"/>
      <c r="DLE101" s="414"/>
      <c r="DLH101" s="445"/>
      <c r="DLI101" s="414"/>
      <c r="DLL101" s="445"/>
      <c r="DLM101" s="414"/>
      <c r="DLP101" s="445"/>
      <c r="DLQ101" s="414"/>
      <c r="DLT101" s="445"/>
      <c r="DLU101" s="414"/>
      <c r="DLX101" s="445"/>
      <c r="DLY101" s="414"/>
      <c r="DMB101" s="445"/>
      <c r="DMC101" s="414"/>
      <c r="DMF101" s="445"/>
      <c r="DMG101" s="414"/>
      <c r="DMJ101" s="445"/>
      <c r="DMK101" s="414"/>
      <c r="DMN101" s="445"/>
      <c r="DMO101" s="414"/>
      <c r="DMR101" s="445"/>
      <c r="DMS101" s="414"/>
      <c r="DMV101" s="445"/>
      <c r="DMW101" s="414"/>
      <c r="DMZ101" s="445"/>
      <c r="DNA101" s="414"/>
      <c r="DND101" s="445"/>
      <c r="DNE101" s="414"/>
      <c r="DNH101" s="445"/>
      <c r="DNI101" s="414"/>
      <c r="DNL101" s="445"/>
      <c r="DNM101" s="414"/>
      <c r="DNP101" s="445"/>
      <c r="DNQ101" s="414"/>
      <c r="DNT101" s="445"/>
      <c r="DNU101" s="414"/>
      <c r="DNX101" s="445"/>
      <c r="DNY101" s="414"/>
      <c r="DOB101" s="445"/>
      <c r="DOC101" s="414"/>
      <c r="DOF101" s="445"/>
      <c r="DOG101" s="414"/>
      <c r="DOJ101" s="445"/>
      <c r="DOK101" s="414"/>
      <c r="DON101" s="445"/>
      <c r="DOO101" s="414"/>
      <c r="DOR101" s="445"/>
      <c r="DOS101" s="414"/>
      <c r="DOV101" s="445"/>
      <c r="DOW101" s="414"/>
      <c r="DOZ101" s="445"/>
      <c r="DPA101" s="414"/>
      <c r="DPD101" s="445"/>
      <c r="DPE101" s="414"/>
      <c r="DPH101" s="445"/>
      <c r="DPI101" s="414"/>
      <c r="DPL101" s="445"/>
      <c r="DPM101" s="414"/>
      <c r="DPP101" s="445"/>
      <c r="DPQ101" s="414"/>
      <c r="DPT101" s="445"/>
      <c r="DPU101" s="414"/>
      <c r="DPX101" s="445"/>
      <c r="DPY101" s="414"/>
      <c r="DQB101" s="445"/>
      <c r="DQC101" s="414"/>
      <c r="DQF101" s="445"/>
      <c r="DQG101" s="414"/>
      <c r="DQJ101" s="445"/>
      <c r="DQK101" s="414"/>
      <c r="DQN101" s="445"/>
      <c r="DQO101" s="414"/>
      <c r="DQR101" s="445"/>
      <c r="DQS101" s="414"/>
      <c r="DQV101" s="445"/>
      <c r="DQW101" s="414"/>
      <c r="DQZ101" s="445"/>
      <c r="DRA101" s="414"/>
      <c r="DRD101" s="445"/>
      <c r="DRE101" s="414"/>
      <c r="DRH101" s="445"/>
      <c r="DRI101" s="414"/>
      <c r="DRL101" s="445"/>
      <c r="DRM101" s="414"/>
      <c r="DRP101" s="445"/>
      <c r="DRQ101" s="414"/>
      <c r="DRT101" s="445"/>
      <c r="DRU101" s="414"/>
      <c r="DRX101" s="445"/>
      <c r="DRY101" s="414"/>
      <c r="DSB101" s="445"/>
      <c r="DSC101" s="414"/>
      <c r="DSF101" s="445"/>
      <c r="DSG101" s="414"/>
      <c r="DSJ101" s="445"/>
      <c r="DSK101" s="414"/>
      <c r="DSN101" s="445"/>
      <c r="DSO101" s="414"/>
      <c r="DSR101" s="445"/>
      <c r="DSS101" s="414"/>
      <c r="DSV101" s="445"/>
      <c r="DSW101" s="414"/>
      <c r="DSZ101" s="445"/>
      <c r="DTA101" s="414"/>
      <c r="DTD101" s="445"/>
      <c r="DTE101" s="414"/>
      <c r="DTH101" s="445"/>
      <c r="DTI101" s="414"/>
      <c r="DTL101" s="445"/>
      <c r="DTM101" s="414"/>
      <c r="DTP101" s="445"/>
      <c r="DTQ101" s="414"/>
      <c r="DTT101" s="445"/>
      <c r="DTU101" s="414"/>
      <c r="DTX101" s="445"/>
      <c r="DTY101" s="414"/>
      <c r="DUB101" s="445"/>
      <c r="DUC101" s="414"/>
      <c r="DUF101" s="445"/>
      <c r="DUG101" s="414"/>
      <c r="DUJ101" s="445"/>
      <c r="DUK101" s="414"/>
      <c r="DUN101" s="445"/>
      <c r="DUO101" s="414"/>
      <c r="DUR101" s="445"/>
      <c r="DUS101" s="414"/>
      <c r="DUV101" s="445"/>
      <c r="DUW101" s="414"/>
      <c r="DUZ101" s="445"/>
      <c r="DVA101" s="414"/>
      <c r="DVD101" s="445"/>
      <c r="DVE101" s="414"/>
      <c r="DVH101" s="445"/>
      <c r="DVI101" s="414"/>
      <c r="DVL101" s="445"/>
      <c r="DVM101" s="414"/>
      <c r="DVP101" s="445"/>
      <c r="DVQ101" s="414"/>
      <c r="DVT101" s="445"/>
      <c r="DVU101" s="414"/>
      <c r="DVX101" s="445"/>
      <c r="DVY101" s="414"/>
      <c r="DWB101" s="445"/>
      <c r="DWC101" s="414"/>
      <c r="DWF101" s="445"/>
      <c r="DWG101" s="414"/>
      <c r="DWJ101" s="445"/>
      <c r="DWK101" s="414"/>
      <c r="DWN101" s="445"/>
      <c r="DWO101" s="414"/>
      <c r="DWR101" s="445"/>
      <c r="DWS101" s="414"/>
      <c r="DWV101" s="445"/>
      <c r="DWW101" s="414"/>
      <c r="DWZ101" s="445"/>
      <c r="DXA101" s="414"/>
      <c r="DXD101" s="445"/>
      <c r="DXE101" s="414"/>
      <c r="DXH101" s="445"/>
      <c r="DXI101" s="414"/>
      <c r="DXL101" s="445"/>
      <c r="DXM101" s="414"/>
      <c r="DXP101" s="445"/>
      <c r="DXQ101" s="414"/>
      <c r="DXT101" s="445"/>
      <c r="DXU101" s="414"/>
      <c r="DXX101" s="445"/>
      <c r="DXY101" s="414"/>
      <c r="DYB101" s="445"/>
      <c r="DYC101" s="414"/>
      <c r="DYF101" s="445"/>
      <c r="DYG101" s="414"/>
      <c r="DYJ101" s="445"/>
      <c r="DYK101" s="414"/>
      <c r="DYN101" s="445"/>
      <c r="DYO101" s="414"/>
      <c r="DYR101" s="445"/>
      <c r="DYS101" s="414"/>
      <c r="DYV101" s="445"/>
      <c r="DYW101" s="414"/>
      <c r="DYZ101" s="445"/>
      <c r="DZA101" s="414"/>
      <c r="DZD101" s="445"/>
      <c r="DZE101" s="414"/>
      <c r="DZH101" s="445"/>
      <c r="DZI101" s="414"/>
      <c r="DZL101" s="445"/>
      <c r="DZM101" s="414"/>
      <c r="DZP101" s="445"/>
      <c r="DZQ101" s="414"/>
      <c r="DZT101" s="445"/>
      <c r="DZU101" s="414"/>
      <c r="DZX101" s="445"/>
      <c r="DZY101" s="414"/>
      <c r="EAB101" s="445"/>
      <c r="EAC101" s="414"/>
      <c r="EAF101" s="445"/>
      <c r="EAG101" s="414"/>
      <c r="EAJ101" s="445"/>
      <c r="EAK101" s="414"/>
      <c r="EAN101" s="445"/>
      <c r="EAO101" s="414"/>
      <c r="EAR101" s="445"/>
      <c r="EAS101" s="414"/>
      <c r="EAV101" s="445"/>
      <c r="EAW101" s="414"/>
      <c r="EAZ101" s="445"/>
      <c r="EBA101" s="414"/>
      <c r="EBD101" s="445"/>
      <c r="EBE101" s="414"/>
      <c r="EBH101" s="445"/>
      <c r="EBI101" s="414"/>
      <c r="EBL101" s="445"/>
      <c r="EBM101" s="414"/>
      <c r="EBP101" s="445"/>
      <c r="EBQ101" s="414"/>
      <c r="EBT101" s="445"/>
      <c r="EBU101" s="414"/>
      <c r="EBX101" s="445"/>
      <c r="EBY101" s="414"/>
      <c r="ECB101" s="445"/>
      <c r="ECC101" s="414"/>
      <c r="ECF101" s="445"/>
      <c r="ECG101" s="414"/>
      <c r="ECJ101" s="445"/>
      <c r="ECK101" s="414"/>
      <c r="ECN101" s="445"/>
      <c r="ECO101" s="414"/>
      <c r="ECR101" s="445"/>
      <c r="ECS101" s="414"/>
      <c r="ECV101" s="445"/>
      <c r="ECW101" s="414"/>
      <c r="ECZ101" s="445"/>
      <c r="EDA101" s="414"/>
      <c r="EDD101" s="445"/>
      <c r="EDE101" s="414"/>
      <c r="EDH101" s="445"/>
      <c r="EDI101" s="414"/>
      <c r="EDL101" s="445"/>
      <c r="EDM101" s="414"/>
      <c r="EDP101" s="445"/>
      <c r="EDQ101" s="414"/>
      <c r="EDT101" s="445"/>
      <c r="EDU101" s="414"/>
      <c r="EDX101" s="445"/>
      <c r="EDY101" s="414"/>
      <c r="EEB101" s="445"/>
      <c r="EEC101" s="414"/>
      <c r="EEF101" s="445"/>
      <c r="EEG101" s="414"/>
      <c r="EEJ101" s="445"/>
      <c r="EEK101" s="414"/>
      <c r="EEN101" s="445"/>
      <c r="EEO101" s="414"/>
      <c r="EER101" s="445"/>
      <c r="EES101" s="414"/>
      <c r="EEV101" s="445"/>
      <c r="EEW101" s="414"/>
      <c r="EEZ101" s="445"/>
      <c r="EFA101" s="414"/>
      <c r="EFD101" s="445"/>
      <c r="EFE101" s="414"/>
      <c r="EFH101" s="445"/>
      <c r="EFI101" s="414"/>
      <c r="EFL101" s="445"/>
      <c r="EFM101" s="414"/>
      <c r="EFP101" s="445"/>
      <c r="EFQ101" s="414"/>
      <c r="EFT101" s="445"/>
      <c r="EFU101" s="414"/>
      <c r="EFX101" s="445"/>
      <c r="EFY101" s="414"/>
      <c r="EGB101" s="445"/>
      <c r="EGC101" s="414"/>
      <c r="EGF101" s="445"/>
      <c r="EGG101" s="414"/>
      <c r="EGJ101" s="445"/>
      <c r="EGK101" s="414"/>
      <c r="EGN101" s="445"/>
      <c r="EGO101" s="414"/>
      <c r="EGR101" s="445"/>
      <c r="EGS101" s="414"/>
      <c r="EGV101" s="445"/>
      <c r="EGW101" s="414"/>
      <c r="EGZ101" s="445"/>
      <c r="EHA101" s="414"/>
      <c r="EHD101" s="445"/>
      <c r="EHE101" s="414"/>
      <c r="EHH101" s="445"/>
      <c r="EHI101" s="414"/>
      <c r="EHL101" s="445"/>
      <c r="EHM101" s="414"/>
      <c r="EHP101" s="445"/>
      <c r="EHQ101" s="414"/>
      <c r="EHT101" s="445"/>
      <c r="EHU101" s="414"/>
      <c r="EHX101" s="445"/>
      <c r="EHY101" s="414"/>
      <c r="EIB101" s="445"/>
      <c r="EIC101" s="414"/>
      <c r="EIF101" s="445"/>
      <c r="EIG101" s="414"/>
      <c r="EIJ101" s="445"/>
      <c r="EIK101" s="414"/>
      <c r="EIN101" s="445"/>
      <c r="EIO101" s="414"/>
      <c r="EIR101" s="445"/>
      <c r="EIS101" s="414"/>
      <c r="EIV101" s="445"/>
      <c r="EIW101" s="414"/>
      <c r="EIZ101" s="445"/>
      <c r="EJA101" s="414"/>
      <c r="EJD101" s="445"/>
      <c r="EJE101" s="414"/>
      <c r="EJH101" s="445"/>
      <c r="EJI101" s="414"/>
      <c r="EJL101" s="445"/>
      <c r="EJM101" s="414"/>
      <c r="EJP101" s="445"/>
      <c r="EJQ101" s="414"/>
      <c r="EJT101" s="445"/>
      <c r="EJU101" s="414"/>
      <c r="EJX101" s="445"/>
      <c r="EJY101" s="414"/>
      <c r="EKB101" s="445"/>
      <c r="EKC101" s="414"/>
      <c r="EKF101" s="445"/>
      <c r="EKG101" s="414"/>
      <c r="EKJ101" s="445"/>
      <c r="EKK101" s="414"/>
      <c r="EKN101" s="445"/>
      <c r="EKO101" s="414"/>
      <c r="EKR101" s="445"/>
      <c r="EKS101" s="414"/>
      <c r="EKV101" s="445"/>
      <c r="EKW101" s="414"/>
      <c r="EKZ101" s="445"/>
      <c r="ELA101" s="414"/>
      <c r="ELD101" s="445"/>
      <c r="ELE101" s="414"/>
      <c r="ELH101" s="445"/>
      <c r="ELI101" s="414"/>
      <c r="ELL101" s="445"/>
      <c r="ELM101" s="414"/>
      <c r="ELP101" s="445"/>
      <c r="ELQ101" s="414"/>
      <c r="ELT101" s="445"/>
      <c r="ELU101" s="414"/>
      <c r="ELX101" s="445"/>
      <c r="ELY101" s="414"/>
      <c r="EMB101" s="445"/>
      <c r="EMC101" s="414"/>
      <c r="EMF101" s="445"/>
      <c r="EMG101" s="414"/>
      <c r="EMJ101" s="445"/>
      <c r="EMK101" s="414"/>
      <c r="EMN101" s="445"/>
      <c r="EMO101" s="414"/>
      <c r="EMR101" s="445"/>
      <c r="EMS101" s="414"/>
      <c r="EMV101" s="445"/>
      <c r="EMW101" s="414"/>
      <c r="EMZ101" s="445"/>
      <c r="ENA101" s="414"/>
      <c r="END101" s="445"/>
      <c r="ENE101" s="414"/>
      <c r="ENH101" s="445"/>
      <c r="ENI101" s="414"/>
      <c r="ENL101" s="445"/>
      <c r="ENM101" s="414"/>
      <c r="ENP101" s="445"/>
      <c r="ENQ101" s="414"/>
      <c r="ENT101" s="445"/>
      <c r="ENU101" s="414"/>
      <c r="ENX101" s="445"/>
      <c r="ENY101" s="414"/>
      <c r="EOB101" s="445"/>
      <c r="EOC101" s="414"/>
      <c r="EOF101" s="445"/>
      <c r="EOG101" s="414"/>
      <c r="EOJ101" s="445"/>
      <c r="EOK101" s="414"/>
      <c r="EON101" s="445"/>
      <c r="EOO101" s="414"/>
      <c r="EOR101" s="445"/>
      <c r="EOS101" s="414"/>
      <c r="EOV101" s="445"/>
      <c r="EOW101" s="414"/>
      <c r="EOZ101" s="445"/>
      <c r="EPA101" s="414"/>
      <c r="EPD101" s="445"/>
      <c r="EPE101" s="414"/>
      <c r="EPH101" s="445"/>
      <c r="EPI101" s="414"/>
      <c r="EPL101" s="445"/>
      <c r="EPM101" s="414"/>
      <c r="EPP101" s="445"/>
      <c r="EPQ101" s="414"/>
      <c r="EPT101" s="445"/>
      <c r="EPU101" s="414"/>
      <c r="EPX101" s="445"/>
      <c r="EPY101" s="414"/>
      <c r="EQB101" s="445"/>
      <c r="EQC101" s="414"/>
      <c r="EQF101" s="445"/>
      <c r="EQG101" s="414"/>
      <c r="EQJ101" s="445"/>
      <c r="EQK101" s="414"/>
      <c r="EQN101" s="445"/>
      <c r="EQO101" s="414"/>
      <c r="EQR101" s="445"/>
      <c r="EQS101" s="414"/>
      <c r="EQV101" s="445"/>
      <c r="EQW101" s="414"/>
      <c r="EQZ101" s="445"/>
      <c r="ERA101" s="414"/>
      <c r="ERD101" s="445"/>
      <c r="ERE101" s="414"/>
      <c r="ERH101" s="445"/>
      <c r="ERI101" s="414"/>
      <c r="ERL101" s="445"/>
      <c r="ERM101" s="414"/>
      <c r="ERP101" s="445"/>
      <c r="ERQ101" s="414"/>
      <c r="ERT101" s="445"/>
      <c r="ERU101" s="414"/>
      <c r="ERX101" s="445"/>
      <c r="ERY101" s="414"/>
      <c r="ESB101" s="445"/>
      <c r="ESC101" s="414"/>
      <c r="ESF101" s="445"/>
      <c r="ESG101" s="414"/>
      <c r="ESJ101" s="445"/>
      <c r="ESK101" s="414"/>
      <c r="ESN101" s="445"/>
      <c r="ESO101" s="414"/>
      <c r="ESR101" s="445"/>
      <c r="ESS101" s="414"/>
      <c r="ESV101" s="445"/>
      <c r="ESW101" s="414"/>
      <c r="ESZ101" s="445"/>
      <c r="ETA101" s="414"/>
      <c r="ETD101" s="445"/>
      <c r="ETE101" s="414"/>
      <c r="ETH101" s="445"/>
      <c r="ETI101" s="414"/>
      <c r="ETL101" s="445"/>
      <c r="ETM101" s="414"/>
      <c r="ETP101" s="445"/>
      <c r="ETQ101" s="414"/>
      <c r="ETT101" s="445"/>
      <c r="ETU101" s="414"/>
      <c r="ETX101" s="445"/>
      <c r="ETY101" s="414"/>
      <c r="EUB101" s="445"/>
      <c r="EUC101" s="414"/>
      <c r="EUF101" s="445"/>
      <c r="EUG101" s="414"/>
      <c r="EUJ101" s="445"/>
      <c r="EUK101" s="414"/>
      <c r="EUN101" s="445"/>
      <c r="EUO101" s="414"/>
      <c r="EUR101" s="445"/>
      <c r="EUS101" s="414"/>
      <c r="EUV101" s="445"/>
      <c r="EUW101" s="414"/>
      <c r="EUZ101" s="445"/>
      <c r="EVA101" s="414"/>
      <c r="EVD101" s="445"/>
      <c r="EVE101" s="414"/>
      <c r="EVH101" s="445"/>
      <c r="EVI101" s="414"/>
      <c r="EVL101" s="445"/>
      <c r="EVM101" s="414"/>
      <c r="EVP101" s="445"/>
      <c r="EVQ101" s="414"/>
      <c r="EVT101" s="445"/>
      <c r="EVU101" s="414"/>
      <c r="EVX101" s="445"/>
      <c r="EVY101" s="414"/>
      <c r="EWB101" s="445"/>
      <c r="EWC101" s="414"/>
      <c r="EWF101" s="445"/>
      <c r="EWG101" s="414"/>
      <c r="EWJ101" s="445"/>
      <c r="EWK101" s="414"/>
      <c r="EWN101" s="445"/>
      <c r="EWO101" s="414"/>
      <c r="EWR101" s="445"/>
      <c r="EWS101" s="414"/>
      <c r="EWV101" s="445"/>
      <c r="EWW101" s="414"/>
      <c r="EWZ101" s="445"/>
      <c r="EXA101" s="414"/>
      <c r="EXD101" s="445"/>
      <c r="EXE101" s="414"/>
      <c r="EXH101" s="445"/>
      <c r="EXI101" s="414"/>
      <c r="EXL101" s="445"/>
      <c r="EXM101" s="414"/>
      <c r="EXP101" s="445"/>
      <c r="EXQ101" s="414"/>
      <c r="EXT101" s="445"/>
      <c r="EXU101" s="414"/>
      <c r="EXX101" s="445"/>
      <c r="EXY101" s="414"/>
      <c r="EYB101" s="445"/>
      <c r="EYC101" s="414"/>
      <c r="EYF101" s="445"/>
      <c r="EYG101" s="414"/>
      <c r="EYJ101" s="445"/>
      <c r="EYK101" s="414"/>
      <c r="EYN101" s="445"/>
      <c r="EYO101" s="414"/>
      <c r="EYR101" s="445"/>
      <c r="EYS101" s="414"/>
      <c r="EYV101" s="445"/>
      <c r="EYW101" s="414"/>
      <c r="EYZ101" s="445"/>
      <c r="EZA101" s="414"/>
      <c r="EZD101" s="445"/>
      <c r="EZE101" s="414"/>
      <c r="EZH101" s="445"/>
      <c r="EZI101" s="414"/>
      <c r="EZL101" s="445"/>
      <c r="EZM101" s="414"/>
      <c r="EZP101" s="445"/>
      <c r="EZQ101" s="414"/>
      <c r="EZT101" s="445"/>
      <c r="EZU101" s="414"/>
      <c r="EZX101" s="445"/>
      <c r="EZY101" s="414"/>
      <c r="FAB101" s="445"/>
      <c r="FAC101" s="414"/>
      <c r="FAF101" s="445"/>
      <c r="FAG101" s="414"/>
      <c r="FAJ101" s="445"/>
      <c r="FAK101" s="414"/>
      <c r="FAN101" s="445"/>
      <c r="FAO101" s="414"/>
      <c r="FAR101" s="445"/>
      <c r="FAS101" s="414"/>
      <c r="FAV101" s="445"/>
      <c r="FAW101" s="414"/>
      <c r="FAZ101" s="445"/>
      <c r="FBA101" s="414"/>
      <c r="FBD101" s="445"/>
      <c r="FBE101" s="414"/>
      <c r="FBH101" s="445"/>
      <c r="FBI101" s="414"/>
      <c r="FBL101" s="445"/>
      <c r="FBM101" s="414"/>
      <c r="FBP101" s="445"/>
      <c r="FBQ101" s="414"/>
      <c r="FBT101" s="445"/>
      <c r="FBU101" s="414"/>
      <c r="FBX101" s="445"/>
      <c r="FBY101" s="414"/>
      <c r="FCB101" s="445"/>
      <c r="FCC101" s="414"/>
      <c r="FCF101" s="445"/>
      <c r="FCG101" s="414"/>
      <c r="FCJ101" s="445"/>
      <c r="FCK101" s="414"/>
      <c r="FCN101" s="445"/>
      <c r="FCO101" s="414"/>
      <c r="FCR101" s="445"/>
      <c r="FCS101" s="414"/>
      <c r="FCV101" s="445"/>
      <c r="FCW101" s="414"/>
      <c r="FCZ101" s="445"/>
      <c r="FDA101" s="414"/>
      <c r="FDD101" s="445"/>
      <c r="FDE101" s="414"/>
      <c r="FDH101" s="445"/>
      <c r="FDI101" s="414"/>
      <c r="FDL101" s="445"/>
      <c r="FDM101" s="414"/>
      <c r="FDP101" s="445"/>
      <c r="FDQ101" s="414"/>
      <c r="FDT101" s="445"/>
      <c r="FDU101" s="414"/>
      <c r="FDX101" s="445"/>
      <c r="FDY101" s="414"/>
      <c r="FEB101" s="445"/>
      <c r="FEC101" s="414"/>
      <c r="FEF101" s="445"/>
      <c r="FEG101" s="414"/>
      <c r="FEJ101" s="445"/>
      <c r="FEK101" s="414"/>
      <c r="FEN101" s="445"/>
      <c r="FEO101" s="414"/>
      <c r="FER101" s="445"/>
      <c r="FES101" s="414"/>
      <c r="FEV101" s="445"/>
      <c r="FEW101" s="414"/>
      <c r="FEZ101" s="445"/>
      <c r="FFA101" s="414"/>
      <c r="FFD101" s="445"/>
      <c r="FFE101" s="414"/>
      <c r="FFH101" s="445"/>
      <c r="FFI101" s="414"/>
      <c r="FFL101" s="445"/>
      <c r="FFM101" s="414"/>
      <c r="FFP101" s="445"/>
      <c r="FFQ101" s="414"/>
      <c r="FFT101" s="445"/>
      <c r="FFU101" s="414"/>
      <c r="FFX101" s="445"/>
      <c r="FFY101" s="414"/>
      <c r="FGB101" s="445"/>
      <c r="FGC101" s="414"/>
      <c r="FGF101" s="445"/>
      <c r="FGG101" s="414"/>
      <c r="FGJ101" s="445"/>
      <c r="FGK101" s="414"/>
      <c r="FGN101" s="445"/>
      <c r="FGO101" s="414"/>
      <c r="FGR101" s="445"/>
      <c r="FGS101" s="414"/>
      <c r="FGV101" s="445"/>
      <c r="FGW101" s="414"/>
      <c r="FGZ101" s="445"/>
      <c r="FHA101" s="414"/>
      <c r="FHD101" s="445"/>
      <c r="FHE101" s="414"/>
      <c r="FHH101" s="445"/>
      <c r="FHI101" s="414"/>
      <c r="FHL101" s="445"/>
      <c r="FHM101" s="414"/>
      <c r="FHP101" s="445"/>
      <c r="FHQ101" s="414"/>
      <c r="FHT101" s="445"/>
      <c r="FHU101" s="414"/>
      <c r="FHX101" s="445"/>
      <c r="FHY101" s="414"/>
      <c r="FIB101" s="445"/>
      <c r="FIC101" s="414"/>
      <c r="FIF101" s="445"/>
      <c r="FIG101" s="414"/>
      <c r="FIJ101" s="445"/>
      <c r="FIK101" s="414"/>
      <c r="FIN101" s="445"/>
      <c r="FIO101" s="414"/>
      <c r="FIR101" s="445"/>
      <c r="FIS101" s="414"/>
      <c r="FIV101" s="445"/>
      <c r="FIW101" s="414"/>
      <c r="FIZ101" s="445"/>
      <c r="FJA101" s="414"/>
      <c r="FJD101" s="445"/>
      <c r="FJE101" s="414"/>
      <c r="FJH101" s="445"/>
      <c r="FJI101" s="414"/>
      <c r="FJL101" s="445"/>
      <c r="FJM101" s="414"/>
      <c r="FJP101" s="445"/>
      <c r="FJQ101" s="414"/>
      <c r="FJT101" s="445"/>
      <c r="FJU101" s="414"/>
      <c r="FJX101" s="445"/>
      <c r="FJY101" s="414"/>
      <c r="FKB101" s="445"/>
      <c r="FKC101" s="414"/>
      <c r="FKF101" s="445"/>
      <c r="FKG101" s="414"/>
      <c r="FKJ101" s="445"/>
      <c r="FKK101" s="414"/>
      <c r="FKN101" s="445"/>
      <c r="FKO101" s="414"/>
      <c r="FKR101" s="445"/>
      <c r="FKS101" s="414"/>
      <c r="FKV101" s="445"/>
      <c r="FKW101" s="414"/>
      <c r="FKZ101" s="445"/>
      <c r="FLA101" s="414"/>
      <c r="FLD101" s="445"/>
      <c r="FLE101" s="414"/>
      <c r="FLH101" s="445"/>
      <c r="FLI101" s="414"/>
      <c r="FLL101" s="445"/>
      <c r="FLM101" s="414"/>
      <c r="FLP101" s="445"/>
      <c r="FLQ101" s="414"/>
      <c r="FLT101" s="445"/>
      <c r="FLU101" s="414"/>
      <c r="FLX101" s="445"/>
      <c r="FLY101" s="414"/>
      <c r="FMB101" s="445"/>
      <c r="FMC101" s="414"/>
      <c r="FMF101" s="445"/>
      <c r="FMG101" s="414"/>
      <c r="FMJ101" s="445"/>
      <c r="FMK101" s="414"/>
      <c r="FMN101" s="445"/>
      <c r="FMO101" s="414"/>
      <c r="FMR101" s="445"/>
      <c r="FMS101" s="414"/>
      <c r="FMV101" s="445"/>
      <c r="FMW101" s="414"/>
      <c r="FMZ101" s="445"/>
      <c r="FNA101" s="414"/>
      <c r="FND101" s="445"/>
      <c r="FNE101" s="414"/>
      <c r="FNH101" s="445"/>
      <c r="FNI101" s="414"/>
      <c r="FNL101" s="445"/>
      <c r="FNM101" s="414"/>
      <c r="FNP101" s="445"/>
      <c r="FNQ101" s="414"/>
      <c r="FNT101" s="445"/>
      <c r="FNU101" s="414"/>
      <c r="FNX101" s="445"/>
      <c r="FNY101" s="414"/>
      <c r="FOB101" s="445"/>
      <c r="FOC101" s="414"/>
      <c r="FOF101" s="445"/>
      <c r="FOG101" s="414"/>
      <c r="FOJ101" s="445"/>
      <c r="FOK101" s="414"/>
      <c r="FON101" s="445"/>
      <c r="FOO101" s="414"/>
      <c r="FOR101" s="445"/>
      <c r="FOS101" s="414"/>
      <c r="FOV101" s="445"/>
      <c r="FOW101" s="414"/>
      <c r="FOZ101" s="445"/>
      <c r="FPA101" s="414"/>
      <c r="FPD101" s="445"/>
      <c r="FPE101" s="414"/>
      <c r="FPH101" s="445"/>
      <c r="FPI101" s="414"/>
      <c r="FPL101" s="445"/>
      <c r="FPM101" s="414"/>
      <c r="FPP101" s="445"/>
      <c r="FPQ101" s="414"/>
      <c r="FPT101" s="445"/>
      <c r="FPU101" s="414"/>
      <c r="FPX101" s="445"/>
      <c r="FPY101" s="414"/>
      <c r="FQB101" s="445"/>
      <c r="FQC101" s="414"/>
      <c r="FQF101" s="445"/>
      <c r="FQG101" s="414"/>
      <c r="FQJ101" s="445"/>
      <c r="FQK101" s="414"/>
      <c r="FQN101" s="445"/>
      <c r="FQO101" s="414"/>
      <c r="FQR101" s="445"/>
      <c r="FQS101" s="414"/>
      <c r="FQV101" s="445"/>
      <c r="FQW101" s="414"/>
      <c r="FQZ101" s="445"/>
      <c r="FRA101" s="414"/>
      <c r="FRD101" s="445"/>
      <c r="FRE101" s="414"/>
      <c r="FRH101" s="445"/>
      <c r="FRI101" s="414"/>
      <c r="FRL101" s="445"/>
      <c r="FRM101" s="414"/>
      <c r="FRP101" s="445"/>
      <c r="FRQ101" s="414"/>
      <c r="FRT101" s="445"/>
      <c r="FRU101" s="414"/>
      <c r="FRX101" s="445"/>
      <c r="FRY101" s="414"/>
      <c r="FSB101" s="445"/>
      <c r="FSC101" s="414"/>
      <c r="FSF101" s="445"/>
      <c r="FSG101" s="414"/>
      <c r="FSJ101" s="445"/>
      <c r="FSK101" s="414"/>
      <c r="FSN101" s="445"/>
      <c r="FSO101" s="414"/>
      <c r="FSR101" s="445"/>
      <c r="FSS101" s="414"/>
      <c r="FSV101" s="445"/>
      <c r="FSW101" s="414"/>
      <c r="FSZ101" s="445"/>
      <c r="FTA101" s="414"/>
      <c r="FTD101" s="445"/>
      <c r="FTE101" s="414"/>
      <c r="FTH101" s="445"/>
      <c r="FTI101" s="414"/>
      <c r="FTL101" s="445"/>
      <c r="FTM101" s="414"/>
      <c r="FTP101" s="445"/>
      <c r="FTQ101" s="414"/>
      <c r="FTT101" s="445"/>
      <c r="FTU101" s="414"/>
      <c r="FTX101" s="445"/>
      <c r="FTY101" s="414"/>
      <c r="FUB101" s="445"/>
      <c r="FUC101" s="414"/>
      <c r="FUF101" s="445"/>
      <c r="FUG101" s="414"/>
      <c r="FUJ101" s="445"/>
      <c r="FUK101" s="414"/>
      <c r="FUN101" s="445"/>
      <c r="FUO101" s="414"/>
      <c r="FUR101" s="445"/>
      <c r="FUS101" s="414"/>
      <c r="FUV101" s="445"/>
      <c r="FUW101" s="414"/>
      <c r="FUZ101" s="445"/>
      <c r="FVA101" s="414"/>
      <c r="FVD101" s="445"/>
      <c r="FVE101" s="414"/>
      <c r="FVH101" s="445"/>
      <c r="FVI101" s="414"/>
      <c r="FVL101" s="445"/>
      <c r="FVM101" s="414"/>
      <c r="FVP101" s="445"/>
      <c r="FVQ101" s="414"/>
      <c r="FVT101" s="445"/>
      <c r="FVU101" s="414"/>
      <c r="FVX101" s="445"/>
      <c r="FVY101" s="414"/>
      <c r="FWB101" s="445"/>
      <c r="FWC101" s="414"/>
      <c r="FWF101" s="445"/>
      <c r="FWG101" s="414"/>
      <c r="FWJ101" s="445"/>
      <c r="FWK101" s="414"/>
      <c r="FWN101" s="445"/>
      <c r="FWO101" s="414"/>
      <c r="FWR101" s="445"/>
      <c r="FWS101" s="414"/>
      <c r="FWV101" s="445"/>
      <c r="FWW101" s="414"/>
      <c r="FWZ101" s="445"/>
      <c r="FXA101" s="414"/>
      <c r="FXD101" s="445"/>
      <c r="FXE101" s="414"/>
      <c r="FXH101" s="445"/>
      <c r="FXI101" s="414"/>
      <c r="FXL101" s="445"/>
      <c r="FXM101" s="414"/>
      <c r="FXP101" s="445"/>
      <c r="FXQ101" s="414"/>
      <c r="FXT101" s="445"/>
      <c r="FXU101" s="414"/>
      <c r="FXX101" s="445"/>
      <c r="FXY101" s="414"/>
      <c r="FYB101" s="445"/>
      <c r="FYC101" s="414"/>
      <c r="FYF101" s="445"/>
      <c r="FYG101" s="414"/>
      <c r="FYJ101" s="445"/>
      <c r="FYK101" s="414"/>
      <c r="FYN101" s="445"/>
      <c r="FYO101" s="414"/>
      <c r="FYR101" s="445"/>
      <c r="FYS101" s="414"/>
      <c r="FYV101" s="445"/>
      <c r="FYW101" s="414"/>
      <c r="FYZ101" s="445"/>
      <c r="FZA101" s="414"/>
      <c r="FZD101" s="445"/>
      <c r="FZE101" s="414"/>
      <c r="FZH101" s="445"/>
      <c r="FZI101" s="414"/>
      <c r="FZL101" s="445"/>
      <c r="FZM101" s="414"/>
      <c r="FZP101" s="445"/>
      <c r="FZQ101" s="414"/>
      <c r="FZT101" s="445"/>
      <c r="FZU101" s="414"/>
      <c r="FZX101" s="445"/>
      <c r="FZY101" s="414"/>
      <c r="GAB101" s="445"/>
      <c r="GAC101" s="414"/>
      <c r="GAF101" s="445"/>
      <c r="GAG101" s="414"/>
      <c r="GAJ101" s="445"/>
      <c r="GAK101" s="414"/>
      <c r="GAN101" s="445"/>
      <c r="GAO101" s="414"/>
      <c r="GAR101" s="445"/>
      <c r="GAS101" s="414"/>
      <c r="GAV101" s="445"/>
      <c r="GAW101" s="414"/>
      <c r="GAZ101" s="445"/>
      <c r="GBA101" s="414"/>
      <c r="GBD101" s="445"/>
      <c r="GBE101" s="414"/>
      <c r="GBH101" s="445"/>
      <c r="GBI101" s="414"/>
      <c r="GBL101" s="445"/>
      <c r="GBM101" s="414"/>
      <c r="GBP101" s="445"/>
      <c r="GBQ101" s="414"/>
      <c r="GBT101" s="445"/>
      <c r="GBU101" s="414"/>
      <c r="GBX101" s="445"/>
      <c r="GBY101" s="414"/>
      <c r="GCB101" s="445"/>
      <c r="GCC101" s="414"/>
      <c r="GCF101" s="445"/>
      <c r="GCG101" s="414"/>
      <c r="GCJ101" s="445"/>
      <c r="GCK101" s="414"/>
      <c r="GCN101" s="445"/>
      <c r="GCO101" s="414"/>
      <c r="GCR101" s="445"/>
      <c r="GCS101" s="414"/>
      <c r="GCV101" s="445"/>
      <c r="GCW101" s="414"/>
      <c r="GCZ101" s="445"/>
      <c r="GDA101" s="414"/>
      <c r="GDD101" s="445"/>
      <c r="GDE101" s="414"/>
      <c r="GDH101" s="445"/>
      <c r="GDI101" s="414"/>
      <c r="GDL101" s="445"/>
      <c r="GDM101" s="414"/>
      <c r="GDP101" s="445"/>
      <c r="GDQ101" s="414"/>
      <c r="GDT101" s="445"/>
      <c r="GDU101" s="414"/>
      <c r="GDX101" s="445"/>
      <c r="GDY101" s="414"/>
      <c r="GEB101" s="445"/>
      <c r="GEC101" s="414"/>
      <c r="GEF101" s="445"/>
      <c r="GEG101" s="414"/>
      <c r="GEJ101" s="445"/>
      <c r="GEK101" s="414"/>
      <c r="GEN101" s="445"/>
      <c r="GEO101" s="414"/>
      <c r="GER101" s="445"/>
      <c r="GES101" s="414"/>
      <c r="GEV101" s="445"/>
      <c r="GEW101" s="414"/>
      <c r="GEZ101" s="445"/>
      <c r="GFA101" s="414"/>
      <c r="GFD101" s="445"/>
      <c r="GFE101" s="414"/>
      <c r="GFH101" s="445"/>
      <c r="GFI101" s="414"/>
      <c r="GFL101" s="445"/>
      <c r="GFM101" s="414"/>
      <c r="GFP101" s="445"/>
      <c r="GFQ101" s="414"/>
      <c r="GFT101" s="445"/>
      <c r="GFU101" s="414"/>
      <c r="GFX101" s="445"/>
      <c r="GFY101" s="414"/>
      <c r="GGB101" s="445"/>
      <c r="GGC101" s="414"/>
      <c r="GGF101" s="445"/>
      <c r="GGG101" s="414"/>
      <c r="GGJ101" s="445"/>
      <c r="GGK101" s="414"/>
      <c r="GGN101" s="445"/>
      <c r="GGO101" s="414"/>
      <c r="GGR101" s="445"/>
      <c r="GGS101" s="414"/>
      <c r="GGV101" s="445"/>
      <c r="GGW101" s="414"/>
      <c r="GGZ101" s="445"/>
      <c r="GHA101" s="414"/>
      <c r="GHD101" s="445"/>
      <c r="GHE101" s="414"/>
      <c r="GHH101" s="445"/>
      <c r="GHI101" s="414"/>
      <c r="GHL101" s="445"/>
      <c r="GHM101" s="414"/>
      <c r="GHP101" s="445"/>
      <c r="GHQ101" s="414"/>
      <c r="GHT101" s="445"/>
      <c r="GHU101" s="414"/>
      <c r="GHX101" s="445"/>
      <c r="GHY101" s="414"/>
      <c r="GIB101" s="445"/>
      <c r="GIC101" s="414"/>
      <c r="GIF101" s="445"/>
      <c r="GIG101" s="414"/>
      <c r="GIJ101" s="445"/>
      <c r="GIK101" s="414"/>
      <c r="GIN101" s="445"/>
      <c r="GIO101" s="414"/>
      <c r="GIR101" s="445"/>
      <c r="GIS101" s="414"/>
      <c r="GIV101" s="445"/>
      <c r="GIW101" s="414"/>
      <c r="GIZ101" s="445"/>
      <c r="GJA101" s="414"/>
      <c r="GJD101" s="445"/>
      <c r="GJE101" s="414"/>
      <c r="GJH101" s="445"/>
      <c r="GJI101" s="414"/>
      <c r="GJL101" s="445"/>
      <c r="GJM101" s="414"/>
      <c r="GJP101" s="445"/>
      <c r="GJQ101" s="414"/>
      <c r="GJT101" s="445"/>
      <c r="GJU101" s="414"/>
      <c r="GJX101" s="445"/>
      <c r="GJY101" s="414"/>
      <c r="GKB101" s="445"/>
      <c r="GKC101" s="414"/>
      <c r="GKF101" s="445"/>
      <c r="GKG101" s="414"/>
      <c r="GKJ101" s="445"/>
      <c r="GKK101" s="414"/>
      <c r="GKN101" s="445"/>
      <c r="GKO101" s="414"/>
      <c r="GKR101" s="445"/>
      <c r="GKS101" s="414"/>
      <c r="GKV101" s="445"/>
      <c r="GKW101" s="414"/>
      <c r="GKZ101" s="445"/>
      <c r="GLA101" s="414"/>
      <c r="GLD101" s="445"/>
      <c r="GLE101" s="414"/>
      <c r="GLH101" s="445"/>
      <c r="GLI101" s="414"/>
      <c r="GLL101" s="445"/>
      <c r="GLM101" s="414"/>
      <c r="GLP101" s="445"/>
      <c r="GLQ101" s="414"/>
      <c r="GLT101" s="445"/>
      <c r="GLU101" s="414"/>
      <c r="GLX101" s="445"/>
      <c r="GLY101" s="414"/>
      <c r="GMB101" s="445"/>
      <c r="GMC101" s="414"/>
      <c r="GMF101" s="445"/>
      <c r="GMG101" s="414"/>
      <c r="GMJ101" s="445"/>
      <c r="GMK101" s="414"/>
      <c r="GMN101" s="445"/>
      <c r="GMO101" s="414"/>
      <c r="GMR101" s="445"/>
      <c r="GMS101" s="414"/>
      <c r="GMV101" s="445"/>
      <c r="GMW101" s="414"/>
      <c r="GMZ101" s="445"/>
      <c r="GNA101" s="414"/>
      <c r="GND101" s="445"/>
      <c r="GNE101" s="414"/>
      <c r="GNH101" s="445"/>
      <c r="GNI101" s="414"/>
      <c r="GNL101" s="445"/>
      <c r="GNM101" s="414"/>
      <c r="GNP101" s="445"/>
      <c r="GNQ101" s="414"/>
      <c r="GNT101" s="445"/>
      <c r="GNU101" s="414"/>
      <c r="GNX101" s="445"/>
      <c r="GNY101" s="414"/>
      <c r="GOB101" s="445"/>
      <c r="GOC101" s="414"/>
      <c r="GOF101" s="445"/>
      <c r="GOG101" s="414"/>
      <c r="GOJ101" s="445"/>
      <c r="GOK101" s="414"/>
      <c r="GON101" s="445"/>
      <c r="GOO101" s="414"/>
      <c r="GOR101" s="445"/>
      <c r="GOS101" s="414"/>
      <c r="GOV101" s="445"/>
      <c r="GOW101" s="414"/>
      <c r="GOZ101" s="445"/>
      <c r="GPA101" s="414"/>
      <c r="GPD101" s="445"/>
      <c r="GPE101" s="414"/>
      <c r="GPH101" s="445"/>
      <c r="GPI101" s="414"/>
      <c r="GPL101" s="445"/>
      <c r="GPM101" s="414"/>
      <c r="GPP101" s="445"/>
      <c r="GPQ101" s="414"/>
      <c r="GPT101" s="445"/>
      <c r="GPU101" s="414"/>
      <c r="GPX101" s="445"/>
      <c r="GPY101" s="414"/>
      <c r="GQB101" s="445"/>
      <c r="GQC101" s="414"/>
      <c r="GQF101" s="445"/>
      <c r="GQG101" s="414"/>
      <c r="GQJ101" s="445"/>
      <c r="GQK101" s="414"/>
      <c r="GQN101" s="445"/>
      <c r="GQO101" s="414"/>
      <c r="GQR101" s="445"/>
      <c r="GQS101" s="414"/>
      <c r="GQV101" s="445"/>
      <c r="GQW101" s="414"/>
      <c r="GQZ101" s="445"/>
      <c r="GRA101" s="414"/>
      <c r="GRD101" s="445"/>
      <c r="GRE101" s="414"/>
      <c r="GRH101" s="445"/>
      <c r="GRI101" s="414"/>
      <c r="GRL101" s="445"/>
      <c r="GRM101" s="414"/>
      <c r="GRP101" s="445"/>
      <c r="GRQ101" s="414"/>
      <c r="GRT101" s="445"/>
      <c r="GRU101" s="414"/>
      <c r="GRX101" s="445"/>
      <c r="GRY101" s="414"/>
      <c r="GSB101" s="445"/>
      <c r="GSC101" s="414"/>
      <c r="GSF101" s="445"/>
      <c r="GSG101" s="414"/>
      <c r="GSJ101" s="445"/>
      <c r="GSK101" s="414"/>
      <c r="GSN101" s="445"/>
      <c r="GSO101" s="414"/>
      <c r="GSR101" s="445"/>
      <c r="GSS101" s="414"/>
      <c r="GSV101" s="445"/>
      <c r="GSW101" s="414"/>
      <c r="GSZ101" s="445"/>
      <c r="GTA101" s="414"/>
      <c r="GTD101" s="445"/>
      <c r="GTE101" s="414"/>
      <c r="GTH101" s="445"/>
      <c r="GTI101" s="414"/>
      <c r="GTL101" s="445"/>
      <c r="GTM101" s="414"/>
      <c r="GTP101" s="445"/>
      <c r="GTQ101" s="414"/>
      <c r="GTT101" s="445"/>
      <c r="GTU101" s="414"/>
      <c r="GTX101" s="445"/>
      <c r="GTY101" s="414"/>
      <c r="GUB101" s="445"/>
      <c r="GUC101" s="414"/>
      <c r="GUF101" s="445"/>
      <c r="GUG101" s="414"/>
      <c r="GUJ101" s="445"/>
      <c r="GUK101" s="414"/>
      <c r="GUN101" s="445"/>
      <c r="GUO101" s="414"/>
      <c r="GUR101" s="445"/>
      <c r="GUS101" s="414"/>
      <c r="GUV101" s="445"/>
      <c r="GUW101" s="414"/>
      <c r="GUZ101" s="445"/>
      <c r="GVA101" s="414"/>
      <c r="GVD101" s="445"/>
      <c r="GVE101" s="414"/>
      <c r="GVH101" s="445"/>
      <c r="GVI101" s="414"/>
      <c r="GVL101" s="445"/>
      <c r="GVM101" s="414"/>
      <c r="GVP101" s="445"/>
      <c r="GVQ101" s="414"/>
      <c r="GVT101" s="445"/>
      <c r="GVU101" s="414"/>
      <c r="GVX101" s="445"/>
      <c r="GVY101" s="414"/>
      <c r="GWB101" s="445"/>
      <c r="GWC101" s="414"/>
      <c r="GWF101" s="445"/>
      <c r="GWG101" s="414"/>
      <c r="GWJ101" s="445"/>
      <c r="GWK101" s="414"/>
      <c r="GWN101" s="445"/>
      <c r="GWO101" s="414"/>
      <c r="GWR101" s="445"/>
      <c r="GWS101" s="414"/>
      <c r="GWV101" s="445"/>
      <c r="GWW101" s="414"/>
      <c r="GWZ101" s="445"/>
      <c r="GXA101" s="414"/>
      <c r="GXD101" s="445"/>
      <c r="GXE101" s="414"/>
      <c r="GXH101" s="445"/>
      <c r="GXI101" s="414"/>
      <c r="GXL101" s="445"/>
      <c r="GXM101" s="414"/>
      <c r="GXP101" s="445"/>
      <c r="GXQ101" s="414"/>
      <c r="GXT101" s="445"/>
      <c r="GXU101" s="414"/>
      <c r="GXX101" s="445"/>
      <c r="GXY101" s="414"/>
      <c r="GYB101" s="445"/>
      <c r="GYC101" s="414"/>
      <c r="GYF101" s="445"/>
      <c r="GYG101" s="414"/>
      <c r="GYJ101" s="445"/>
      <c r="GYK101" s="414"/>
      <c r="GYN101" s="445"/>
      <c r="GYO101" s="414"/>
      <c r="GYR101" s="445"/>
      <c r="GYS101" s="414"/>
      <c r="GYV101" s="445"/>
      <c r="GYW101" s="414"/>
      <c r="GYZ101" s="445"/>
      <c r="GZA101" s="414"/>
      <c r="GZD101" s="445"/>
      <c r="GZE101" s="414"/>
      <c r="GZH101" s="445"/>
      <c r="GZI101" s="414"/>
      <c r="GZL101" s="445"/>
      <c r="GZM101" s="414"/>
      <c r="GZP101" s="445"/>
      <c r="GZQ101" s="414"/>
      <c r="GZT101" s="445"/>
      <c r="GZU101" s="414"/>
      <c r="GZX101" s="445"/>
      <c r="GZY101" s="414"/>
      <c r="HAB101" s="445"/>
      <c r="HAC101" s="414"/>
      <c r="HAF101" s="445"/>
      <c r="HAG101" s="414"/>
      <c r="HAJ101" s="445"/>
      <c r="HAK101" s="414"/>
      <c r="HAN101" s="445"/>
      <c r="HAO101" s="414"/>
      <c r="HAR101" s="445"/>
      <c r="HAS101" s="414"/>
      <c r="HAV101" s="445"/>
      <c r="HAW101" s="414"/>
      <c r="HAZ101" s="445"/>
      <c r="HBA101" s="414"/>
      <c r="HBD101" s="445"/>
      <c r="HBE101" s="414"/>
      <c r="HBH101" s="445"/>
      <c r="HBI101" s="414"/>
      <c r="HBL101" s="445"/>
      <c r="HBM101" s="414"/>
      <c r="HBP101" s="445"/>
      <c r="HBQ101" s="414"/>
      <c r="HBT101" s="445"/>
      <c r="HBU101" s="414"/>
      <c r="HBX101" s="445"/>
      <c r="HBY101" s="414"/>
      <c r="HCB101" s="445"/>
      <c r="HCC101" s="414"/>
      <c r="HCF101" s="445"/>
      <c r="HCG101" s="414"/>
      <c r="HCJ101" s="445"/>
      <c r="HCK101" s="414"/>
      <c r="HCN101" s="445"/>
      <c r="HCO101" s="414"/>
      <c r="HCR101" s="445"/>
      <c r="HCS101" s="414"/>
      <c r="HCV101" s="445"/>
      <c r="HCW101" s="414"/>
      <c r="HCZ101" s="445"/>
      <c r="HDA101" s="414"/>
      <c r="HDD101" s="445"/>
      <c r="HDE101" s="414"/>
      <c r="HDH101" s="445"/>
      <c r="HDI101" s="414"/>
      <c r="HDL101" s="445"/>
      <c r="HDM101" s="414"/>
      <c r="HDP101" s="445"/>
      <c r="HDQ101" s="414"/>
      <c r="HDT101" s="445"/>
      <c r="HDU101" s="414"/>
      <c r="HDX101" s="445"/>
      <c r="HDY101" s="414"/>
      <c r="HEB101" s="445"/>
      <c r="HEC101" s="414"/>
      <c r="HEF101" s="445"/>
      <c r="HEG101" s="414"/>
      <c r="HEJ101" s="445"/>
      <c r="HEK101" s="414"/>
      <c r="HEN101" s="445"/>
      <c r="HEO101" s="414"/>
      <c r="HER101" s="445"/>
      <c r="HES101" s="414"/>
      <c r="HEV101" s="445"/>
      <c r="HEW101" s="414"/>
      <c r="HEZ101" s="445"/>
      <c r="HFA101" s="414"/>
      <c r="HFD101" s="445"/>
      <c r="HFE101" s="414"/>
      <c r="HFH101" s="445"/>
      <c r="HFI101" s="414"/>
      <c r="HFL101" s="445"/>
      <c r="HFM101" s="414"/>
      <c r="HFP101" s="445"/>
      <c r="HFQ101" s="414"/>
      <c r="HFT101" s="445"/>
      <c r="HFU101" s="414"/>
      <c r="HFX101" s="445"/>
      <c r="HFY101" s="414"/>
      <c r="HGB101" s="445"/>
      <c r="HGC101" s="414"/>
      <c r="HGF101" s="445"/>
      <c r="HGG101" s="414"/>
      <c r="HGJ101" s="445"/>
      <c r="HGK101" s="414"/>
      <c r="HGN101" s="445"/>
      <c r="HGO101" s="414"/>
      <c r="HGR101" s="445"/>
      <c r="HGS101" s="414"/>
      <c r="HGV101" s="445"/>
      <c r="HGW101" s="414"/>
      <c r="HGZ101" s="445"/>
      <c r="HHA101" s="414"/>
      <c r="HHD101" s="445"/>
      <c r="HHE101" s="414"/>
      <c r="HHH101" s="445"/>
      <c r="HHI101" s="414"/>
      <c r="HHL101" s="445"/>
      <c r="HHM101" s="414"/>
      <c r="HHP101" s="445"/>
      <c r="HHQ101" s="414"/>
      <c r="HHT101" s="445"/>
      <c r="HHU101" s="414"/>
      <c r="HHX101" s="445"/>
      <c r="HHY101" s="414"/>
      <c r="HIB101" s="445"/>
      <c r="HIC101" s="414"/>
      <c r="HIF101" s="445"/>
      <c r="HIG101" s="414"/>
      <c r="HIJ101" s="445"/>
      <c r="HIK101" s="414"/>
      <c r="HIN101" s="445"/>
      <c r="HIO101" s="414"/>
      <c r="HIR101" s="445"/>
      <c r="HIS101" s="414"/>
      <c r="HIV101" s="445"/>
      <c r="HIW101" s="414"/>
      <c r="HIZ101" s="445"/>
      <c r="HJA101" s="414"/>
      <c r="HJD101" s="445"/>
      <c r="HJE101" s="414"/>
      <c r="HJH101" s="445"/>
      <c r="HJI101" s="414"/>
      <c r="HJL101" s="445"/>
      <c r="HJM101" s="414"/>
      <c r="HJP101" s="445"/>
      <c r="HJQ101" s="414"/>
      <c r="HJT101" s="445"/>
      <c r="HJU101" s="414"/>
      <c r="HJX101" s="445"/>
      <c r="HJY101" s="414"/>
      <c r="HKB101" s="445"/>
      <c r="HKC101" s="414"/>
      <c r="HKF101" s="445"/>
      <c r="HKG101" s="414"/>
      <c r="HKJ101" s="445"/>
      <c r="HKK101" s="414"/>
      <c r="HKN101" s="445"/>
      <c r="HKO101" s="414"/>
      <c r="HKR101" s="445"/>
      <c r="HKS101" s="414"/>
      <c r="HKV101" s="445"/>
      <c r="HKW101" s="414"/>
      <c r="HKZ101" s="445"/>
      <c r="HLA101" s="414"/>
      <c r="HLD101" s="445"/>
      <c r="HLE101" s="414"/>
      <c r="HLH101" s="445"/>
      <c r="HLI101" s="414"/>
      <c r="HLL101" s="445"/>
      <c r="HLM101" s="414"/>
      <c r="HLP101" s="445"/>
      <c r="HLQ101" s="414"/>
      <c r="HLT101" s="445"/>
      <c r="HLU101" s="414"/>
      <c r="HLX101" s="445"/>
      <c r="HLY101" s="414"/>
      <c r="HMB101" s="445"/>
      <c r="HMC101" s="414"/>
      <c r="HMF101" s="445"/>
      <c r="HMG101" s="414"/>
      <c r="HMJ101" s="445"/>
      <c r="HMK101" s="414"/>
      <c r="HMN101" s="445"/>
      <c r="HMO101" s="414"/>
      <c r="HMR101" s="445"/>
      <c r="HMS101" s="414"/>
      <c r="HMV101" s="445"/>
      <c r="HMW101" s="414"/>
      <c r="HMZ101" s="445"/>
      <c r="HNA101" s="414"/>
      <c r="HND101" s="445"/>
      <c r="HNE101" s="414"/>
      <c r="HNH101" s="445"/>
      <c r="HNI101" s="414"/>
      <c r="HNL101" s="445"/>
      <c r="HNM101" s="414"/>
      <c r="HNP101" s="445"/>
      <c r="HNQ101" s="414"/>
      <c r="HNT101" s="445"/>
      <c r="HNU101" s="414"/>
      <c r="HNX101" s="445"/>
      <c r="HNY101" s="414"/>
      <c r="HOB101" s="445"/>
      <c r="HOC101" s="414"/>
      <c r="HOF101" s="445"/>
      <c r="HOG101" s="414"/>
      <c r="HOJ101" s="445"/>
      <c r="HOK101" s="414"/>
      <c r="HON101" s="445"/>
      <c r="HOO101" s="414"/>
      <c r="HOR101" s="445"/>
      <c r="HOS101" s="414"/>
      <c r="HOV101" s="445"/>
      <c r="HOW101" s="414"/>
      <c r="HOZ101" s="445"/>
      <c r="HPA101" s="414"/>
      <c r="HPD101" s="445"/>
      <c r="HPE101" s="414"/>
      <c r="HPH101" s="445"/>
      <c r="HPI101" s="414"/>
      <c r="HPL101" s="445"/>
      <c r="HPM101" s="414"/>
      <c r="HPP101" s="445"/>
      <c r="HPQ101" s="414"/>
      <c r="HPT101" s="445"/>
      <c r="HPU101" s="414"/>
      <c r="HPX101" s="445"/>
      <c r="HPY101" s="414"/>
      <c r="HQB101" s="445"/>
      <c r="HQC101" s="414"/>
      <c r="HQF101" s="445"/>
      <c r="HQG101" s="414"/>
      <c r="HQJ101" s="445"/>
      <c r="HQK101" s="414"/>
      <c r="HQN101" s="445"/>
      <c r="HQO101" s="414"/>
      <c r="HQR101" s="445"/>
      <c r="HQS101" s="414"/>
      <c r="HQV101" s="445"/>
      <c r="HQW101" s="414"/>
      <c r="HQZ101" s="445"/>
      <c r="HRA101" s="414"/>
      <c r="HRD101" s="445"/>
      <c r="HRE101" s="414"/>
      <c r="HRH101" s="445"/>
      <c r="HRI101" s="414"/>
      <c r="HRL101" s="445"/>
      <c r="HRM101" s="414"/>
      <c r="HRP101" s="445"/>
      <c r="HRQ101" s="414"/>
      <c r="HRT101" s="445"/>
      <c r="HRU101" s="414"/>
      <c r="HRX101" s="445"/>
      <c r="HRY101" s="414"/>
      <c r="HSB101" s="445"/>
      <c r="HSC101" s="414"/>
      <c r="HSF101" s="445"/>
      <c r="HSG101" s="414"/>
      <c r="HSJ101" s="445"/>
      <c r="HSK101" s="414"/>
      <c r="HSN101" s="445"/>
      <c r="HSO101" s="414"/>
      <c r="HSR101" s="445"/>
      <c r="HSS101" s="414"/>
      <c r="HSV101" s="445"/>
      <c r="HSW101" s="414"/>
      <c r="HSZ101" s="445"/>
      <c r="HTA101" s="414"/>
      <c r="HTD101" s="445"/>
      <c r="HTE101" s="414"/>
      <c r="HTH101" s="445"/>
      <c r="HTI101" s="414"/>
      <c r="HTL101" s="445"/>
      <c r="HTM101" s="414"/>
      <c r="HTP101" s="445"/>
      <c r="HTQ101" s="414"/>
      <c r="HTT101" s="445"/>
      <c r="HTU101" s="414"/>
      <c r="HTX101" s="445"/>
      <c r="HTY101" s="414"/>
      <c r="HUB101" s="445"/>
      <c r="HUC101" s="414"/>
      <c r="HUF101" s="445"/>
      <c r="HUG101" s="414"/>
      <c r="HUJ101" s="445"/>
      <c r="HUK101" s="414"/>
      <c r="HUN101" s="445"/>
      <c r="HUO101" s="414"/>
      <c r="HUR101" s="445"/>
      <c r="HUS101" s="414"/>
      <c r="HUV101" s="445"/>
      <c r="HUW101" s="414"/>
      <c r="HUZ101" s="445"/>
      <c r="HVA101" s="414"/>
      <c r="HVD101" s="445"/>
      <c r="HVE101" s="414"/>
      <c r="HVH101" s="445"/>
      <c r="HVI101" s="414"/>
      <c r="HVL101" s="445"/>
      <c r="HVM101" s="414"/>
      <c r="HVP101" s="445"/>
      <c r="HVQ101" s="414"/>
      <c r="HVT101" s="445"/>
      <c r="HVU101" s="414"/>
      <c r="HVX101" s="445"/>
      <c r="HVY101" s="414"/>
      <c r="HWB101" s="445"/>
      <c r="HWC101" s="414"/>
      <c r="HWF101" s="445"/>
      <c r="HWG101" s="414"/>
      <c r="HWJ101" s="445"/>
      <c r="HWK101" s="414"/>
      <c r="HWN101" s="445"/>
      <c r="HWO101" s="414"/>
      <c r="HWR101" s="445"/>
      <c r="HWS101" s="414"/>
      <c r="HWV101" s="445"/>
      <c r="HWW101" s="414"/>
      <c r="HWZ101" s="445"/>
      <c r="HXA101" s="414"/>
      <c r="HXD101" s="445"/>
      <c r="HXE101" s="414"/>
      <c r="HXH101" s="445"/>
      <c r="HXI101" s="414"/>
      <c r="HXL101" s="445"/>
      <c r="HXM101" s="414"/>
      <c r="HXP101" s="445"/>
      <c r="HXQ101" s="414"/>
      <c r="HXT101" s="445"/>
      <c r="HXU101" s="414"/>
      <c r="HXX101" s="445"/>
      <c r="HXY101" s="414"/>
      <c r="HYB101" s="445"/>
      <c r="HYC101" s="414"/>
      <c r="HYF101" s="445"/>
      <c r="HYG101" s="414"/>
      <c r="HYJ101" s="445"/>
      <c r="HYK101" s="414"/>
      <c r="HYN101" s="445"/>
      <c r="HYO101" s="414"/>
      <c r="HYR101" s="445"/>
      <c r="HYS101" s="414"/>
      <c r="HYV101" s="445"/>
      <c r="HYW101" s="414"/>
      <c r="HYZ101" s="445"/>
      <c r="HZA101" s="414"/>
      <c r="HZD101" s="445"/>
      <c r="HZE101" s="414"/>
      <c r="HZH101" s="445"/>
      <c r="HZI101" s="414"/>
      <c r="HZL101" s="445"/>
      <c r="HZM101" s="414"/>
      <c r="HZP101" s="445"/>
      <c r="HZQ101" s="414"/>
      <c r="HZT101" s="445"/>
      <c r="HZU101" s="414"/>
      <c r="HZX101" s="445"/>
      <c r="HZY101" s="414"/>
      <c r="IAB101" s="445"/>
      <c r="IAC101" s="414"/>
      <c r="IAF101" s="445"/>
      <c r="IAG101" s="414"/>
      <c r="IAJ101" s="445"/>
      <c r="IAK101" s="414"/>
      <c r="IAN101" s="445"/>
      <c r="IAO101" s="414"/>
      <c r="IAR101" s="445"/>
      <c r="IAS101" s="414"/>
      <c r="IAV101" s="445"/>
      <c r="IAW101" s="414"/>
      <c r="IAZ101" s="445"/>
      <c r="IBA101" s="414"/>
      <c r="IBD101" s="445"/>
      <c r="IBE101" s="414"/>
      <c r="IBH101" s="445"/>
      <c r="IBI101" s="414"/>
      <c r="IBL101" s="445"/>
      <c r="IBM101" s="414"/>
      <c r="IBP101" s="445"/>
      <c r="IBQ101" s="414"/>
      <c r="IBT101" s="445"/>
      <c r="IBU101" s="414"/>
      <c r="IBX101" s="445"/>
      <c r="IBY101" s="414"/>
      <c r="ICB101" s="445"/>
      <c r="ICC101" s="414"/>
      <c r="ICF101" s="445"/>
      <c r="ICG101" s="414"/>
      <c r="ICJ101" s="445"/>
      <c r="ICK101" s="414"/>
      <c r="ICN101" s="445"/>
      <c r="ICO101" s="414"/>
      <c r="ICR101" s="445"/>
      <c r="ICS101" s="414"/>
      <c r="ICV101" s="445"/>
      <c r="ICW101" s="414"/>
      <c r="ICZ101" s="445"/>
      <c r="IDA101" s="414"/>
      <c r="IDD101" s="445"/>
      <c r="IDE101" s="414"/>
      <c r="IDH101" s="445"/>
      <c r="IDI101" s="414"/>
      <c r="IDL101" s="445"/>
      <c r="IDM101" s="414"/>
      <c r="IDP101" s="445"/>
      <c r="IDQ101" s="414"/>
      <c r="IDT101" s="445"/>
      <c r="IDU101" s="414"/>
      <c r="IDX101" s="445"/>
      <c r="IDY101" s="414"/>
      <c r="IEB101" s="445"/>
      <c r="IEC101" s="414"/>
      <c r="IEF101" s="445"/>
      <c r="IEG101" s="414"/>
      <c r="IEJ101" s="445"/>
      <c r="IEK101" s="414"/>
      <c r="IEN101" s="445"/>
      <c r="IEO101" s="414"/>
      <c r="IER101" s="445"/>
      <c r="IES101" s="414"/>
      <c r="IEV101" s="445"/>
      <c r="IEW101" s="414"/>
      <c r="IEZ101" s="445"/>
      <c r="IFA101" s="414"/>
      <c r="IFD101" s="445"/>
      <c r="IFE101" s="414"/>
      <c r="IFH101" s="445"/>
      <c r="IFI101" s="414"/>
      <c r="IFL101" s="445"/>
      <c r="IFM101" s="414"/>
      <c r="IFP101" s="445"/>
      <c r="IFQ101" s="414"/>
      <c r="IFT101" s="445"/>
      <c r="IFU101" s="414"/>
      <c r="IFX101" s="445"/>
      <c r="IFY101" s="414"/>
      <c r="IGB101" s="445"/>
      <c r="IGC101" s="414"/>
      <c r="IGF101" s="445"/>
      <c r="IGG101" s="414"/>
      <c r="IGJ101" s="445"/>
      <c r="IGK101" s="414"/>
      <c r="IGN101" s="445"/>
      <c r="IGO101" s="414"/>
      <c r="IGR101" s="445"/>
      <c r="IGS101" s="414"/>
      <c r="IGV101" s="445"/>
      <c r="IGW101" s="414"/>
      <c r="IGZ101" s="445"/>
      <c r="IHA101" s="414"/>
      <c r="IHD101" s="445"/>
      <c r="IHE101" s="414"/>
      <c r="IHH101" s="445"/>
      <c r="IHI101" s="414"/>
      <c r="IHL101" s="445"/>
      <c r="IHM101" s="414"/>
      <c r="IHP101" s="445"/>
      <c r="IHQ101" s="414"/>
      <c r="IHT101" s="445"/>
      <c r="IHU101" s="414"/>
      <c r="IHX101" s="445"/>
      <c r="IHY101" s="414"/>
      <c r="IIB101" s="445"/>
      <c r="IIC101" s="414"/>
      <c r="IIF101" s="445"/>
      <c r="IIG101" s="414"/>
      <c r="IIJ101" s="445"/>
      <c r="IIK101" s="414"/>
      <c r="IIN101" s="445"/>
      <c r="IIO101" s="414"/>
      <c r="IIR101" s="445"/>
      <c r="IIS101" s="414"/>
      <c r="IIV101" s="445"/>
      <c r="IIW101" s="414"/>
      <c r="IIZ101" s="445"/>
      <c r="IJA101" s="414"/>
      <c r="IJD101" s="445"/>
      <c r="IJE101" s="414"/>
      <c r="IJH101" s="445"/>
      <c r="IJI101" s="414"/>
      <c r="IJL101" s="445"/>
      <c r="IJM101" s="414"/>
      <c r="IJP101" s="445"/>
      <c r="IJQ101" s="414"/>
      <c r="IJT101" s="445"/>
      <c r="IJU101" s="414"/>
      <c r="IJX101" s="445"/>
      <c r="IJY101" s="414"/>
      <c r="IKB101" s="445"/>
      <c r="IKC101" s="414"/>
      <c r="IKF101" s="445"/>
      <c r="IKG101" s="414"/>
      <c r="IKJ101" s="445"/>
      <c r="IKK101" s="414"/>
      <c r="IKN101" s="445"/>
      <c r="IKO101" s="414"/>
      <c r="IKR101" s="445"/>
      <c r="IKS101" s="414"/>
      <c r="IKV101" s="445"/>
      <c r="IKW101" s="414"/>
      <c r="IKZ101" s="445"/>
      <c r="ILA101" s="414"/>
      <c r="ILD101" s="445"/>
      <c r="ILE101" s="414"/>
      <c r="ILH101" s="445"/>
      <c r="ILI101" s="414"/>
      <c r="ILL101" s="445"/>
      <c r="ILM101" s="414"/>
      <c r="ILP101" s="445"/>
      <c r="ILQ101" s="414"/>
      <c r="ILT101" s="445"/>
      <c r="ILU101" s="414"/>
      <c r="ILX101" s="445"/>
      <c r="ILY101" s="414"/>
      <c r="IMB101" s="445"/>
      <c r="IMC101" s="414"/>
      <c r="IMF101" s="445"/>
      <c r="IMG101" s="414"/>
      <c r="IMJ101" s="445"/>
      <c r="IMK101" s="414"/>
      <c r="IMN101" s="445"/>
      <c r="IMO101" s="414"/>
      <c r="IMR101" s="445"/>
      <c r="IMS101" s="414"/>
      <c r="IMV101" s="445"/>
      <c r="IMW101" s="414"/>
      <c r="IMZ101" s="445"/>
      <c r="INA101" s="414"/>
      <c r="IND101" s="445"/>
      <c r="INE101" s="414"/>
      <c r="INH101" s="445"/>
      <c r="INI101" s="414"/>
      <c r="INL101" s="445"/>
      <c r="INM101" s="414"/>
      <c r="INP101" s="445"/>
      <c r="INQ101" s="414"/>
      <c r="INT101" s="445"/>
      <c r="INU101" s="414"/>
      <c r="INX101" s="445"/>
      <c r="INY101" s="414"/>
      <c r="IOB101" s="445"/>
      <c r="IOC101" s="414"/>
      <c r="IOF101" s="445"/>
      <c r="IOG101" s="414"/>
      <c r="IOJ101" s="445"/>
      <c r="IOK101" s="414"/>
      <c r="ION101" s="445"/>
      <c r="IOO101" s="414"/>
      <c r="IOR101" s="445"/>
      <c r="IOS101" s="414"/>
      <c r="IOV101" s="445"/>
      <c r="IOW101" s="414"/>
      <c r="IOZ101" s="445"/>
      <c r="IPA101" s="414"/>
      <c r="IPD101" s="445"/>
      <c r="IPE101" s="414"/>
      <c r="IPH101" s="445"/>
      <c r="IPI101" s="414"/>
      <c r="IPL101" s="445"/>
      <c r="IPM101" s="414"/>
      <c r="IPP101" s="445"/>
      <c r="IPQ101" s="414"/>
      <c r="IPT101" s="445"/>
      <c r="IPU101" s="414"/>
      <c r="IPX101" s="445"/>
      <c r="IPY101" s="414"/>
      <c r="IQB101" s="445"/>
      <c r="IQC101" s="414"/>
      <c r="IQF101" s="445"/>
      <c r="IQG101" s="414"/>
      <c r="IQJ101" s="445"/>
      <c r="IQK101" s="414"/>
      <c r="IQN101" s="445"/>
      <c r="IQO101" s="414"/>
      <c r="IQR101" s="445"/>
      <c r="IQS101" s="414"/>
      <c r="IQV101" s="445"/>
      <c r="IQW101" s="414"/>
      <c r="IQZ101" s="445"/>
      <c r="IRA101" s="414"/>
      <c r="IRD101" s="445"/>
      <c r="IRE101" s="414"/>
      <c r="IRH101" s="445"/>
      <c r="IRI101" s="414"/>
      <c r="IRL101" s="445"/>
      <c r="IRM101" s="414"/>
      <c r="IRP101" s="445"/>
      <c r="IRQ101" s="414"/>
      <c r="IRT101" s="445"/>
      <c r="IRU101" s="414"/>
      <c r="IRX101" s="445"/>
      <c r="IRY101" s="414"/>
      <c r="ISB101" s="445"/>
      <c r="ISC101" s="414"/>
      <c r="ISF101" s="445"/>
      <c r="ISG101" s="414"/>
      <c r="ISJ101" s="445"/>
      <c r="ISK101" s="414"/>
      <c r="ISN101" s="445"/>
      <c r="ISO101" s="414"/>
      <c r="ISR101" s="445"/>
      <c r="ISS101" s="414"/>
      <c r="ISV101" s="445"/>
      <c r="ISW101" s="414"/>
      <c r="ISZ101" s="445"/>
      <c r="ITA101" s="414"/>
      <c r="ITD101" s="445"/>
      <c r="ITE101" s="414"/>
      <c r="ITH101" s="445"/>
      <c r="ITI101" s="414"/>
      <c r="ITL101" s="445"/>
      <c r="ITM101" s="414"/>
      <c r="ITP101" s="445"/>
      <c r="ITQ101" s="414"/>
      <c r="ITT101" s="445"/>
      <c r="ITU101" s="414"/>
      <c r="ITX101" s="445"/>
      <c r="ITY101" s="414"/>
      <c r="IUB101" s="445"/>
      <c r="IUC101" s="414"/>
      <c r="IUF101" s="445"/>
      <c r="IUG101" s="414"/>
      <c r="IUJ101" s="445"/>
      <c r="IUK101" s="414"/>
      <c r="IUN101" s="445"/>
      <c r="IUO101" s="414"/>
      <c r="IUR101" s="445"/>
      <c r="IUS101" s="414"/>
      <c r="IUV101" s="445"/>
      <c r="IUW101" s="414"/>
      <c r="IUZ101" s="445"/>
      <c r="IVA101" s="414"/>
      <c r="IVD101" s="445"/>
      <c r="IVE101" s="414"/>
      <c r="IVH101" s="445"/>
      <c r="IVI101" s="414"/>
      <c r="IVL101" s="445"/>
      <c r="IVM101" s="414"/>
      <c r="IVP101" s="445"/>
      <c r="IVQ101" s="414"/>
      <c r="IVT101" s="445"/>
      <c r="IVU101" s="414"/>
      <c r="IVX101" s="445"/>
      <c r="IVY101" s="414"/>
      <c r="IWB101" s="445"/>
      <c r="IWC101" s="414"/>
      <c r="IWF101" s="445"/>
      <c r="IWG101" s="414"/>
      <c r="IWJ101" s="445"/>
      <c r="IWK101" s="414"/>
      <c r="IWN101" s="445"/>
      <c r="IWO101" s="414"/>
      <c r="IWR101" s="445"/>
      <c r="IWS101" s="414"/>
      <c r="IWV101" s="445"/>
      <c r="IWW101" s="414"/>
      <c r="IWZ101" s="445"/>
      <c r="IXA101" s="414"/>
      <c r="IXD101" s="445"/>
      <c r="IXE101" s="414"/>
      <c r="IXH101" s="445"/>
      <c r="IXI101" s="414"/>
      <c r="IXL101" s="445"/>
      <c r="IXM101" s="414"/>
      <c r="IXP101" s="445"/>
      <c r="IXQ101" s="414"/>
      <c r="IXT101" s="445"/>
      <c r="IXU101" s="414"/>
      <c r="IXX101" s="445"/>
      <c r="IXY101" s="414"/>
      <c r="IYB101" s="445"/>
      <c r="IYC101" s="414"/>
      <c r="IYF101" s="445"/>
      <c r="IYG101" s="414"/>
      <c r="IYJ101" s="445"/>
      <c r="IYK101" s="414"/>
      <c r="IYN101" s="445"/>
      <c r="IYO101" s="414"/>
      <c r="IYR101" s="445"/>
      <c r="IYS101" s="414"/>
      <c r="IYV101" s="445"/>
      <c r="IYW101" s="414"/>
      <c r="IYZ101" s="445"/>
      <c r="IZA101" s="414"/>
      <c r="IZD101" s="445"/>
      <c r="IZE101" s="414"/>
      <c r="IZH101" s="445"/>
      <c r="IZI101" s="414"/>
      <c r="IZL101" s="445"/>
      <c r="IZM101" s="414"/>
      <c r="IZP101" s="445"/>
      <c r="IZQ101" s="414"/>
      <c r="IZT101" s="445"/>
      <c r="IZU101" s="414"/>
      <c r="IZX101" s="445"/>
      <c r="IZY101" s="414"/>
      <c r="JAB101" s="445"/>
      <c r="JAC101" s="414"/>
      <c r="JAF101" s="445"/>
      <c r="JAG101" s="414"/>
      <c r="JAJ101" s="445"/>
      <c r="JAK101" s="414"/>
      <c r="JAN101" s="445"/>
      <c r="JAO101" s="414"/>
      <c r="JAR101" s="445"/>
      <c r="JAS101" s="414"/>
      <c r="JAV101" s="445"/>
      <c r="JAW101" s="414"/>
      <c r="JAZ101" s="445"/>
      <c r="JBA101" s="414"/>
      <c r="JBD101" s="445"/>
      <c r="JBE101" s="414"/>
      <c r="JBH101" s="445"/>
      <c r="JBI101" s="414"/>
      <c r="JBL101" s="445"/>
      <c r="JBM101" s="414"/>
      <c r="JBP101" s="445"/>
      <c r="JBQ101" s="414"/>
      <c r="JBT101" s="445"/>
      <c r="JBU101" s="414"/>
      <c r="JBX101" s="445"/>
      <c r="JBY101" s="414"/>
      <c r="JCB101" s="445"/>
      <c r="JCC101" s="414"/>
      <c r="JCF101" s="445"/>
      <c r="JCG101" s="414"/>
      <c r="JCJ101" s="445"/>
      <c r="JCK101" s="414"/>
      <c r="JCN101" s="445"/>
      <c r="JCO101" s="414"/>
      <c r="JCR101" s="445"/>
      <c r="JCS101" s="414"/>
      <c r="JCV101" s="445"/>
      <c r="JCW101" s="414"/>
      <c r="JCZ101" s="445"/>
      <c r="JDA101" s="414"/>
      <c r="JDD101" s="445"/>
      <c r="JDE101" s="414"/>
      <c r="JDH101" s="445"/>
      <c r="JDI101" s="414"/>
      <c r="JDL101" s="445"/>
      <c r="JDM101" s="414"/>
      <c r="JDP101" s="445"/>
      <c r="JDQ101" s="414"/>
      <c r="JDT101" s="445"/>
      <c r="JDU101" s="414"/>
      <c r="JDX101" s="445"/>
      <c r="JDY101" s="414"/>
      <c r="JEB101" s="445"/>
      <c r="JEC101" s="414"/>
      <c r="JEF101" s="445"/>
      <c r="JEG101" s="414"/>
      <c r="JEJ101" s="445"/>
      <c r="JEK101" s="414"/>
      <c r="JEN101" s="445"/>
      <c r="JEO101" s="414"/>
      <c r="JER101" s="445"/>
      <c r="JES101" s="414"/>
      <c r="JEV101" s="445"/>
      <c r="JEW101" s="414"/>
      <c r="JEZ101" s="445"/>
      <c r="JFA101" s="414"/>
      <c r="JFD101" s="445"/>
      <c r="JFE101" s="414"/>
      <c r="JFH101" s="445"/>
      <c r="JFI101" s="414"/>
      <c r="JFL101" s="445"/>
      <c r="JFM101" s="414"/>
      <c r="JFP101" s="445"/>
      <c r="JFQ101" s="414"/>
      <c r="JFT101" s="445"/>
      <c r="JFU101" s="414"/>
      <c r="JFX101" s="445"/>
      <c r="JFY101" s="414"/>
      <c r="JGB101" s="445"/>
      <c r="JGC101" s="414"/>
      <c r="JGF101" s="445"/>
      <c r="JGG101" s="414"/>
      <c r="JGJ101" s="445"/>
      <c r="JGK101" s="414"/>
      <c r="JGN101" s="445"/>
      <c r="JGO101" s="414"/>
      <c r="JGR101" s="445"/>
      <c r="JGS101" s="414"/>
      <c r="JGV101" s="445"/>
      <c r="JGW101" s="414"/>
      <c r="JGZ101" s="445"/>
      <c r="JHA101" s="414"/>
      <c r="JHD101" s="445"/>
      <c r="JHE101" s="414"/>
      <c r="JHH101" s="445"/>
      <c r="JHI101" s="414"/>
      <c r="JHL101" s="445"/>
      <c r="JHM101" s="414"/>
      <c r="JHP101" s="445"/>
      <c r="JHQ101" s="414"/>
      <c r="JHT101" s="445"/>
      <c r="JHU101" s="414"/>
      <c r="JHX101" s="445"/>
      <c r="JHY101" s="414"/>
      <c r="JIB101" s="445"/>
      <c r="JIC101" s="414"/>
      <c r="JIF101" s="445"/>
      <c r="JIG101" s="414"/>
      <c r="JIJ101" s="445"/>
      <c r="JIK101" s="414"/>
      <c r="JIN101" s="445"/>
      <c r="JIO101" s="414"/>
      <c r="JIR101" s="445"/>
      <c r="JIS101" s="414"/>
      <c r="JIV101" s="445"/>
      <c r="JIW101" s="414"/>
      <c r="JIZ101" s="445"/>
      <c r="JJA101" s="414"/>
      <c r="JJD101" s="445"/>
      <c r="JJE101" s="414"/>
      <c r="JJH101" s="445"/>
      <c r="JJI101" s="414"/>
      <c r="JJL101" s="445"/>
      <c r="JJM101" s="414"/>
      <c r="JJP101" s="445"/>
      <c r="JJQ101" s="414"/>
      <c r="JJT101" s="445"/>
      <c r="JJU101" s="414"/>
      <c r="JJX101" s="445"/>
      <c r="JJY101" s="414"/>
      <c r="JKB101" s="445"/>
      <c r="JKC101" s="414"/>
      <c r="JKF101" s="445"/>
      <c r="JKG101" s="414"/>
      <c r="JKJ101" s="445"/>
      <c r="JKK101" s="414"/>
      <c r="JKN101" s="445"/>
      <c r="JKO101" s="414"/>
      <c r="JKR101" s="445"/>
      <c r="JKS101" s="414"/>
      <c r="JKV101" s="445"/>
      <c r="JKW101" s="414"/>
      <c r="JKZ101" s="445"/>
      <c r="JLA101" s="414"/>
      <c r="JLD101" s="445"/>
      <c r="JLE101" s="414"/>
      <c r="JLH101" s="445"/>
      <c r="JLI101" s="414"/>
      <c r="JLL101" s="445"/>
      <c r="JLM101" s="414"/>
      <c r="JLP101" s="445"/>
      <c r="JLQ101" s="414"/>
      <c r="JLT101" s="445"/>
      <c r="JLU101" s="414"/>
      <c r="JLX101" s="445"/>
      <c r="JLY101" s="414"/>
      <c r="JMB101" s="445"/>
      <c r="JMC101" s="414"/>
      <c r="JMF101" s="445"/>
      <c r="JMG101" s="414"/>
      <c r="JMJ101" s="445"/>
      <c r="JMK101" s="414"/>
      <c r="JMN101" s="445"/>
      <c r="JMO101" s="414"/>
      <c r="JMR101" s="445"/>
      <c r="JMS101" s="414"/>
      <c r="JMV101" s="445"/>
      <c r="JMW101" s="414"/>
      <c r="JMZ101" s="445"/>
      <c r="JNA101" s="414"/>
      <c r="JND101" s="445"/>
      <c r="JNE101" s="414"/>
      <c r="JNH101" s="445"/>
      <c r="JNI101" s="414"/>
      <c r="JNL101" s="445"/>
      <c r="JNM101" s="414"/>
      <c r="JNP101" s="445"/>
      <c r="JNQ101" s="414"/>
      <c r="JNT101" s="445"/>
      <c r="JNU101" s="414"/>
      <c r="JNX101" s="445"/>
      <c r="JNY101" s="414"/>
      <c r="JOB101" s="445"/>
      <c r="JOC101" s="414"/>
      <c r="JOF101" s="445"/>
      <c r="JOG101" s="414"/>
      <c r="JOJ101" s="445"/>
      <c r="JOK101" s="414"/>
      <c r="JON101" s="445"/>
      <c r="JOO101" s="414"/>
      <c r="JOR101" s="445"/>
      <c r="JOS101" s="414"/>
      <c r="JOV101" s="445"/>
      <c r="JOW101" s="414"/>
      <c r="JOZ101" s="445"/>
      <c r="JPA101" s="414"/>
      <c r="JPD101" s="445"/>
      <c r="JPE101" s="414"/>
      <c r="JPH101" s="445"/>
      <c r="JPI101" s="414"/>
      <c r="JPL101" s="445"/>
      <c r="JPM101" s="414"/>
      <c r="JPP101" s="445"/>
      <c r="JPQ101" s="414"/>
      <c r="JPT101" s="445"/>
      <c r="JPU101" s="414"/>
      <c r="JPX101" s="445"/>
      <c r="JPY101" s="414"/>
      <c r="JQB101" s="445"/>
      <c r="JQC101" s="414"/>
      <c r="JQF101" s="445"/>
      <c r="JQG101" s="414"/>
      <c r="JQJ101" s="445"/>
      <c r="JQK101" s="414"/>
      <c r="JQN101" s="445"/>
      <c r="JQO101" s="414"/>
      <c r="JQR101" s="445"/>
      <c r="JQS101" s="414"/>
      <c r="JQV101" s="445"/>
      <c r="JQW101" s="414"/>
      <c r="JQZ101" s="445"/>
      <c r="JRA101" s="414"/>
      <c r="JRD101" s="445"/>
      <c r="JRE101" s="414"/>
      <c r="JRH101" s="445"/>
      <c r="JRI101" s="414"/>
      <c r="JRL101" s="445"/>
      <c r="JRM101" s="414"/>
      <c r="JRP101" s="445"/>
      <c r="JRQ101" s="414"/>
      <c r="JRT101" s="445"/>
      <c r="JRU101" s="414"/>
      <c r="JRX101" s="445"/>
      <c r="JRY101" s="414"/>
      <c r="JSB101" s="445"/>
      <c r="JSC101" s="414"/>
      <c r="JSF101" s="445"/>
      <c r="JSG101" s="414"/>
      <c r="JSJ101" s="445"/>
      <c r="JSK101" s="414"/>
      <c r="JSN101" s="445"/>
      <c r="JSO101" s="414"/>
      <c r="JSR101" s="445"/>
      <c r="JSS101" s="414"/>
      <c r="JSV101" s="445"/>
      <c r="JSW101" s="414"/>
      <c r="JSZ101" s="445"/>
      <c r="JTA101" s="414"/>
      <c r="JTD101" s="445"/>
      <c r="JTE101" s="414"/>
      <c r="JTH101" s="445"/>
      <c r="JTI101" s="414"/>
      <c r="JTL101" s="445"/>
      <c r="JTM101" s="414"/>
      <c r="JTP101" s="445"/>
      <c r="JTQ101" s="414"/>
      <c r="JTT101" s="445"/>
      <c r="JTU101" s="414"/>
      <c r="JTX101" s="445"/>
      <c r="JTY101" s="414"/>
      <c r="JUB101" s="445"/>
      <c r="JUC101" s="414"/>
      <c r="JUF101" s="445"/>
      <c r="JUG101" s="414"/>
      <c r="JUJ101" s="445"/>
      <c r="JUK101" s="414"/>
      <c r="JUN101" s="445"/>
      <c r="JUO101" s="414"/>
      <c r="JUR101" s="445"/>
      <c r="JUS101" s="414"/>
      <c r="JUV101" s="445"/>
      <c r="JUW101" s="414"/>
      <c r="JUZ101" s="445"/>
      <c r="JVA101" s="414"/>
      <c r="JVD101" s="445"/>
      <c r="JVE101" s="414"/>
      <c r="JVH101" s="445"/>
      <c r="JVI101" s="414"/>
      <c r="JVL101" s="445"/>
      <c r="JVM101" s="414"/>
      <c r="JVP101" s="445"/>
      <c r="JVQ101" s="414"/>
      <c r="JVT101" s="445"/>
      <c r="JVU101" s="414"/>
      <c r="JVX101" s="445"/>
      <c r="JVY101" s="414"/>
      <c r="JWB101" s="445"/>
      <c r="JWC101" s="414"/>
      <c r="JWF101" s="445"/>
      <c r="JWG101" s="414"/>
      <c r="JWJ101" s="445"/>
      <c r="JWK101" s="414"/>
      <c r="JWN101" s="445"/>
      <c r="JWO101" s="414"/>
      <c r="JWR101" s="445"/>
      <c r="JWS101" s="414"/>
      <c r="JWV101" s="445"/>
      <c r="JWW101" s="414"/>
      <c r="JWZ101" s="445"/>
      <c r="JXA101" s="414"/>
      <c r="JXD101" s="445"/>
      <c r="JXE101" s="414"/>
      <c r="JXH101" s="445"/>
      <c r="JXI101" s="414"/>
      <c r="JXL101" s="445"/>
      <c r="JXM101" s="414"/>
      <c r="JXP101" s="445"/>
      <c r="JXQ101" s="414"/>
      <c r="JXT101" s="445"/>
      <c r="JXU101" s="414"/>
      <c r="JXX101" s="445"/>
      <c r="JXY101" s="414"/>
      <c r="JYB101" s="445"/>
      <c r="JYC101" s="414"/>
      <c r="JYF101" s="445"/>
      <c r="JYG101" s="414"/>
      <c r="JYJ101" s="445"/>
      <c r="JYK101" s="414"/>
      <c r="JYN101" s="445"/>
      <c r="JYO101" s="414"/>
      <c r="JYR101" s="445"/>
      <c r="JYS101" s="414"/>
      <c r="JYV101" s="445"/>
      <c r="JYW101" s="414"/>
      <c r="JYZ101" s="445"/>
      <c r="JZA101" s="414"/>
      <c r="JZD101" s="445"/>
      <c r="JZE101" s="414"/>
      <c r="JZH101" s="445"/>
      <c r="JZI101" s="414"/>
      <c r="JZL101" s="445"/>
      <c r="JZM101" s="414"/>
      <c r="JZP101" s="445"/>
      <c r="JZQ101" s="414"/>
      <c r="JZT101" s="445"/>
      <c r="JZU101" s="414"/>
      <c r="JZX101" s="445"/>
      <c r="JZY101" s="414"/>
      <c r="KAB101" s="445"/>
      <c r="KAC101" s="414"/>
      <c r="KAF101" s="445"/>
      <c r="KAG101" s="414"/>
      <c r="KAJ101" s="445"/>
      <c r="KAK101" s="414"/>
      <c r="KAN101" s="445"/>
      <c r="KAO101" s="414"/>
      <c r="KAR101" s="445"/>
      <c r="KAS101" s="414"/>
      <c r="KAV101" s="445"/>
      <c r="KAW101" s="414"/>
      <c r="KAZ101" s="445"/>
      <c r="KBA101" s="414"/>
      <c r="KBD101" s="445"/>
      <c r="KBE101" s="414"/>
      <c r="KBH101" s="445"/>
      <c r="KBI101" s="414"/>
      <c r="KBL101" s="445"/>
      <c r="KBM101" s="414"/>
      <c r="KBP101" s="445"/>
      <c r="KBQ101" s="414"/>
      <c r="KBT101" s="445"/>
      <c r="KBU101" s="414"/>
      <c r="KBX101" s="445"/>
      <c r="KBY101" s="414"/>
      <c r="KCB101" s="445"/>
      <c r="KCC101" s="414"/>
      <c r="KCF101" s="445"/>
      <c r="KCG101" s="414"/>
      <c r="KCJ101" s="445"/>
      <c r="KCK101" s="414"/>
      <c r="KCN101" s="445"/>
      <c r="KCO101" s="414"/>
      <c r="KCR101" s="445"/>
      <c r="KCS101" s="414"/>
      <c r="KCV101" s="445"/>
      <c r="KCW101" s="414"/>
      <c r="KCZ101" s="445"/>
      <c r="KDA101" s="414"/>
      <c r="KDD101" s="445"/>
      <c r="KDE101" s="414"/>
      <c r="KDH101" s="445"/>
      <c r="KDI101" s="414"/>
      <c r="KDL101" s="445"/>
      <c r="KDM101" s="414"/>
      <c r="KDP101" s="445"/>
      <c r="KDQ101" s="414"/>
      <c r="KDT101" s="445"/>
      <c r="KDU101" s="414"/>
      <c r="KDX101" s="445"/>
      <c r="KDY101" s="414"/>
      <c r="KEB101" s="445"/>
      <c r="KEC101" s="414"/>
      <c r="KEF101" s="445"/>
      <c r="KEG101" s="414"/>
      <c r="KEJ101" s="445"/>
      <c r="KEK101" s="414"/>
      <c r="KEN101" s="445"/>
      <c r="KEO101" s="414"/>
      <c r="KER101" s="445"/>
      <c r="KES101" s="414"/>
      <c r="KEV101" s="445"/>
      <c r="KEW101" s="414"/>
      <c r="KEZ101" s="445"/>
      <c r="KFA101" s="414"/>
      <c r="KFD101" s="445"/>
      <c r="KFE101" s="414"/>
      <c r="KFH101" s="445"/>
      <c r="KFI101" s="414"/>
      <c r="KFL101" s="445"/>
      <c r="KFM101" s="414"/>
      <c r="KFP101" s="445"/>
      <c r="KFQ101" s="414"/>
      <c r="KFT101" s="445"/>
      <c r="KFU101" s="414"/>
      <c r="KFX101" s="445"/>
      <c r="KFY101" s="414"/>
      <c r="KGB101" s="445"/>
      <c r="KGC101" s="414"/>
      <c r="KGF101" s="445"/>
      <c r="KGG101" s="414"/>
      <c r="KGJ101" s="445"/>
      <c r="KGK101" s="414"/>
      <c r="KGN101" s="445"/>
      <c r="KGO101" s="414"/>
      <c r="KGR101" s="445"/>
      <c r="KGS101" s="414"/>
      <c r="KGV101" s="445"/>
      <c r="KGW101" s="414"/>
      <c r="KGZ101" s="445"/>
      <c r="KHA101" s="414"/>
      <c r="KHD101" s="445"/>
      <c r="KHE101" s="414"/>
      <c r="KHH101" s="445"/>
      <c r="KHI101" s="414"/>
      <c r="KHL101" s="445"/>
      <c r="KHM101" s="414"/>
      <c r="KHP101" s="445"/>
      <c r="KHQ101" s="414"/>
      <c r="KHT101" s="445"/>
      <c r="KHU101" s="414"/>
      <c r="KHX101" s="445"/>
      <c r="KHY101" s="414"/>
      <c r="KIB101" s="445"/>
      <c r="KIC101" s="414"/>
      <c r="KIF101" s="445"/>
      <c r="KIG101" s="414"/>
      <c r="KIJ101" s="445"/>
      <c r="KIK101" s="414"/>
      <c r="KIN101" s="445"/>
      <c r="KIO101" s="414"/>
      <c r="KIR101" s="445"/>
      <c r="KIS101" s="414"/>
      <c r="KIV101" s="445"/>
      <c r="KIW101" s="414"/>
      <c r="KIZ101" s="445"/>
      <c r="KJA101" s="414"/>
      <c r="KJD101" s="445"/>
      <c r="KJE101" s="414"/>
      <c r="KJH101" s="445"/>
      <c r="KJI101" s="414"/>
      <c r="KJL101" s="445"/>
      <c r="KJM101" s="414"/>
      <c r="KJP101" s="445"/>
      <c r="KJQ101" s="414"/>
      <c r="KJT101" s="445"/>
      <c r="KJU101" s="414"/>
      <c r="KJX101" s="445"/>
      <c r="KJY101" s="414"/>
      <c r="KKB101" s="445"/>
      <c r="KKC101" s="414"/>
      <c r="KKF101" s="445"/>
      <c r="KKG101" s="414"/>
      <c r="KKJ101" s="445"/>
      <c r="KKK101" s="414"/>
      <c r="KKN101" s="445"/>
      <c r="KKO101" s="414"/>
      <c r="KKR101" s="445"/>
      <c r="KKS101" s="414"/>
      <c r="KKV101" s="445"/>
      <c r="KKW101" s="414"/>
      <c r="KKZ101" s="445"/>
      <c r="KLA101" s="414"/>
      <c r="KLD101" s="445"/>
      <c r="KLE101" s="414"/>
      <c r="KLH101" s="445"/>
      <c r="KLI101" s="414"/>
      <c r="KLL101" s="445"/>
      <c r="KLM101" s="414"/>
      <c r="KLP101" s="445"/>
      <c r="KLQ101" s="414"/>
      <c r="KLT101" s="445"/>
      <c r="KLU101" s="414"/>
      <c r="KLX101" s="445"/>
      <c r="KLY101" s="414"/>
      <c r="KMB101" s="445"/>
      <c r="KMC101" s="414"/>
      <c r="KMF101" s="445"/>
      <c r="KMG101" s="414"/>
      <c r="KMJ101" s="445"/>
      <c r="KMK101" s="414"/>
      <c r="KMN101" s="445"/>
      <c r="KMO101" s="414"/>
      <c r="KMR101" s="445"/>
      <c r="KMS101" s="414"/>
      <c r="KMV101" s="445"/>
      <c r="KMW101" s="414"/>
      <c r="KMZ101" s="445"/>
      <c r="KNA101" s="414"/>
      <c r="KND101" s="445"/>
      <c r="KNE101" s="414"/>
      <c r="KNH101" s="445"/>
      <c r="KNI101" s="414"/>
      <c r="KNL101" s="445"/>
      <c r="KNM101" s="414"/>
      <c r="KNP101" s="445"/>
      <c r="KNQ101" s="414"/>
      <c r="KNT101" s="445"/>
      <c r="KNU101" s="414"/>
      <c r="KNX101" s="445"/>
      <c r="KNY101" s="414"/>
      <c r="KOB101" s="445"/>
      <c r="KOC101" s="414"/>
      <c r="KOF101" s="445"/>
      <c r="KOG101" s="414"/>
      <c r="KOJ101" s="445"/>
      <c r="KOK101" s="414"/>
      <c r="KON101" s="445"/>
      <c r="KOO101" s="414"/>
      <c r="KOR101" s="445"/>
      <c r="KOS101" s="414"/>
      <c r="KOV101" s="445"/>
      <c r="KOW101" s="414"/>
      <c r="KOZ101" s="445"/>
      <c r="KPA101" s="414"/>
      <c r="KPD101" s="445"/>
      <c r="KPE101" s="414"/>
      <c r="KPH101" s="445"/>
      <c r="KPI101" s="414"/>
      <c r="KPL101" s="445"/>
      <c r="KPM101" s="414"/>
      <c r="KPP101" s="445"/>
      <c r="KPQ101" s="414"/>
      <c r="KPT101" s="445"/>
      <c r="KPU101" s="414"/>
      <c r="KPX101" s="445"/>
      <c r="KPY101" s="414"/>
      <c r="KQB101" s="445"/>
      <c r="KQC101" s="414"/>
      <c r="KQF101" s="445"/>
      <c r="KQG101" s="414"/>
      <c r="KQJ101" s="445"/>
      <c r="KQK101" s="414"/>
      <c r="KQN101" s="445"/>
      <c r="KQO101" s="414"/>
      <c r="KQR101" s="445"/>
      <c r="KQS101" s="414"/>
      <c r="KQV101" s="445"/>
      <c r="KQW101" s="414"/>
      <c r="KQZ101" s="445"/>
      <c r="KRA101" s="414"/>
      <c r="KRD101" s="445"/>
      <c r="KRE101" s="414"/>
      <c r="KRH101" s="445"/>
      <c r="KRI101" s="414"/>
      <c r="KRL101" s="445"/>
      <c r="KRM101" s="414"/>
      <c r="KRP101" s="445"/>
      <c r="KRQ101" s="414"/>
      <c r="KRT101" s="445"/>
      <c r="KRU101" s="414"/>
      <c r="KRX101" s="445"/>
      <c r="KRY101" s="414"/>
      <c r="KSB101" s="445"/>
      <c r="KSC101" s="414"/>
      <c r="KSF101" s="445"/>
      <c r="KSG101" s="414"/>
      <c r="KSJ101" s="445"/>
      <c r="KSK101" s="414"/>
      <c r="KSN101" s="445"/>
      <c r="KSO101" s="414"/>
      <c r="KSR101" s="445"/>
      <c r="KSS101" s="414"/>
      <c r="KSV101" s="445"/>
      <c r="KSW101" s="414"/>
      <c r="KSZ101" s="445"/>
      <c r="KTA101" s="414"/>
      <c r="KTD101" s="445"/>
      <c r="KTE101" s="414"/>
      <c r="KTH101" s="445"/>
      <c r="KTI101" s="414"/>
      <c r="KTL101" s="445"/>
      <c r="KTM101" s="414"/>
      <c r="KTP101" s="445"/>
      <c r="KTQ101" s="414"/>
      <c r="KTT101" s="445"/>
      <c r="KTU101" s="414"/>
      <c r="KTX101" s="445"/>
      <c r="KTY101" s="414"/>
      <c r="KUB101" s="445"/>
      <c r="KUC101" s="414"/>
      <c r="KUF101" s="445"/>
      <c r="KUG101" s="414"/>
      <c r="KUJ101" s="445"/>
      <c r="KUK101" s="414"/>
      <c r="KUN101" s="445"/>
      <c r="KUO101" s="414"/>
      <c r="KUR101" s="445"/>
      <c r="KUS101" s="414"/>
      <c r="KUV101" s="445"/>
      <c r="KUW101" s="414"/>
      <c r="KUZ101" s="445"/>
      <c r="KVA101" s="414"/>
      <c r="KVD101" s="445"/>
      <c r="KVE101" s="414"/>
      <c r="KVH101" s="445"/>
      <c r="KVI101" s="414"/>
      <c r="KVL101" s="445"/>
      <c r="KVM101" s="414"/>
      <c r="KVP101" s="445"/>
      <c r="KVQ101" s="414"/>
      <c r="KVT101" s="445"/>
      <c r="KVU101" s="414"/>
      <c r="KVX101" s="445"/>
      <c r="KVY101" s="414"/>
      <c r="KWB101" s="445"/>
      <c r="KWC101" s="414"/>
      <c r="KWF101" s="445"/>
      <c r="KWG101" s="414"/>
      <c r="KWJ101" s="445"/>
      <c r="KWK101" s="414"/>
      <c r="KWN101" s="445"/>
      <c r="KWO101" s="414"/>
      <c r="KWR101" s="445"/>
      <c r="KWS101" s="414"/>
      <c r="KWV101" s="445"/>
      <c r="KWW101" s="414"/>
      <c r="KWZ101" s="445"/>
      <c r="KXA101" s="414"/>
      <c r="KXD101" s="445"/>
      <c r="KXE101" s="414"/>
      <c r="KXH101" s="445"/>
      <c r="KXI101" s="414"/>
      <c r="KXL101" s="445"/>
      <c r="KXM101" s="414"/>
      <c r="KXP101" s="445"/>
      <c r="KXQ101" s="414"/>
      <c r="KXT101" s="445"/>
      <c r="KXU101" s="414"/>
      <c r="KXX101" s="445"/>
      <c r="KXY101" s="414"/>
      <c r="KYB101" s="445"/>
      <c r="KYC101" s="414"/>
      <c r="KYF101" s="445"/>
      <c r="KYG101" s="414"/>
      <c r="KYJ101" s="445"/>
      <c r="KYK101" s="414"/>
      <c r="KYN101" s="445"/>
      <c r="KYO101" s="414"/>
      <c r="KYR101" s="445"/>
      <c r="KYS101" s="414"/>
      <c r="KYV101" s="445"/>
      <c r="KYW101" s="414"/>
      <c r="KYZ101" s="445"/>
      <c r="KZA101" s="414"/>
      <c r="KZD101" s="445"/>
      <c r="KZE101" s="414"/>
      <c r="KZH101" s="445"/>
      <c r="KZI101" s="414"/>
      <c r="KZL101" s="445"/>
      <c r="KZM101" s="414"/>
      <c r="KZP101" s="445"/>
      <c r="KZQ101" s="414"/>
      <c r="KZT101" s="445"/>
      <c r="KZU101" s="414"/>
      <c r="KZX101" s="445"/>
      <c r="KZY101" s="414"/>
      <c r="LAB101" s="445"/>
      <c r="LAC101" s="414"/>
      <c r="LAF101" s="445"/>
      <c r="LAG101" s="414"/>
      <c r="LAJ101" s="445"/>
      <c r="LAK101" s="414"/>
      <c r="LAN101" s="445"/>
      <c r="LAO101" s="414"/>
      <c r="LAR101" s="445"/>
      <c r="LAS101" s="414"/>
      <c r="LAV101" s="445"/>
      <c r="LAW101" s="414"/>
      <c r="LAZ101" s="445"/>
      <c r="LBA101" s="414"/>
      <c r="LBD101" s="445"/>
      <c r="LBE101" s="414"/>
      <c r="LBH101" s="445"/>
      <c r="LBI101" s="414"/>
      <c r="LBL101" s="445"/>
      <c r="LBM101" s="414"/>
      <c r="LBP101" s="445"/>
      <c r="LBQ101" s="414"/>
      <c r="LBT101" s="445"/>
      <c r="LBU101" s="414"/>
      <c r="LBX101" s="445"/>
      <c r="LBY101" s="414"/>
      <c r="LCB101" s="445"/>
      <c r="LCC101" s="414"/>
      <c r="LCF101" s="445"/>
      <c r="LCG101" s="414"/>
      <c r="LCJ101" s="445"/>
      <c r="LCK101" s="414"/>
      <c r="LCN101" s="445"/>
      <c r="LCO101" s="414"/>
      <c r="LCR101" s="445"/>
      <c r="LCS101" s="414"/>
      <c r="LCV101" s="445"/>
      <c r="LCW101" s="414"/>
      <c r="LCZ101" s="445"/>
      <c r="LDA101" s="414"/>
      <c r="LDD101" s="445"/>
      <c r="LDE101" s="414"/>
      <c r="LDH101" s="445"/>
      <c r="LDI101" s="414"/>
      <c r="LDL101" s="445"/>
      <c r="LDM101" s="414"/>
      <c r="LDP101" s="445"/>
      <c r="LDQ101" s="414"/>
      <c r="LDT101" s="445"/>
      <c r="LDU101" s="414"/>
      <c r="LDX101" s="445"/>
      <c r="LDY101" s="414"/>
      <c r="LEB101" s="445"/>
      <c r="LEC101" s="414"/>
      <c r="LEF101" s="445"/>
      <c r="LEG101" s="414"/>
      <c r="LEJ101" s="445"/>
      <c r="LEK101" s="414"/>
      <c r="LEN101" s="445"/>
      <c r="LEO101" s="414"/>
      <c r="LER101" s="445"/>
      <c r="LES101" s="414"/>
      <c r="LEV101" s="445"/>
      <c r="LEW101" s="414"/>
      <c r="LEZ101" s="445"/>
      <c r="LFA101" s="414"/>
      <c r="LFD101" s="445"/>
      <c r="LFE101" s="414"/>
      <c r="LFH101" s="445"/>
      <c r="LFI101" s="414"/>
      <c r="LFL101" s="445"/>
      <c r="LFM101" s="414"/>
      <c r="LFP101" s="445"/>
      <c r="LFQ101" s="414"/>
      <c r="LFT101" s="445"/>
      <c r="LFU101" s="414"/>
      <c r="LFX101" s="445"/>
      <c r="LFY101" s="414"/>
      <c r="LGB101" s="445"/>
      <c r="LGC101" s="414"/>
      <c r="LGF101" s="445"/>
      <c r="LGG101" s="414"/>
      <c r="LGJ101" s="445"/>
      <c r="LGK101" s="414"/>
      <c r="LGN101" s="445"/>
      <c r="LGO101" s="414"/>
      <c r="LGR101" s="445"/>
      <c r="LGS101" s="414"/>
      <c r="LGV101" s="445"/>
      <c r="LGW101" s="414"/>
      <c r="LGZ101" s="445"/>
      <c r="LHA101" s="414"/>
      <c r="LHD101" s="445"/>
      <c r="LHE101" s="414"/>
      <c r="LHH101" s="445"/>
      <c r="LHI101" s="414"/>
      <c r="LHL101" s="445"/>
      <c r="LHM101" s="414"/>
      <c r="LHP101" s="445"/>
      <c r="LHQ101" s="414"/>
      <c r="LHT101" s="445"/>
      <c r="LHU101" s="414"/>
      <c r="LHX101" s="445"/>
      <c r="LHY101" s="414"/>
      <c r="LIB101" s="445"/>
      <c r="LIC101" s="414"/>
      <c r="LIF101" s="445"/>
      <c r="LIG101" s="414"/>
      <c r="LIJ101" s="445"/>
      <c r="LIK101" s="414"/>
      <c r="LIN101" s="445"/>
      <c r="LIO101" s="414"/>
      <c r="LIR101" s="445"/>
      <c r="LIS101" s="414"/>
      <c r="LIV101" s="445"/>
      <c r="LIW101" s="414"/>
      <c r="LIZ101" s="445"/>
      <c r="LJA101" s="414"/>
      <c r="LJD101" s="445"/>
      <c r="LJE101" s="414"/>
      <c r="LJH101" s="445"/>
      <c r="LJI101" s="414"/>
      <c r="LJL101" s="445"/>
      <c r="LJM101" s="414"/>
      <c r="LJP101" s="445"/>
      <c r="LJQ101" s="414"/>
      <c r="LJT101" s="445"/>
      <c r="LJU101" s="414"/>
      <c r="LJX101" s="445"/>
      <c r="LJY101" s="414"/>
      <c r="LKB101" s="445"/>
      <c r="LKC101" s="414"/>
      <c r="LKF101" s="445"/>
      <c r="LKG101" s="414"/>
      <c r="LKJ101" s="445"/>
      <c r="LKK101" s="414"/>
      <c r="LKN101" s="445"/>
      <c r="LKO101" s="414"/>
      <c r="LKR101" s="445"/>
      <c r="LKS101" s="414"/>
      <c r="LKV101" s="445"/>
      <c r="LKW101" s="414"/>
      <c r="LKZ101" s="445"/>
      <c r="LLA101" s="414"/>
      <c r="LLD101" s="445"/>
      <c r="LLE101" s="414"/>
      <c r="LLH101" s="445"/>
      <c r="LLI101" s="414"/>
      <c r="LLL101" s="445"/>
      <c r="LLM101" s="414"/>
      <c r="LLP101" s="445"/>
      <c r="LLQ101" s="414"/>
      <c r="LLT101" s="445"/>
      <c r="LLU101" s="414"/>
      <c r="LLX101" s="445"/>
      <c r="LLY101" s="414"/>
      <c r="LMB101" s="445"/>
      <c r="LMC101" s="414"/>
      <c r="LMF101" s="445"/>
      <c r="LMG101" s="414"/>
      <c r="LMJ101" s="445"/>
      <c r="LMK101" s="414"/>
      <c r="LMN101" s="445"/>
      <c r="LMO101" s="414"/>
      <c r="LMR101" s="445"/>
      <c r="LMS101" s="414"/>
      <c r="LMV101" s="445"/>
      <c r="LMW101" s="414"/>
      <c r="LMZ101" s="445"/>
      <c r="LNA101" s="414"/>
      <c r="LND101" s="445"/>
      <c r="LNE101" s="414"/>
      <c r="LNH101" s="445"/>
      <c r="LNI101" s="414"/>
      <c r="LNL101" s="445"/>
      <c r="LNM101" s="414"/>
      <c r="LNP101" s="445"/>
      <c r="LNQ101" s="414"/>
      <c r="LNT101" s="445"/>
      <c r="LNU101" s="414"/>
      <c r="LNX101" s="445"/>
      <c r="LNY101" s="414"/>
      <c r="LOB101" s="445"/>
      <c r="LOC101" s="414"/>
      <c r="LOF101" s="445"/>
      <c r="LOG101" s="414"/>
      <c r="LOJ101" s="445"/>
      <c r="LOK101" s="414"/>
      <c r="LON101" s="445"/>
      <c r="LOO101" s="414"/>
      <c r="LOR101" s="445"/>
      <c r="LOS101" s="414"/>
      <c r="LOV101" s="445"/>
      <c r="LOW101" s="414"/>
      <c r="LOZ101" s="445"/>
      <c r="LPA101" s="414"/>
      <c r="LPD101" s="445"/>
      <c r="LPE101" s="414"/>
      <c r="LPH101" s="445"/>
      <c r="LPI101" s="414"/>
      <c r="LPL101" s="445"/>
      <c r="LPM101" s="414"/>
      <c r="LPP101" s="445"/>
      <c r="LPQ101" s="414"/>
      <c r="LPT101" s="445"/>
      <c r="LPU101" s="414"/>
      <c r="LPX101" s="445"/>
      <c r="LPY101" s="414"/>
      <c r="LQB101" s="445"/>
      <c r="LQC101" s="414"/>
      <c r="LQF101" s="445"/>
      <c r="LQG101" s="414"/>
      <c r="LQJ101" s="445"/>
      <c r="LQK101" s="414"/>
      <c r="LQN101" s="445"/>
      <c r="LQO101" s="414"/>
      <c r="LQR101" s="445"/>
      <c r="LQS101" s="414"/>
      <c r="LQV101" s="445"/>
      <c r="LQW101" s="414"/>
      <c r="LQZ101" s="445"/>
      <c r="LRA101" s="414"/>
      <c r="LRD101" s="445"/>
      <c r="LRE101" s="414"/>
      <c r="LRH101" s="445"/>
      <c r="LRI101" s="414"/>
      <c r="LRL101" s="445"/>
      <c r="LRM101" s="414"/>
      <c r="LRP101" s="445"/>
      <c r="LRQ101" s="414"/>
      <c r="LRT101" s="445"/>
      <c r="LRU101" s="414"/>
      <c r="LRX101" s="445"/>
      <c r="LRY101" s="414"/>
      <c r="LSB101" s="445"/>
      <c r="LSC101" s="414"/>
      <c r="LSF101" s="445"/>
      <c r="LSG101" s="414"/>
      <c r="LSJ101" s="445"/>
      <c r="LSK101" s="414"/>
      <c r="LSN101" s="445"/>
      <c r="LSO101" s="414"/>
      <c r="LSR101" s="445"/>
      <c r="LSS101" s="414"/>
      <c r="LSV101" s="445"/>
      <c r="LSW101" s="414"/>
      <c r="LSZ101" s="445"/>
      <c r="LTA101" s="414"/>
      <c r="LTD101" s="445"/>
      <c r="LTE101" s="414"/>
      <c r="LTH101" s="445"/>
      <c r="LTI101" s="414"/>
      <c r="LTL101" s="445"/>
      <c r="LTM101" s="414"/>
      <c r="LTP101" s="445"/>
      <c r="LTQ101" s="414"/>
      <c r="LTT101" s="445"/>
      <c r="LTU101" s="414"/>
      <c r="LTX101" s="445"/>
      <c r="LTY101" s="414"/>
      <c r="LUB101" s="445"/>
      <c r="LUC101" s="414"/>
      <c r="LUF101" s="445"/>
      <c r="LUG101" s="414"/>
      <c r="LUJ101" s="445"/>
      <c r="LUK101" s="414"/>
      <c r="LUN101" s="445"/>
      <c r="LUO101" s="414"/>
      <c r="LUR101" s="445"/>
      <c r="LUS101" s="414"/>
      <c r="LUV101" s="445"/>
      <c r="LUW101" s="414"/>
      <c r="LUZ101" s="445"/>
      <c r="LVA101" s="414"/>
      <c r="LVD101" s="445"/>
      <c r="LVE101" s="414"/>
      <c r="LVH101" s="445"/>
      <c r="LVI101" s="414"/>
      <c r="LVL101" s="445"/>
      <c r="LVM101" s="414"/>
      <c r="LVP101" s="445"/>
      <c r="LVQ101" s="414"/>
      <c r="LVT101" s="445"/>
      <c r="LVU101" s="414"/>
      <c r="LVX101" s="445"/>
      <c r="LVY101" s="414"/>
      <c r="LWB101" s="445"/>
      <c r="LWC101" s="414"/>
      <c r="LWF101" s="445"/>
      <c r="LWG101" s="414"/>
      <c r="LWJ101" s="445"/>
      <c r="LWK101" s="414"/>
      <c r="LWN101" s="445"/>
      <c r="LWO101" s="414"/>
      <c r="LWR101" s="445"/>
      <c r="LWS101" s="414"/>
      <c r="LWV101" s="445"/>
      <c r="LWW101" s="414"/>
      <c r="LWZ101" s="445"/>
      <c r="LXA101" s="414"/>
      <c r="LXD101" s="445"/>
      <c r="LXE101" s="414"/>
      <c r="LXH101" s="445"/>
      <c r="LXI101" s="414"/>
      <c r="LXL101" s="445"/>
      <c r="LXM101" s="414"/>
      <c r="LXP101" s="445"/>
      <c r="LXQ101" s="414"/>
      <c r="LXT101" s="445"/>
      <c r="LXU101" s="414"/>
      <c r="LXX101" s="445"/>
      <c r="LXY101" s="414"/>
      <c r="LYB101" s="445"/>
      <c r="LYC101" s="414"/>
      <c r="LYF101" s="445"/>
      <c r="LYG101" s="414"/>
      <c r="LYJ101" s="445"/>
      <c r="LYK101" s="414"/>
      <c r="LYN101" s="445"/>
      <c r="LYO101" s="414"/>
      <c r="LYR101" s="445"/>
      <c r="LYS101" s="414"/>
      <c r="LYV101" s="445"/>
      <c r="LYW101" s="414"/>
      <c r="LYZ101" s="445"/>
      <c r="LZA101" s="414"/>
      <c r="LZD101" s="445"/>
      <c r="LZE101" s="414"/>
      <c r="LZH101" s="445"/>
      <c r="LZI101" s="414"/>
      <c r="LZL101" s="445"/>
      <c r="LZM101" s="414"/>
      <c r="LZP101" s="445"/>
      <c r="LZQ101" s="414"/>
      <c r="LZT101" s="445"/>
      <c r="LZU101" s="414"/>
      <c r="LZX101" s="445"/>
      <c r="LZY101" s="414"/>
      <c r="MAB101" s="445"/>
      <c r="MAC101" s="414"/>
      <c r="MAF101" s="445"/>
      <c r="MAG101" s="414"/>
      <c r="MAJ101" s="445"/>
      <c r="MAK101" s="414"/>
      <c r="MAN101" s="445"/>
      <c r="MAO101" s="414"/>
      <c r="MAR101" s="445"/>
      <c r="MAS101" s="414"/>
      <c r="MAV101" s="445"/>
      <c r="MAW101" s="414"/>
      <c r="MAZ101" s="445"/>
      <c r="MBA101" s="414"/>
      <c r="MBD101" s="445"/>
      <c r="MBE101" s="414"/>
      <c r="MBH101" s="445"/>
      <c r="MBI101" s="414"/>
      <c r="MBL101" s="445"/>
      <c r="MBM101" s="414"/>
      <c r="MBP101" s="445"/>
      <c r="MBQ101" s="414"/>
      <c r="MBT101" s="445"/>
      <c r="MBU101" s="414"/>
      <c r="MBX101" s="445"/>
      <c r="MBY101" s="414"/>
      <c r="MCB101" s="445"/>
      <c r="MCC101" s="414"/>
      <c r="MCF101" s="445"/>
      <c r="MCG101" s="414"/>
      <c r="MCJ101" s="445"/>
      <c r="MCK101" s="414"/>
      <c r="MCN101" s="445"/>
      <c r="MCO101" s="414"/>
      <c r="MCR101" s="445"/>
      <c r="MCS101" s="414"/>
      <c r="MCV101" s="445"/>
      <c r="MCW101" s="414"/>
      <c r="MCZ101" s="445"/>
      <c r="MDA101" s="414"/>
      <c r="MDD101" s="445"/>
      <c r="MDE101" s="414"/>
      <c r="MDH101" s="445"/>
      <c r="MDI101" s="414"/>
      <c r="MDL101" s="445"/>
      <c r="MDM101" s="414"/>
      <c r="MDP101" s="445"/>
      <c r="MDQ101" s="414"/>
      <c r="MDT101" s="445"/>
      <c r="MDU101" s="414"/>
      <c r="MDX101" s="445"/>
      <c r="MDY101" s="414"/>
      <c r="MEB101" s="445"/>
      <c r="MEC101" s="414"/>
      <c r="MEF101" s="445"/>
      <c r="MEG101" s="414"/>
      <c r="MEJ101" s="445"/>
      <c r="MEK101" s="414"/>
      <c r="MEN101" s="445"/>
      <c r="MEO101" s="414"/>
      <c r="MER101" s="445"/>
      <c r="MES101" s="414"/>
      <c r="MEV101" s="445"/>
      <c r="MEW101" s="414"/>
      <c r="MEZ101" s="445"/>
      <c r="MFA101" s="414"/>
      <c r="MFD101" s="445"/>
      <c r="MFE101" s="414"/>
      <c r="MFH101" s="445"/>
      <c r="MFI101" s="414"/>
      <c r="MFL101" s="445"/>
      <c r="MFM101" s="414"/>
      <c r="MFP101" s="445"/>
      <c r="MFQ101" s="414"/>
      <c r="MFT101" s="445"/>
      <c r="MFU101" s="414"/>
      <c r="MFX101" s="445"/>
      <c r="MFY101" s="414"/>
      <c r="MGB101" s="445"/>
      <c r="MGC101" s="414"/>
      <c r="MGF101" s="445"/>
      <c r="MGG101" s="414"/>
      <c r="MGJ101" s="445"/>
      <c r="MGK101" s="414"/>
      <c r="MGN101" s="445"/>
      <c r="MGO101" s="414"/>
      <c r="MGR101" s="445"/>
      <c r="MGS101" s="414"/>
      <c r="MGV101" s="445"/>
      <c r="MGW101" s="414"/>
      <c r="MGZ101" s="445"/>
      <c r="MHA101" s="414"/>
      <c r="MHD101" s="445"/>
      <c r="MHE101" s="414"/>
      <c r="MHH101" s="445"/>
      <c r="MHI101" s="414"/>
      <c r="MHL101" s="445"/>
      <c r="MHM101" s="414"/>
      <c r="MHP101" s="445"/>
      <c r="MHQ101" s="414"/>
      <c r="MHT101" s="445"/>
      <c r="MHU101" s="414"/>
      <c r="MHX101" s="445"/>
      <c r="MHY101" s="414"/>
      <c r="MIB101" s="445"/>
      <c r="MIC101" s="414"/>
      <c r="MIF101" s="445"/>
      <c r="MIG101" s="414"/>
      <c r="MIJ101" s="445"/>
      <c r="MIK101" s="414"/>
      <c r="MIN101" s="445"/>
      <c r="MIO101" s="414"/>
      <c r="MIR101" s="445"/>
      <c r="MIS101" s="414"/>
      <c r="MIV101" s="445"/>
      <c r="MIW101" s="414"/>
      <c r="MIZ101" s="445"/>
      <c r="MJA101" s="414"/>
      <c r="MJD101" s="445"/>
      <c r="MJE101" s="414"/>
      <c r="MJH101" s="445"/>
      <c r="MJI101" s="414"/>
      <c r="MJL101" s="445"/>
      <c r="MJM101" s="414"/>
      <c r="MJP101" s="445"/>
      <c r="MJQ101" s="414"/>
      <c r="MJT101" s="445"/>
      <c r="MJU101" s="414"/>
      <c r="MJX101" s="445"/>
      <c r="MJY101" s="414"/>
      <c r="MKB101" s="445"/>
      <c r="MKC101" s="414"/>
      <c r="MKF101" s="445"/>
      <c r="MKG101" s="414"/>
      <c r="MKJ101" s="445"/>
      <c r="MKK101" s="414"/>
      <c r="MKN101" s="445"/>
      <c r="MKO101" s="414"/>
      <c r="MKR101" s="445"/>
      <c r="MKS101" s="414"/>
      <c r="MKV101" s="445"/>
      <c r="MKW101" s="414"/>
      <c r="MKZ101" s="445"/>
      <c r="MLA101" s="414"/>
      <c r="MLD101" s="445"/>
      <c r="MLE101" s="414"/>
      <c r="MLH101" s="445"/>
      <c r="MLI101" s="414"/>
      <c r="MLL101" s="445"/>
      <c r="MLM101" s="414"/>
      <c r="MLP101" s="445"/>
      <c r="MLQ101" s="414"/>
      <c r="MLT101" s="445"/>
      <c r="MLU101" s="414"/>
      <c r="MLX101" s="445"/>
      <c r="MLY101" s="414"/>
      <c r="MMB101" s="445"/>
      <c r="MMC101" s="414"/>
      <c r="MMF101" s="445"/>
      <c r="MMG101" s="414"/>
      <c r="MMJ101" s="445"/>
      <c r="MMK101" s="414"/>
      <c r="MMN101" s="445"/>
      <c r="MMO101" s="414"/>
      <c r="MMR101" s="445"/>
      <c r="MMS101" s="414"/>
      <c r="MMV101" s="445"/>
      <c r="MMW101" s="414"/>
      <c r="MMZ101" s="445"/>
      <c r="MNA101" s="414"/>
      <c r="MND101" s="445"/>
      <c r="MNE101" s="414"/>
      <c r="MNH101" s="445"/>
      <c r="MNI101" s="414"/>
      <c r="MNL101" s="445"/>
      <c r="MNM101" s="414"/>
      <c r="MNP101" s="445"/>
      <c r="MNQ101" s="414"/>
      <c r="MNT101" s="445"/>
      <c r="MNU101" s="414"/>
      <c r="MNX101" s="445"/>
      <c r="MNY101" s="414"/>
      <c r="MOB101" s="445"/>
      <c r="MOC101" s="414"/>
      <c r="MOF101" s="445"/>
      <c r="MOG101" s="414"/>
      <c r="MOJ101" s="445"/>
      <c r="MOK101" s="414"/>
      <c r="MON101" s="445"/>
      <c r="MOO101" s="414"/>
      <c r="MOR101" s="445"/>
      <c r="MOS101" s="414"/>
      <c r="MOV101" s="445"/>
      <c r="MOW101" s="414"/>
      <c r="MOZ101" s="445"/>
      <c r="MPA101" s="414"/>
      <c r="MPD101" s="445"/>
      <c r="MPE101" s="414"/>
      <c r="MPH101" s="445"/>
      <c r="MPI101" s="414"/>
      <c r="MPL101" s="445"/>
      <c r="MPM101" s="414"/>
      <c r="MPP101" s="445"/>
      <c r="MPQ101" s="414"/>
      <c r="MPT101" s="445"/>
      <c r="MPU101" s="414"/>
      <c r="MPX101" s="445"/>
      <c r="MPY101" s="414"/>
      <c r="MQB101" s="445"/>
      <c r="MQC101" s="414"/>
      <c r="MQF101" s="445"/>
      <c r="MQG101" s="414"/>
      <c r="MQJ101" s="445"/>
      <c r="MQK101" s="414"/>
      <c r="MQN101" s="445"/>
      <c r="MQO101" s="414"/>
      <c r="MQR101" s="445"/>
      <c r="MQS101" s="414"/>
      <c r="MQV101" s="445"/>
      <c r="MQW101" s="414"/>
      <c r="MQZ101" s="445"/>
      <c r="MRA101" s="414"/>
      <c r="MRD101" s="445"/>
      <c r="MRE101" s="414"/>
      <c r="MRH101" s="445"/>
      <c r="MRI101" s="414"/>
      <c r="MRL101" s="445"/>
      <c r="MRM101" s="414"/>
      <c r="MRP101" s="445"/>
      <c r="MRQ101" s="414"/>
      <c r="MRT101" s="445"/>
      <c r="MRU101" s="414"/>
      <c r="MRX101" s="445"/>
      <c r="MRY101" s="414"/>
      <c r="MSB101" s="445"/>
      <c r="MSC101" s="414"/>
      <c r="MSF101" s="445"/>
      <c r="MSG101" s="414"/>
      <c r="MSJ101" s="445"/>
      <c r="MSK101" s="414"/>
      <c r="MSN101" s="445"/>
      <c r="MSO101" s="414"/>
      <c r="MSR101" s="445"/>
      <c r="MSS101" s="414"/>
      <c r="MSV101" s="445"/>
      <c r="MSW101" s="414"/>
      <c r="MSZ101" s="445"/>
      <c r="MTA101" s="414"/>
      <c r="MTD101" s="445"/>
      <c r="MTE101" s="414"/>
      <c r="MTH101" s="445"/>
      <c r="MTI101" s="414"/>
      <c r="MTL101" s="445"/>
      <c r="MTM101" s="414"/>
      <c r="MTP101" s="445"/>
      <c r="MTQ101" s="414"/>
      <c r="MTT101" s="445"/>
      <c r="MTU101" s="414"/>
      <c r="MTX101" s="445"/>
      <c r="MTY101" s="414"/>
      <c r="MUB101" s="445"/>
      <c r="MUC101" s="414"/>
      <c r="MUF101" s="445"/>
      <c r="MUG101" s="414"/>
      <c r="MUJ101" s="445"/>
      <c r="MUK101" s="414"/>
      <c r="MUN101" s="445"/>
      <c r="MUO101" s="414"/>
      <c r="MUR101" s="445"/>
      <c r="MUS101" s="414"/>
      <c r="MUV101" s="445"/>
      <c r="MUW101" s="414"/>
      <c r="MUZ101" s="445"/>
      <c r="MVA101" s="414"/>
      <c r="MVD101" s="445"/>
      <c r="MVE101" s="414"/>
      <c r="MVH101" s="445"/>
      <c r="MVI101" s="414"/>
      <c r="MVL101" s="445"/>
      <c r="MVM101" s="414"/>
      <c r="MVP101" s="445"/>
      <c r="MVQ101" s="414"/>
      <c r="MVT101" s="445"/>
      <c r="MVU101" s="414"/>
      <c r="MVX101" s="445"/>
      <c r="MVY101" s="414"/>
      <c r="MWB101" s="445"/>
      <c r="MWC101" s="414"/>
      <c r="MWF101" s="445"/>
      <c r="MWG101" s="414"/>
      <c r="MWJ101" s="445"/>
      <c r="MWK101" s="414"/>
      <c r="MWN101" s="445"/>
      <c r="MWO101" s="414"/>
      <c r="MWR101" s="445"/>
      <c r="MWS101" s="414"/>
      <c r="MWV101" s="445"/>
      <c r="MWW101" s="414"/>
      <c r="MWZ101" s="445"/>
      <c r="MXA101" s="414"/>
      <c r="MXD101" s="445"/>
      <c r="MXE101" s="414"/>
      <c r="MXH101" s="445"/>
      <c r="MXI101" s="414"/>
      <c r="MXL101" s="445"/>
      <c r="MXM101" s="414"/>
      <c r="MXP101" s="445"/>
      <c r="MXQ101" s="414"/>
      <c r="MXT101" s="445"/>
      <c r="MXU101" s="414"/>
      <c r="MXX101" s="445"/>
      <c r="MXY101" s="414"/>
      <c r="MYB101" s="445"/>
      <c r="MYC101" s="414"/>
      <c r="MYF101" s="445"/>
      <c r="MYG101" s="414"/>
      <c r="MYJ101" s="445"/>
      <c r="MYK101" s="414"/>
      <c r="MYN101" s="445"/>
      <c r="MYO101" s="414"/>
      <c r="MYR101" s="445"/>
      <c r="MYS101" s="414"/>
      <c r="MYV101" s="445"/>
      <c r="MYW101" s="414"/>
      <c r="MYZ101" s="445"/>
      <c r="MZA101" s="414"/>
      <c r="MZD101" s="445"/>
      <c r="MZE101" s="414"/>
      <c r="MZH101" s="445"/>
      <c r="MZI101" s="414"/>
      <c r="MZL101" s="445"/>
      <c r="MZM101" s="414"/>
      <c r="MZP101" s="445"/>
      <c r="MZQ101" s="414"/>
      <c r="MZT101" s="445"/>
      <c r="MZU101" s="414"/>
      <c r="MZX101" s="445"/>
      <c r="MZY101" s="414"/>
      <c r="NAB101" s="445"/>
      <c r="NAC101" s="414"/>
      <c r="NAF101" s="445"/>
      <c r="NAG101" s="414"/>
      <c r="NAJ101" s="445"/>
      <c r="NAK101" s="414"/>
      <c r="NAN101" s="445"/>
      <c r="NAO101" s="414"/>
      <c r="NAR101" s="445"/>
      <c r="NAS101" s="414"/>
      <c r="NAV101" s="445"/>
      <c r="NAW101" s="414"/>
      <c r="NAZ101" s="445"/>
      <c r="NBA101" s="414"/>
      <c r="NBD101" s="445"/>
      <c r="NBE101" s="414"/>
      <c r="NBH101" s="445"/>
      <c r="NBI101" s="414"/>
      <c r="NBL101" s="445"/>
      <c r="NBM101" s="414"/>
      <c r="NBP101" s="445"/>
      <c r="NBQ101" s="414"/>
      <c r="NBT101" s="445"/>
      <c r="NBU101" s="414"/>
      <c r="NBX101" s="445"/>
      <c r="NBY101" s="414"/>
      <c r="NCB101" s="445"/>
      <c r="NCC101" s="414"/>
      <c r="NCF101" s="445"/>
      <c r="NCG101" s="414"/>
      <c r="NCJ101" s="445"/>
      <c r="NCK101" s="414"/>
      <c r="NCN101" s="445"/>
      <c r="NCO101" s="414"/>
      <c r="NCR101" s="445"/>
      <c r="NCS101" s="414"/>
      <c r="NCV101" s="445"/>
      <c r="NCW101" s="414"/>
      <c r="NCZ101" s="445"/>
      <c r="NDA101" s="414"/>
      <c r="NDD101" s="445"/>
      <c r="NDE101" s="414"/>
      <c r="NDH101" s="445"/>
      <c r="NDI101" s="414"/>
      <c r="NDL101" s="445"/>
      <c r="NDM101" s="414"/>
      <c r="NDP101" s="445"/>
      <c r="NDQ101" s="414"/>
      <c r="NDT101" s="445"/>
      <c r="NDU101" s="414"/>
      <c r="NDX101" s="445"/>
      <c r="NDY101" s="414"/>
      <c r="NEB101" s="445"/>
      <c r="NEC101" s="414"/>
      <c r="NEF101" s="445"/>
      <c r="NEG101" s="414"/>
      <c r="NEJ101" s="445"/>
      <c r="NEK101" s="414"/>
      <c r="NEN101" s="445"/>
      <c r="NEO101" s="414"/>
      <c r="NER101" s="445"/>
      <c r="NES101" s="414"/>
      <c r="NEV101" s="445"/>
      <c r="NEW101" s="414"/>
      <c r="NEZ101" s="445"/>
      <c r="NFA101" s="414"/>
      <c r="NFD101" s="445"/>
      <c r="NFE101" s="414"/>
      <c r="NFH101" s="445"/>
      <c r="NFI101" s="414"/>
      <c r="NFL101" s="445"/>
      <c r="NFM101" s="414"/>
      <c r="NFP101" s="445"/>
      <c r="NFQ101" s="414"/>
      <c r="NFT101" s="445"/>
      <c r="NFU101" s="414"/>
      <c r="NFX101" s="445"/>
      <c r="NFY101" s="414"/>
      <c r="NGB101" s="445"/>
      <c r="NGC101" s="414"/>
      <c r="NGF101" s="445"/>
      <c r="NGG101" s="414"/>
      <c r="NGJ101" s="445"/>
      <c r="NGK101" s="414"/>
      <c r="NGN101" s="445"/>
      <c r="NGO101" s="414"/>
      <c r="NGR101" s="445"/>
      <c r="NGS101" s="414"/>
      <c r="NGV101" s="445"/>
      <c r="NGW101" s="414"/>
      <c r="NGZ101" s="445"/>
      <c r="NHA101" s="414"/>
      <c r="NHD101" s="445"/>
      <c r="NHE101" s="414"/>
      <c r="NHH101" s="445"/>
      <c r="NHI101" s="414"/>
      <c r="NHL101" s="445"/>
      <c r="NHM101" s="414"/>
      <c r="NHP101" s="445"/>
      <c r="NHQ101" s="414"/>
      <c r="NHT101" s="445"/>
      <c r="NHU101" s="414"/>
      <c r="NHX101" s="445"/>
      <c r="NHY101" s="414"/>
      <c r="NIB101" s="445"/>
      <c r="NIC101" s="414"/>
      <c r="NIF101" s="445"/>
      <c r="NIG101" s="414"/>
      <c r="NIJ101" s="445"/>
      <c r="NIK101" s="414"/>
      <c r="NIN101" s="445"/>
      <c r="NIO101" s="414"/>
      <c r="NIR101" s="445"/>
      <c r="NIS101" s="414"/>
      <c r="NIV101" s="445"/>
      <c r="NIW101" s="414"/>
      <c r="NIZ101" s="445"/>
      <c r="NJA101" s="414"/>
      <c r="NJD101" s="445"/>
      <c r="NJE101" s="414"/>
      <c r="NJH101" s="445"/>
      <c r="NJI101" s="414"/>
      <c r="NJL101" s="445"/>
      <c r="NJM101" s="414"/>
      <c r="NJP101" s="445"/>
      <c r="NJQ101" s="414"/>
      <c r="NJT101" s="445"/>
      <c r="NJU101" s="414"/>
      <c r="NJX101" s="445"/>
      <c r="NJY101" s="414"/>
      <c r="NKB101" s="445"/>
      <c r="NKC101" s="414"/>
      <c r="NKF101" s="445"/>
      <c r="NKG101" s="414"/>
      <c r="NKJ101" s="445"/>
      <c r="NKK101" s="414"/>
      <c r="NKN101" s="445"/>
      <c r="NKO101" s="414"/>
      <c r="NKR101" s="445"/>
      <c r="NKS101" s="414"/>
      <c r="NKV101" s="445"/>
      <c r="NKW101" s="414"/>
      <c r="NKZ101" s="445"/>
      <c r="NLA101" s="414"/>
      <c r="NLD101" s="445"/>
      <c r="NLE101" s="414"/>
      <c r="NLH101" s="445"/>
      <c r="NLI101" s="414"/>
      <c r="NLL101" s="445"/>
      <c r="NLM101" s="414"/>
      <c r="NLP101" s="445"/>
      <c r="NLQ101" s="414"/>
      <c r="NLT101" s="445"/>
      <c r="NLU101" s="414"/>
      <c r="NLX101" s="445"/>
      <c r="NLY101" s="414"/>
      <c r="NMB101" s="445"/>
      <c r="NMC101" s="414"/>
      <c r="NMF101" s="445"/>
      <c r="NMG101" s="414"/>
      <c r="NMJ101" s="445"/>
      <c r="NMK101" s="414"/>
      <c r="NMN101" s="445"/>
      <c r="NMO101" s="414"/>
      <c r="NMR101" s="445"/>
      <c r="NMS101" s="414"/>
      <c r="NMV101" s="445"/>
      <c r="NMW101" s="414"/>
      <c r="NMZ101" s="445"/>
      <c r="NNA101" s="414"/>
      <c r="NND101" s="445"/>
      <c r="NNE101" s="414"/>
      <c r="NNH101" s="445"/>
      <c r="NNI101" s="414"/>
      <c r="NNL101" s="445"/>
      <c r="NNM101" s="414"/>
      <c r="NNP101" s="445"/>
      <c r="NNQ101" s="414"/>
      <c r="NNT101" s="445"/>
      <c r="NNU101" s="414"/>
      <c r="NNX101" s="445"/>
      <c r="NNY101" s="414"/>
      <c r="NOB101" s="445"/>
      <c r="NOC101" s="414"/>
      <c r="NOF101" s="445"/>
      <c r="NOG101" s="414"/>
      <c r="NOJ101" s="445"/>
      <c r="NOK101" s="414"/>
      <c r="NON101" s="445"/>
      <c r="NOO101" s="414"/>
      <c r="NOR101" s="445"/>
      <c r="NOS101" s="414"/>
      <c r="NOV101" s="445"/>
      <c r="NOW101" s="414"/>
      <c r="NOZ101" s="445"/>
      <c r="NPA101" s="414"/>
      <c r="NPD101" s="445"/>
      <c r="NPE101" s="414"/>
      <c r="NPH101" s="445"/>
      <c r="NPI101" s="414"/>
      <c r="NPL101" s="445"/>
      <c r="NPM101" s="414"/>
      <c r="NPP101" s="445"/>
      <c r="NPQ101" s="414"/>
      <c r="NPT101" s="445"/>
      <c r="NPU101" s="414"/>
      <c r="NPX101" s="445"/>
      <c r="NPY101" s="414"/>
      <c r="NQB101" s="445"/>
      <c r="NQC101" s="414"/>
      <c r="NQF101" s="445"/>
      <c r="NQG101" s="414"/>
      <c r="NQJ101" s="445"/>
      <c r="NQK101" s="414"/>
      <c r="NQN101" s="445"/>
      <c r="NQO101" s="414"/>
      <c r="NQR101" s="445"/>
      <c r="NQS101" s="414"/>
      <c r="NQV101" s="445"/>
      <c r="NQW101" s="414"/>
      <c r="NQZ101" s="445"/>
      <c r="NRA101" s="414"/>
      <c r="NRD101" s="445"/>
      <c r="NRE101" s="414"/>
      <c r="NRH101" s="445"/>
      <c r="NRI101" s="414"/>
      <c r="NRL101" s="445"/>
      <c r="NRM101" s="414"/>
      <c r="NRP101" s="445"/>
      <c r="NRQ101" s="414"/>
      <c r="NRT101" s="445"/>
      <c r="NRU101" s="414"/>
      <c r="NRX101" s="445"/>
      <c r="NRY101" s="414"/>
      <c r="NSB101" s="445"/>
      <c r="NSC101" s="414"/>
      <c r="NSF101" s="445"/>
      <c r="NSG101" s="414"/>
      <c r="NSJ101" s="445"/>
      <c r="NSK101" s="414"/>
      <c r="NSN101" s="445"/>
      <c r="NSO101" s="414"/>
      <c r="NSR101" s="445"/>
      <c r="NSS101" s="414"/>
      <c r="NSV101" s="445"/>
      <c r="NSW101" s="414"/>
      <c r="NSZ101" s="445"/>
      <c r="NTA101" s="414"/>
      <c r="NTD101" s="445"/>
      <c r="NTE101" s="414"/>
      <c r="NTH101" s="445"/>
      <c r="NTI101" s="414"/>
      <c r="NTL101" s="445"/>
      <c r="NTM101" s="414"/>
      <c r="NTP101" s="445"/>
      <c r="NTQ101" s="414"/>
      <c r="NTT101" s="445"/>
      <c r="NTU101" s="414"/>
      <c r="NTX101" s="445"/>
      <c r="NTY101" s="414"/>
      <c r="NUB101" s="445"/>
      <c r="NUC101" s="414"/>
      <c r="NUF101" s="445"/>
      <c r="NUG101" s="414"/>
      <c r="NUJ101" s="445"/>
      <c r="NUK101" s="414"/>
      <c r="NUN101" s="445"/>
      <c r="NUO101" s="414"/>
      <c r="NUR101" s="445"/>
      <c r="NUS101" s="414"/>
      <c r="NUV101" s="445"/>
      <c r="NUW101" s="414"/>
      <c r="NUZ101" s="445"/>
      <c r="NVA101" s="414"/>
      <c r="NVD101" s="445"/>
      <c r="NVE101" s="414"/>
      <c r="NVH101" s="445"/>
      <c r="NVI101" s="414"/>
      <c r="NVL101" s="445"/>
      <c r="NVM101" s="414"/>
      <c r="NVP101" s="445"/>
      <c r="NVQ101" s="414"/>
      <c r="NVT101" s="445"/>
      <c r="NVU101" s="414"/>
      <c r="NVX101" s="445"/>
      <c r="NVY101" s="414"/>
      <c r="NWB101" s="445"/>
      <c r="NWC101" s="414"/>
      <c r="NWF101" s="445"/>
      <c r="NWG101" s="414"/>
      <c r="NWJ101" s="445"/>
      <c r="NWK101" s="414"/>
      <c r="NWN101" s="445"/>
      <c r="NWO101" s="414"/>
      <c r="NWR101" s="445"/>
      <c r="NWS101" s="414"/>
      <c r="NWV101" s="445"/>
      <c r="NWW101" s="414"/>
      <c r="NWZ101" s="445"/>
      <c r="NXA101" s="414"/>
      <c r="NXD101" s="445"/>
      <c r="NXE101" s="414"/>
      <c r="NXH101" s="445"/>
      <c r="NXI101" s="414"/>
      <c r="NXL101" s="445"/>
      <c r="NXM101" s="414"/>
      <c r="NXP101" s="445"/>
      <c r="NXQ101" s="414"/>
      <c r="NXT101" s="445"/>
      <c r="NXU101" s="414"/>
      <c r="NXX101" s="445"/>
      <c r="NXY101" s="414"/>
      <c r="NYB101" s="445"/>
      <c r="NYC101" s="414"/>
      <c r="NYF101" s="445"/>
      <c r="NYG101" s="414"/>
      <c r="NYJ101" s="445"/>
      <c r="NYK101" s="414"/>
      <c r="NYN101" s="445"/>
      <c r="NYO101" s="414"/>
      <c r="NYR101" s="445"/>
      <c r="NYS101" s="414"/>
      <c r="NYV101" s="445"/>
      <c r="NYW101" s="414"/>
      <c r="NYZ101" s="445"/>
      <c r="NZA101" s="414"/>
      <c r="NZD101" s="445"/>
      <c r="NZE101" s="414"/>
      <c r="NZH101" s="445"/>
      <c r="NZI101" s="414"/>
      <c r="NZL101" s="445"/>
      <c r="NZM101" s="414"/>
      <c r="NZP101" s="445"/>
      <c r="NZQ101" s="414"/>
      <c r="NZT101" s="445"/>
      <c r="NZU101" s="414"/>
      <c r="NZX101" s="445"/>
      <c r="NZY101" s="414"/>
      <c r="OAB101" s="445"/>
      <c r="OAC101" s="414"/>
      <c r="OAF101" s="445"/>
      <c r="OAG101" s="414"/>
      <c r="OAJ101" s="445"/>
      <c r="OAK101" s="414"/>
      <c r="OAN101" s="445"/>
      <c r="OAO101" s="414"/>
      <c r="OAR101" s="445"/>
      <c r="OAS101" s="414"/>
      <c r="OAV101" s="445"/>
      <c r="OAW101" s="414"/>
      <c r="OAZ101" s="445"/>
      <c r="OBA101" s="414"/>
      <c r="OBD101" s="445"/>
      <c r="OBE101" s="414"/>
      <c r="OBH101" s="445"/>
      <c r="OBI101" s="414"/>
      <c r="OBL101" s="445"/>
      <c r="OBM101" s="414"/>
      <c r="OBP101" s="445"/>
      <c r="OBQ101" s="414"/>
      <c r="OBT101" s="445"/>
      <c r="OBU101" s="414"/>
      <c r="OBX101" s="445"/>
      <c r="OBY101" s="414"/>
      <c r="OCB101" s="445"/>
      <c r="OCC101" s="414"/>
      <c r="OCF101" s="445"/>
      <c r="OCG101" s="414"/>
      <c r="OCJ101" s="445"/>
      <c r="OCK101" s="414"/>
      <c r="OCN101" s="445"/>
      <c r="OCO101" s="414"/>
      <c r="OCR101" s="445"/>
      <c r="OCS101" s="414"/>
      <c r="OCV101" s="445"/>
      <c r="OCW101" s="414"/>
      <c r="OCZ101" s="445"/>
      <c r="ODA101" s="414"/>
      <c r="ODD101" s="445"/>
      <c r="ODE101" s="414"/>
      <c r="ODH101" s="445"/>
      <c r="ODI101" s="414"/>
      <c r="ODL101" s="445"/>
      <c r="ODM101" s="414"/>
      <c r="ODP101" s="445"/>
      <c r="ODQ101" s="414"/>
      <c r="ODT101" s="445"/>
      <c r="ODU101" s="414"/>
      <c r="ODX101" s="445"/>
      <c r="ODY101" s="414"/>
      <c r="OEB101" s="445"/>
      <c r="OEC101" s="414"/>
      <c r="OEF101" s="445"/>
      <c r="OEG101" s="414"/>
      <c r="OEJ101" s="445"/>
      <c r="OEK101" s="414"/>
      <c r="OEN101" s="445"/>
      <c r="OEO101" s="414"/>
      <c r="OER101" s="445"/>
      <c r="OES101" s="414"/>
      <c r="OEV101" s="445"/>
      <c r="OEW101" s="414"/>
      <c r="OEZ101" s="445"/>
      <c r="OFA101" s="414"/>
      <c r="OFD101" s="445"/>
      <c r="OFE101" s="414"/>
      <c r="OFH101" s="445"/>
      <c r="OFI101" s="414"/>
      <c r="OFL101" s="445"/>
      <c r="OFM101" s="414"/>
      <c r="OFP101" s="445"/>
      <c r="OFQ101" s="414"/>
      <c r="OFT101" s="445"/>
      <c r="OFU101" s="414"/>
      <c r="OFX101" s="445"/>
      <c r="OFY101" s="414"/>
      <c r="OGB101" s="445"/>
      <c r="OGC101" s="414"/>
      <c r="OGF101" s="445"/>
      <c r="OGG101" s="414"/>
      <c r="OGJ101" s="445"/>
      <c r="OGK101" s="414"/>
      <c r="OGN101" s="445"/>
      <c r="OGO101" s="414"/>
      <c r="OGR101" s="445"/>
      <c r="OGS101" s="414"/>
      <c r="OGV101" s="445"/>
      <c r="OGW101" s="414"/>
      <c r="OGZ101" s="445"/>
      <c r="OHA101" s="414"/>
      <c r="OHD101" s="445"/>
      <c r="OHE101" s="414"/>
      <c r="OHH101" s="445"/>
      <c r="OHI101" s="414"/>
      <c r="OHL101" s="445"/>
      <c r="OHM101" s="414"/>
      <c r="OHP101" s="445"/>
      <c r="OHQ101" s="414"/>
      <c r="OHT101" s="445"/>
      <c r="OHU101" s="414"/>
      <c r="OHX101" s="445"/>
      <c r="OHY101" s="414"/>
      <c r="OIB101" s="445"/>
      <c r="OIC101" s="414"/>
      <c r="OIF101" s="445"/>
      <c r="OIG101" s="414"/>
      <c r="OIJ101" s="445"/>
      <c r="OIK101" s="414"/>
      <c r="OIN101" s="445"/>
      <c r="OIO101" s="414"/>
      <c r="OIR101" s="445"/>
      <c r="OIS101" s="414"/>
      <c r="OIV101" s="445"/>
      <c r="OIW101" s="414"/>
      <c r="OIZ101" s="445"/>
      <c r="OJA101" s="414"/>
      <c r="OJD101" s="445"/>
      <c r="OJE101" s="414"/>
      <c r="OJH101" s="445"/>
      <c r="OJI101" s="414"/>
      <c r="OJL101" s="445"/>
      <c r="OJM101" s="414"/>
      <c r="OJP101" s="445"/>
      <c r="OJQ101" s="414"/>
      <c r="OJT101" s="445"/>
      <c r="OJU101" s="414"/>
      <c r="OJX101" s="445"/>
      <c r="OJY101" s="414"/>
      <c r="OKB101" s="445"/>
      <c r="OKC101" s="414"/>
      <c r="OKF101" s="445"/>
      <c r="OKG101" s="414"/>
      <c r="OKJ101" s="445"/>
      <c r="OKK101" s="414"/>
      <c r="OKN101" s="445"/>
      <c r="OKO101" s="414"/>
      <c r="OKR101" s="445"/>
      <c r="OKS101" s="414"/>
      <c r="OKV101" s="445"/>
      <c r="OKW101" s="414"/>
      <c r="OKZ101" s="445"/>
      <c r="OLA101" s="414"/>
      <c r="OLD101" s="445"/>
      <c r="OLE101" s="414"/>
      <c r="OLH101" s="445"/>
      <c r="OLI101" s="414"/>
      <c r="OLL101" s="445"/>
      <c r="OLM101" s="414"/>
      <c r="OLP101" s="445"/>
      <c r="OLQ101" s="414"/>
      <c r="OLT101" s="445"/>
      <c r="OLU101" s="414"/>
      <c r="OLX101" s="445"/>
      <c r="OLY101" s="414"/>
      <c r="OMB101" s="445"/>
      <c r="OMC101" s="414"/>
      <c r="OMF101" s="445"/>
      <c r="OMG101" s="414"/>
      <c r="OMJ101" s="445"/>
      <c r="OMK101" s="414"/>
      <c r="OMN101" s="445"/>
      <c r="OMO101" s="414"/>
      <c r="OMR101" s="445"/>
      <c r="OMS101" s="414"/>
      <c r="OMV101" s="445"/>
      <c r="OMW101" s="414"/>
      <c r="OMZ101" s="445"/>
      <c r="ONA101" s="414"/>
      <c r="OND101" s="445"/>
      <c r="ONE101" s="414"/>
      <c r="ONH101" s="445"/>
      <c r="ONI101" s="414"/>
      <c r="ONL101" s="445"/>
      <c r="ONM101" s="414"/>
      <c r="ONP101" s="445"/>
      <c r="ONQ101" s="414"/>
      <c r="ONT101" s="445"/>
      <c r="ONU101" s="414"/>
      <c r="ONX101" s="445"/>
      <c r="ONY101" s="414"/>
      <c r="OOB101" s="445"/>
      <c r="OOC101" s="414"/>
      <c r="OOF101" s="445"/>
      <c r="OOG101" s="414"/>
      <c r="OOJ101" s="445"/>
      <c r="OOK101" s="414"/>
      <c r="OON101" s="445"/>
      <c r="OOO101" s="414"/>
      <c r="OOR101" s="445"/>
      <c r="OOS101" s="414"/>
      <c r="OOV101" s="445"/>
      <c r="OOW101" s="414"/>
      <c r="OOZ101" s="445"/>
      <c r="OPA101" s="414"/>
      <c r="OPD101" s="445"/>
      <c r="OPE101" s="414"/>
      <c r="OPH101" s="445"/>
      <c r="OPI101" s="414"/>
      <c r="OPL101" s="445"/>
      <c r="OPM101" s="414"/>
      <c r="OPP101" s="445"/>
      <c r="OPQ101" s="414"/>
      <c r="OPT101" s="445"/>
      <c r="OPU101" s="414"/>
      <c r="OPX101" s="445"/>
      <c r="OPY101" s="414"/>
      <c r="OQB101" s="445"/>
      <c r="OQC101" s="414"/>
      <c r="OQF101" s="445"/>
      <c r="OQG101" s="414"/>
      <c r="OQJ101" s="445"/>
      <c r="OQK101" s="414"/>
      <c r="OQN101" s="445"/>
      <c r="OQO101" s="414"/>
      <c r="OQR101" s="445"/>
      <c r="OQS101" s="414"/>
      <c r="OQV101" s="445"/>
      <c r="OQW101" s="414"/>
      <c r="OQZ101" s="445"/>
      <c r="ORA101" s="414"/>
      <c r="ORD101" s="445"/>
      <c r="ORE101" s="414"/>
      <c r="ORH101" s="445"/>
      <c r="ORI101" s="414"/>
      <c r="ORL101" s="445"/>
      <c r="ORM101" s="414"/>
      <c r="ORP101" s="445"/>
      <c r="ORQ101" s="414"/>
      <c r="ORT101" s="445"/>
      <c r="ORU101" s="414"/>
      <c r="ORX101" s="445"/>
      <c r="ORY101" s="414"/>
      <c r="OSB101" s="445"/>
      <c r="OSC101" s="414"/>
      <c r="OSF101" s="445"/>
      <c r="OSG101" s="414"/>
      <c r="OSJ101" s="445"/>
      <c r="OSK101" s="414"/>
      <c r="OSN101" s="445"/>
      <c r="OSO101" s="414"/>
      <c r="OSR101" s="445"/>
      <c r="OSS101" s="414"/>
      <c r="OSV101" s="445"/>
      <c r="OSW101" s="414"/>
      <c r="OSZ101" s="445"/>
      <c r="OTA101" s="414"/>
      <c r="OTD101" s="445"/>
      <c r="OTE101" s="414"/>
      <c r="OTH101" s="445"/>
      <c r="OTI101" s="414"/>
      <c r="OTL101" s="445"/>
      <c r="OTM101" s="414"/>
      <c r="OTP101" s="445"/>
      <c r="OTQ101" s="414"/>
      <c r="OTT101" s="445"/>
      <c r="OTU101" s="414"/>
      <c r="OTX101" s="445"/>
      <c r="OTY101" s="414"/>
      <c r="OUB101" s="445"/>
      <c r="OUC101" s="414"/>
      <c r="OUF101" s="445"/>
      <c r="OUG101" s="414"/>
      <c r="OUJ101" s="445"/>
      <c r="OUK101" s="414"/>
      <c r="OUN101" s="445"/>
      <c r="OUO101" s="414"/>
      <c r="OUR101" s="445"/>
      <c r="OUS101" s="414"/>
      <c r="OUV101" s="445"/>
      <c r="OUW101" s="414"/>
      <c r="OUZ101" s="445"/>
      <c r="OVA101" s="414"/>
      <c r="OVD101" s="445"/>
      <c r="OVE101" s="414"/>
      <c r="OVH101" s="445"/>
      <c r="OVI101" s="414"/>
      <c r="OVL101" s="445"/>
      <c r="OVM101" s="414"/>
      <c r="OVP101" s="445"/>
      <c r="OVQ101" s="414"/>
      <c r="OVT101" s="445"/>
      <c r="OVU101" s="414"/>
      <c r="OVX101" s="445"/>
      <c r="OVY101" s="414"/>
      <c r="OWB101" s="445"/>
      <c r="OWC101" s="414"/>
      <c r="OWF101" s="445"/>
      <c r="OWG101" s="414"/>
      <c r="OWJ101" s="445"/>
      <c r="OWK101" s="414"/>
      <c r="OWN101" s="445"/>
      <c r="OWO101" s="414"/>
      <c r="OWR101" s="445"/>
      <c r="OWS101" s="414"/>
      <c r="OWV101" s="445"/>
      <c r="OWW101" s="414"/>
      <c r="OWZ101" s="445"/>
      <c r="OXA101" s="414"/>
      <c r="OXD101" s="445"/>
      <c r="OXE101" s="414"/>
      <c r="OXH101" s="445"/>
      <c r="OXI101" s="414"/>
      <c r="OXL101" s="445"/>
      <c r="OXM101" s="414"/>
      <c r="OXP101" s="445"/>
      <c r="OXQ101" s="414"/>
      <c r="OXT101" s="445"/>
      <c r="OXU101" s="414"/>
      <c r="OXX101" s="445"/>
      <c r="OXY101" s="414"/>
      <c r="OYB101" s="445"/>
      <c r="OYC101" s="414"/>
      <c r="OYF101" s="445"/>
      <c r="OYG101" s="414"/>
      <c r="OYJ101" s="445"/>
      <c r="OYK101" s="414"/>
      <c r="OYN101" s="445"/>
      <c r="OYO101" s="414"/>
      <c r="OYR101" s="445"/>
      <c r="OYS101" s="414"/>
      <c r="OYV101" s="445"/>
      <c r="OYW101" s="414"/>
      <c r="OYZ101" s="445"/>
      <c r="OZA101" s="414"/>
      <c r="OZD101" s="445"/>
      <c r="OZE101" s="414"/>
      <c r="OZH101" s="445"/>
      <c r="OZI101" s="414"/>
      <c r="OZL101" s="445"/>
      <c r="OZM101" s="414"/>
      <c r="OZP101" s="445"/>
      <c r="OZQ101" s="414"/>
      <c r="OZT101" s="445"/>
      <c r="OZU101" s="414"/>
      <c r="OZX101" s="445"/>
      <c r="OZY101" s="414"/>
      <c r="PAB101" s="445"/>
      <c r="PAC101" s="414"/>
      <c r="PAF101" s="445"/>
      <c r="PAG101" s="414"/>
      <c r="PAJ101" s="445"/>
      <c r="PAK101" s="414"/>
      <c r="PAN101" s="445"/>
      <c r="PAO101" s="414"/>
      <c r="PAR101" s="445"/>
      <c r="PAS101" s="414"/>
      <c r="PAV101" s="445"/>
      <c r="PAW101" s="414"/>
      <c r="PAZ101" s="445"/>
      <c r="PBA101" s="414"/>
      <c r="PBD101" s="445"/>
      <c r="PBE101" s="414"/>
      <c r="PBH101" s="445"/>
      <c r="PBI101" s="414"/>
      <c r="PBL101" s="445"/>
      <c r="PBM101" s="414"/>
      <c r="PBP101" s="445"/>
      <c r="PBQ101" s="414"/>
      <c r="PBT101" s="445"/>
      <c r="PBU101" s="414"/>
      <c r="PBX101" s="445"/>
      <c r="PBY101" s="414"/>
      <c r="PCB101" s="445"/>
      <c r="PCC101" s="414"/>
      <c r="PCF101" s="445"/>
      <c r="PCG101" s="414"/>
      <c r="PCJ101" s="445"/>
      <c r="PCK101" s="414"/>
      <c r="PCN101" s="445"/>
      <c r="PCO101" s="414"/>
      <c r="PCR101" s="445"/>
      <c r="PCS101" s="414"/>
      <c r="PCV101" s="445"/>
      <c r="PCW101" s="414"/>
      <c r="PCZ101" s="445"/>
      <c r="PDA101" s="414"/>
      <c r="PDD101" s="445"/>
      <c r="PDE101" s="414"/>
      <c r="PDH101" s="445"/>
      <c r="PDI101" s="414"/>
      <c r="PDL101" s="445"/>
      <c r="PDM101" s="414"/>
      <c r="PDP101" s="445"/>
      <c r="PDQ101" s="414"/>
      <c r="PDT101" s="445"/>
      <c r="PDU101" s="414"/>
      <c r="PDX101" s="445"/>
      <c r="PDY101" s="414"/>
      <c r="PEB101" s="445"/>
      <c r="PEC101" s="414"/>
      <c r="PEF101" s="445"/>
      <c r="PEG101" s="414"/>
      <c r="PEJ101" s="445"/>
      <c r="PEK101" s="414"/>
      <c r="PEN101" s="445"/>
      <c r="PEO101" s="414"/>
      <c r="PER101" s="445"/>
      <c r="PES101" s="414"/>
      <c r="PEV101" s="445"/>
      <c r="PEW101" s="414"/>
      <c r="PEZ101" s="445"/>
      <c r="PFA101" s="414"/>
      <c r="PFD101" s="445"/>
      <c r="PFE101" s="414"/>
      <c r="PFH101" s="445"/>
      <c r="PFI101" s="414"/>
      <c r="PFL101" s="445"/>
      <c r="PFM101" s="414"/>
      <c r="PFP101" s="445"/>
      <c r="PFQ101" s="414"/>
      <c r="PFT101" s="445"/>
      <c r="PFU101" s="414"/>
      <c r="PFX101" s="445"/>
      <c r="PFY101" s="414"/>
      <c r="PGB101" s="445"/>
      <c r="PGC101" s="414"/>
      <c r="PGF101" s="445"/>
      <c r="PGG101" s="414"/>
      <c r="PGJ101" s="445"/>
      <c r="PGK101" s="414"/>
      <c r="PGN101" s="445"/>
      <c r="PGO101" s="414"/>
      <c r="PGR101" s="445"/>
      <c r="PGS101" s="414"/>
      <c r="PGV101" s="445"/>
      <c r="PGW101" s="414"/>
      <c r="PGZ101" s="445"/>
      <c r="PHA101" s="414"/>
      <c r="PHD101" s="445"/>
      <c r="PHE101" s="414"/>
      <c r="PHH101" s="445"/>
      <c r="PHI101" s="414"/>
      <c r="PHL101" s="445"/>
      <c r="PHM101" s="414"/>
      <c r="PHP101" s="445"/>
      <c r="PHQ101" s="414"/>
      <c r="PHT101" s="445"/>
      <c r="PHU101" s="414"/>
      <c r="PHX101" s="445"/>
      <c r="PHY101" s="414"/>
      <c r="PIB101" s="445"/>
      <c r="PIC101" s="414"/>
      <c r="PIF101" s="445"/>
      <c r="PIG101" s="414"/>
      <c r="PIJ101" s="445"/>
      <c r="PIK101" s="414"/>
      <c r="PIN101" s="445"/>
      <c r="PIO101" s="414"/>
      <c r="PIR101" s="445"/>
      <c r="PIS101" s="414"/>
      <c r="PIV101" s="445"/>
      <c r="PIW101" s="414"/>
      <c r="PIZ101" s="445"/>
      <c r="PJA101" s="414"/>
      <c r="PJD101" s="445"/>
      <c r="PJE101" s="414"/>
      <c r="PJH101" s="445"/>
      <c r="PJI101" s="414"/>
      <c r="PJL101" s="445"/>
      <c r="PJM101" s="414"/>
      <c r="PJP101" s="445"/>
      <c r="PJQ101" s="414"/>
      <c r="PJT101" s="445"/>
      <c r="PJU101" s="414"/>
      <c r="PJX101" s="445"/>
      <c r="PJY101" s="414"/>
      <c r="PKB101" s="445"/>
      <c r="PKC101" s="414"/>
      <c r="PKF101" s="445"/>
      <c r="PKG101" s="414"/>
      <c r="PKJ101" s="445"/>
      <c r="PKK101" s="414"/>
      <c r="PKN101" s="445"/>
      <c r="PKO101" s="414"/>
      <c r="PKR101" s="445"/>
      <c r="PKS101" s="414"/>
      <c r="PKV101" s="445"/>
      <c r="PKW101" s="414"/>
      <c r="PKZ101" s="445"/>
      <c r="PLA101" s="414"/>
      <c r="PLD101" s="445"/>
      <c r="PLE101" s="414"/>
      <c r="PLH101" s="445"/>
      <c r="PLI101" s="414"/>
      <c r="PLL101" s="445"/>
      <c r="PLM101" s="414"/>
      <c r="PLP101" s="445"/>
      <c r="PLQ101" s="414"/>
      <c r="PLT101" s="445"/>
      <c r="PLU101" s="414"/>
      <c r="PLX101" s="445"/>
      <c r="PLY101" s="414"/>
      <c r="PMB101" s="445"/>
      <c r="PMC101" s="414"/>
      <c r="PMF101" s="445"/>
      <c r="PMG101" s="414"/>
      <c r="PMJ101" s="445"/>
      <c r="PMK101" s="414"/>
      <c r="PMN101" s="445"/>
      <c r="PMO101" s="414"/>
      <c r="PMR101" s="445"/>
      <c r="PMS101" s="414"/>
      <c r="PMV101" s="445"/>
      <c r="PMW101" s="414"/>
      <c r="PMZ101" s="445"/>
      <c r="PNA101" s="414"/>
      <c r="PND101" s="445"/>
      <c r="PNE101" s="414"/>
      <c r="PNH101" s="445"/>
      <c r="PNI101" s="414"/>
      <c r="PNL101" s="445"/>
      <c r="PNM101" s="414"/>
      <c r="PNP101" s="445"/>
      <c r="PNQ101" s="414"/>
      <c r="PNT101" s="445"/>
      <c r="PNU101" s="414"/>
      <c r="PNX101" s="445"/>
      <c r="PNY101" s="414"/>
      <c r="POB101" s="445"/>
      <c r="POC101" s="414"/>
      <c r="POF101" s="445"/>
      <c r="POG101" s="414"/>
      <c r="POJ101" s="445"/>
      <c r="POK101" s="414"/>
      <c r="PON101" s="445"/>
      <c r="POO101" s="414"/>
      <c r="POR101" s="445"/>
      <c r="POS101" s="414"/>
      <c r="POV101" s="445"/>
      <c r="POW101" s="414"/>
      <c r="POZ101" s="445"/>
      <c r="PPA101" s="414"/>
      <c r="PPD101" s="445"/>
      <c r="PPE101" s="414"/>
      <c r="PPH101" s="445"/>
      <c r="PPI101" s="414"/>
      <c r="PPL101" s="445"/>
      <c r="PPM101" s="414"/>
      <c r="PPP101" s="445"/>
      <c r="PPQ101" s="414"/>
      <c r="PPT101" s="445"/>
      <c r="PPU101" s="414"/>
      <c r="PPX101" s="445"/>
      <c r="PPY101" s="414"/>
      <c r="PQB101" s="445"/>
      <c r="PQC101" s="414"/>
      <c r="PQF101" s="445"/>
      <c r="PQG101" s="414"/>
      <c r="PQJ101" s="445"/>
      <c r="PQK101" s="414"/>
      <c r="PQN101" s="445"/>
      <c r="PQO101" s="414"/>
      <c r="PQR101" s="445"/>
      <c r="PQS101" s="414"/>
      <c r="PQV101" s="445"/>
      <c r="PQW101" s="414"/>
      <c r="PQZ101" s="445"/>
      <c r="PRA101" s="414"/>
      <c r="PRD101" s="445"/>
      <c r="PRE101" s="414"/>
      <c r="PRH101" s="445"/>
      <c r="PRI101" s="414"/>
      <c r="PRL101" s="445"/>
      <c r="PRM101" s="414"/>
      <c r="PRP101" s="445"/>
      <c r="PRQ101" s="414"/>
      <c r="PRT101" s="445"/>
      <c r="PRU101" s="414"/>
      <c r="PRX101" s="445"/>
      <c r="PRY101" s="414"/>
      <c r="PSB101" s="445"/>
      <c r="PSC101" s="414"/>
      <c r="PSF101" s="445"/>
      <c r="PSG101" s="414"/>
      <c r="PSJ101" s="445"/>
      <c r="PSK101" s="414"/>
      <c r="PSN101" s="445"/>
      <c r="PSO101" s="414"/>
      <c r="PSR101" s="445"/>
      <c r="PSS101" s="414"/>
      <c r="PSV101" s="445"/>
      <c r="PSW101" s="414"/>
      <c r="PSZ101" s="445"/>
      <c r="PTA101" s="414"/>
      <c r="PTD101" s="445"/>
      <c r="PTE101" s="414"/>
      <c r="PTH101" s="445"/>
      <c r="PTI101" s="414"/>
      <c r="PTL101" s="445"/>
      <c r="PTM101" s="414"/>
      <c r="PTP101" s="445"/>
      <c r="PTQ101" s="414"/>
      <c r="PTT101" s="445"/>
      <c r="PTU101" s="414"/>
      <c r="PTX101" s="445"/>
      <c r="PTY101" s="414"/>
      <c r="PUB101" s="445"/>
      <c r="PUC101" s="414"/>
      <c r="PUF101" s="445"/>
      <c r="PUG101" s="414"/>
      <c r="PUJ101" s="445"/>
      <c r="PUK101" s="414"/>
      <c r="PUN101" s="445"/>
      <c r="PUO101" s="414"/>
      <c r="PUR101" s="445"/>
      <c r="PUS101" s="414"/>
      <c r="PUV101" s="445"/>
      <c r="PUW101" s="414"/>
      <c r="PUZ101" s="445"/>
      <c r="PVA101" s="414"/>
      <c r="PVD101" s="445"/>
      <c r="PVE101" s="414"/>
      <c r="PVH101" s="445"/>
      <c r="PVI101" s="414"/>
      <c r="PVL101" s="445"/>
      <c r="PVM101" s="414"/>
      <c r="PVP101" s="445"/>
      <c r="PVQ101" s="414"/>
      <c r="PVT101" s="445"/>
      <c r="PVU101" s="414"/>
      <c r="PVX101" s="445"/>
      <c r="PVY101" s="414"/>
      <c r="PWB101" s="445"/>
      <c r="PWC101" s="414"/>
      <c r="PWF101" s="445"/>
      <c r="PWG101" s="414"/>
      <c r="PWJ101" s="445"/>
      <c r="PWK101" s="414"/>
      <c r="PWN101" s="445"/>
      <c r="PWO101" s="414"/>
      <c r="PWR101" s="445"/>
      <c r="PWS101" s="414"/>
      <c r="PWV101" s="445"/>
      <c r="PWW101" s="414"/>
      <c r="PWZ101" s="445"/>
      <c r="PXA101" s="414"/>
      <c r="PXD101" s="445"/>
      <c r="PXE101" s="414"/>
      <c r="PXH101" s="445"/>
      <c r="PXI101" s="414"/>
      <c r="PXL101" s="445"/>
      <c r="PXM101" s="414"/>
      <c r="PXP101" s="445"/>
      <c r="PXQ101" s="414"/>
      <c r="PXT101" s="445"/>
      <c r="PXU101" s="414"/>
      <c r="PXX101" s="445"/>
      <c r="PXY101" s="414"/>
      <c r="PYB101" s="445"/>
      <c r="PYC101" s="414"/>
      <c r="PYF101" s="445"/>
      <c r="PYG101" s="414"/>
      <c r="PYJ101" s="445"/>
      <c r="PYK101" s="414"/>
      <c r="PYN101" s="445"/>
      <c r="PYO101" s="414"/>
      <c r="PYR101" s="445"/>
      <c r="PYS101" s="414"/>
      <c r="PYV101" s="445"/>
      <c r="PYW101" s="414"/>
      <c r="PYZ101" s="445"/>
      <c r="PZA101" s="414"/>
      <c r="PZD101" s="445"/>
      <c r="PZE101" s="414"/>
      <c r="PZH101" s="445"/>
      <c r="PZI101" s="414"/>
      <c r="PZL101" s="445"/>
      <c r="PZM101" s="414"/>
      <c r="PZP101" s="445"/>
      <c r="PZQ101" s="414"/>
      <c r="PZT101" s="445"/>
      <c r="PZU101" s="414"/>
      <c r="PZX101" s="445"/>
      <c r="PZY101" s="414"/>
      <c r="QAB101" s="445"/>
      <c r="QAC101" s="414"/>
      <c r="QAF101" s="445"/>
      <c r="QAG101" s="414"/>
      <c r="QAJ101" s="445"/>
      <c r="QAK101" s="414"/>
      <c r="QAN101" s="445"/>
      <c r="QAO101" s="414"/>
      <c r="QAR101" s="445"/>
      <c r="QAS101" s="414"/>
      <c r="QAV101" s="445"/>
      <c r="QAW101" s="414"/>
      <c r="QAZ101" s="445"/>
      <c r="QBA101" s="414"/>
      <c r="QBD101" s="445"/>
      <c r="QBE101" s="414"/>
      <c r="QBH101" s="445"/>
      <c r="QBI101" s="414"/>
      <c r="QBL101" s="445"/>
      <c r="QBM101" s="414"/>
      <c r="QBP101" s="445"/>
      <c r="QBQ101" s="414"/>
      <c r="QBT101" s="445"/>
      <c r="QBU101" s="414"/>
      <c r="QBX101" s="445"/>
      <c r="QBY101" s="414"/>
      <c r="QCB101" s="445"/>
      <c r="QCC101" s="414"/>
      <c r="QCF101" s="445"/>
      <c r="QCG101" s="414"/>
      <c r="QCJ101" s="445"/>
      <c r="QCK101" s="414"/>
      <c r="QCN101" s="445"/>
      <c r="QCO101" s="414"/>
      <c r="QCR101" s="445"/>
      <c r="QCS101" s="414"/>
      <c r="QCV101" s="445"/>
      <c r="QCW101" s="414"/>
      <c r="QCZ101" s="445"/>
      <c r="QDA101" s="414"/>
      <c r="QDD101" s="445"/>
      <c r="QDE101" s="414"/>
      <c r="QDH101" s="445"/>
      <c r="QDI101" s="414"/>
      <c r="QDL101" s="445"/>
      <c r="QDM101" s="414"/>
      <c r="QDP101" s="445"/>
      <c r="QDQ101" s="414"/>
      <c r="QDT101" s="445"/>
      <c r="QDU101" s="414"/>
      <c r="QDX101" s="445"/>
      <c r="QDY101" s="414"/>
      <c r="QEB101" s="445"/>
      <c r="QEC101" s="414"/>
      <c r="QEF101" s="445"/>
      <c r="QEG101" s="414"/>
      <c r="QEJ101" s="445"/>
      <c r="QEK101" s="414"/>
      <c r="QEN101" s="445"/>
      <c r="QEO101" s="414"/>
      <c r="QER101" s="445"/>
      <c r="QES101" s="414"/>
      <c r="QEV101" s="445"/>
      <c r="QEW101" s="414"/>
      <c r="QEZ101" s="445"/>
      <c r="QFA101" s="414"/>
      <c r="QFD101" s="445"/>
      <c r="QFE101" s="414"/>
      <c r="QFH101" s="445"/>
      <c r="QFI101" s="414"/>
      <c r="QFL101" s="445"/>
      <c r="QFM101" s="414"/>
      <c r="QFP101" s="445"/>
      <c r="QFQ101" s="414"/>
      <c r="QFT101" s="445"/>
      <c r="QFU101" s="414"/>
      <c r="QFX101" s="445"/>
      <c r="QFY101" s="414"/>
      <c r="QGB101" s="445"/>
      <c r="QGC101" s="414"/>
      <c r="QGF101" s="445"/>
      <c r="QGG101" s="414"/>
      <c r="QGJ101" s="445"/>
      <c r="QGK101" s="414"/>
      <c r="QGN101" s="445"/>
      <c r="QGO101" s="414"/>
      <c r="QGR101" s="445"/>
      <c r="QGS101" s="414"/>
      <c r="QGV101" s="445"/>
      <c r="QGW101" s="414"/>
      <c r="QGZ101" s="445"/>
      <c r="QHA101" s="414"/>
      <c r="QHD101" s="445"/>
      <c r="QHE101" s="414"/>
      <c r="QHH101" s="445"/>
      <c r="QHI101" s="414"/>
      <c r="QHL101" s="445"/>
      <c r="QHM101" s="414"/>
      <c r="QHP101" s="445"/>
      <c r="QHQ101" s="414"/>
      <c r="QHT101" s="445"/>
      <c r="QHU101" s="414"/>
      <c r="QHX101" s="445"/>
      <c r="QHY101" s="414"/>
      <c r="QIB101" s="445"/>
      <c r="QIC101" s="414"/>
      <c r="QIF101" s="445"/>
      <c r="QIG101" s="414"/>
      <c r="QIJ101" s="445"/>
      <c r="QIK101" s="414"/>
      <c r="QIN101" s="445"/>
      <c r="QIO101" s="414"/>
      <c r="QIR101" s="445"/>
      <c r="QIS101" s="414"/>
      <c r="QIV101" s="445"/>
      <c r="QIW101" s="414"/>
      <c r="QIZ101" s="445"/>
      <c r="QJA101" s="414"/>
      <c r="QJD101" s="445"/>
      <c r="QJE101" s="414"/>
      <c r="QJH101" s="445"/>
      <c r="QJI101" s="414"/>
      <c r="QJL101" s="445"/>
      <c r="QJM101" s="414"/>
      <c r="QJP101" s="445"/>
      <c r="QJQ101" s="414"/>
      <c r="QJT101" s="445"/>
      <c r="QJU101" s="414"/>
      <c r="QJX101" s="445"/>
      <c r="QJY101" s="414"/>
      <c r="QKB101" s="445"/>
      <c r="QKC101" s="414"/>
      <c r="QKF101" s="445"/>
      <c r="QKG101" s="414"/>
      <c r="QKJ101" s="445"/>
      <c r="QKK101" s="414"/>
      <c r="QKN101" s="445"/>
      <c r="QKO101" s="414"/>
      <c r="QKR101" s="445"/>
      <c r="QKS101" s="414"/>
      <c r="QKV101" s="445"/>
      <c r="QKW101" s="414"/>
      <c r="QKZ101" s="445"/>
      <c r="QLA101" s="414"/>
      <c r="QLD101" s="445"/>
      <c r="QLE101" s="414"/>
      <c r="QLH101" s="445"/>
      <c r="QLI101" s="414"/>
      <c r="QLL101" s="445"/>
      <c r="QLM101" s="414"/>
      <c r="QLP101" s="445"/>
      <c r="QLQ101" s="414"/>
      <c r="QLT101" s="445"/>
      <c r="QLU101" s="414"/>
      <c r="QLX101" s="445"/>
      <c r="QLY101" s="414"/>
      <c r="QMB101" s="445"/>
      <c r="QMC101" s="414"/>
      <c r="QMF101" s="445"/>
      <c r="QMG101" s="414"/>
      <c r="QMJ101" s="445"/>
      <c r="QMK101" s="414"/>
      <c r="QMN101" s="445"/>
      <c r="QMO101" s="414"/>
      <c r="QMR101" s="445"/>
      <c r="QMS101" s="414"/>
      <c r="QMV101" s="445"/>
      <c r="QMW101" s="414"/>
      <c r="QMZ101" s="445"/>
      <c r="QNA101" s="414"/>
      <c r="QND101" s="445"/>
      <c r="QNE101" s="414"/>
      <c r="QNH101" s="445"/>
      <c r="QNI101" s="414"/>
      <c r="QNL101" s="445"/>
      <c r="QNM101" s="414"/>
      <c r="QNP101" s="445"/>
      <c r="QNQ101" s="414"/>
      <c r="QNT101" s="445"/>
      <c r="QNU101" s="414"/>
      <c r="QNX101" s="445"/>
      <c r="QNY101" s="414"/>
      <c r="QOB101" s="445"/>
      <c r="QOC101" s="414"/>
      <c r="QOF101" s="445"/>
      <c r="QOG101" s="414"/>
      <c r="QOJ101" s="445"/>
      <c r="QOK101" s="414"/>
      <c r="QON101" s="445"/>
      <c r="QOO101" s="414"/>
      <c r="QOR101" s="445"/>
      <c r="QOS101" s="414"/>
      <c r="QOV101" s="445"/>
      <c r="QOW101" s="414"/>
      <c r="QOZ101" s="445"/>
      <c r="QPA101" s="414"/>
      <c r="QPD101" s="445"/>
      <c r="QPE101" s="414"/>
      <c r="QPH101" s="445"/>
      <c r="QPI101" s="414"/>
      <c r="QPL101" s="445"/>
      <c r="QPM101" s="414"/>
      <c r="QPP101" s="445"/>
      <c r="QPQ101" s="414"/>
      <c r="QPT101" s="445"/>
      <c r="QPU101" s="414"/>
      <c r="QPX101" s="445"/>
      <c r="QPY101" s="414"/>
      <c r="QQB101" s="445"/>
      <c r="QQC101" s="414"/>
      <c r="QQF101" s="445"/>
      <c r="QQG101" s="414"/>
      <c r="QQJ101" s="445"/>
      <c r="QQK101" s="414"/>
      <c r="QQN101" s="445"/>
      <c r="QQO101" s="414"/>
      <c r="QQR101" s="445"/>
      <c r="QQS101" s="414"/>
      <c r="QQV101" s="445"/>
      <c r="QQW101" s="414"/>
      <c r="QQZ101" s="445"/>
      <c r="QRA101" s="414"/>
      <c r="QRD101" s="445"/>
      <c r="QRE101" s="414"/>
      <c r="QRH101" s="445"/>
      <c r="QRI101" s="414"/>
      <c r="QRL101" s="445"/>
      <c r="QRM101" s="414"/>
      <c r="QRP101" s="445"/>
      <c r="QRQ101" s="414"/>
      <c r="QRT101" s="445"/>
      <c r="QRU101" s="414"/>
      <c r="QRX101" s="445"/>
      <c r="QRY101" s="414"/>
      <c r="QSB101" s="445"/>
      <c r="QSC101" s="414"/>
      <c r="QSF101" s="445"/>
      <c r="QSG101" s="414"/>
      <c r="QSJ101" s="445"/>
      <c r="QSK101" s="414"/>
      <c r="QSN101" s="445"/>
      <c r="QSO101" s="414"/>
      <c r="QSR101" s="445"/>
      <c r="QSS101" s="414"/>
      <c r="QSV101" s="445"/>
      <c r="QSW101" s="414"/>
      <c r="QSZ101" s="445"/>
      <c r="QTA101" s="414"/>
      <c r="QTD101" s="445"/>
      <c r="QTE101" s="414"/>
      <c r="QTH101" s="445"/>
      <c r="QTI101" s="414"/>
      <c r="QTL101" s="445"/>
      <c r="QTM101" s="414"/>
      <c r="QTP101" s="445"/>
      <c r="QTQ101" s="414"/>
      <c r="QTT101" s="445"/>
      <c r="QTU101" s="414"/>
      <c r="QTX101" s="445"/>
      <c r="QTY101" s="414"/>
      <c r="QUB101" s="445"/>
      <c r="QUC101" s="414"/>
      <c r="QUF101" s="445"/>
      <c r="QUG101" s="414"/>
      <c r="QUJ101" s="445"/>
      <c r="QUK101" s="414"/>
      <c r="QUN101" s="445"/>
      <c r="QUO101" s="414"/>
      <c r="QUR101" s="445"/>
      <c r="QUS101" s="414"/>
      <c r="QUV101" s="445"/>
      <c r="QUW101" s="414"/>
      <c r="QUZ101" s="445"/>
      <c r="QVA101" s="414"/>
      <c r="QVD101" s="445"/>
      <c r="QVE101" s="414"/>
      <c r="QVH101" s="445"/>
      <c r="QVI101" s="414"/>
      <c r="QVL101" s="445"/>
      <c r="QVM101" s="414"/>
      <c r="QVP101" s="445"/>
      <c r="QVQ101" s="414"/>
      <c r="QVT101" s="445"/>
      <c r="QVU101" s="414"/>
      <c r="QVX101" s="445"/>
      <c r="QVY101" s="414"/>
      <c r="QWB101" s="445"/>
      <c r="QWC101" s="414"/>
      <c r="QWF101" s="445"/>
      <c r="QWG101" s="414"/>
      <c r="QWJ101" s="445"/>
      <c r="QWK101" s="414"/>
      <c r="QWN101" s="445"/>
      <c r="QWO101" s="414"/>
      <c r="QWR101" s="445"/>
      <c r="QWS101" s="414"/>
      <c r="QWV101" s="445"/>
      <c r="QWW101" s="414"/>
      <c r="QWZ101" s="445"/>
      <c r="QXA101" s="414"/>
      <c r="QXD101" s="445"/>
      <c r="QXE101" s="414"/>
      <c r="QXH101" s="445"/>
      <c r="QXI101" s="414"/>
      <c r="QXL101" s="445"/>
      <c r="QXM101" s="414"/>
      <c r="QXP101" s="445"/>
      <c r="QXQ101" s="414"/>
      <c r="QXT101" s="445"/>
      <c r="QXU101" s="414"/>
      <c r="QXX101" s="445"/>
      <c r="QXY101" s="414"/>
      <c r="QYB101" s="445"/>
      <c r="QYC101" s="414"/>
      <c r="QYF101" s="445"/>
      <c r="QYG101" s="414"/>
      <c r="QYJ101" s="445"/>
      <c r="QYK101" s="414"/>
      <c r="QYN101" s="445"/>
      <c r="QYO101" s="414"/>
      <c r="QYR101" s="445"/>
      <c r="QYS101" s="414"/>
      <c r="QYV101" s="445"/>
      <c r="QYW101" s="414"/>
      <c r="QYZ101" s="445"/>
      <c r="QZA101" s="414"/>
      <c r="QZD101" s="445"/>
      <c r="QZE101" s="414"/>
      <c r="QZH101" s="445"/>
      <c r="QZI101" s="414"/>
      <c r="QZL101" s="445"/>
      <c r="QZM101" s="414"/>
      <c r="QZP101" s="445"/>
      <c r="QZQ101" s="414"/>
      <c r="QZT101" s="445"/>
      <c r="QZU101" s="414"/>
      <c r="QZX101" s="445"/>
      <c r="QZY101" s="414"/>
      <c r="RAB101" s="445"/>
      <c r="RAC101" s="414"/>
      <c r="RAF101" s="445"/>
      <c r="RAG101" s="414"/>
      <c r="RAJ101" s="445"/>
      <c r="RAK101" s="414"/>
      <c r="RAN101" s="445"/>
      <c r="RAO101" s="414"/>
      <c r="RAR101" s="445"/>
      <c r="RAS101" s="414"/>
      <c r="RAV101" s="445"/>
      <c r="RAW101" s="414"/>
      <c r="RAZ101" s="445"/>
      <c r="RBA101" s="414"/>
      <c r="RBD101" s="445"/>
      <c r="RBE101" s="414"/>
      <c r="RBH101" s="445"/>
      <c r="RBI101" s="414"/>
      <c r="RBL101" s="445"/>
      <c r="RBM101" s="414"/>
      <c r="RBP101" s="445"/>
      <c r="RBQ101" s="414"/>
      <c r="RBT101" s="445"/>
      <c r="RBU101" s="414"/>
      <c r="RBX101" s="445"/>
      <c r="RBY101" s="414"/>
      <c r="RCB101" s="445"/>
      <c r="RCC101" s="414"/>
      <c r="RCF101" s="445"/>
      <c r="RCG101" s="414"/>
      <c r="RCJ101" s="445"/>
      <c r="RCK101" s="414"/>
      <c r="RCN101" s="445"/>
      <c r="RCO101" s="414"/>
      <c r="RCR101" s="445"/>
      <c r="RCS101" s="414"/>
      <c r="RCV101" s="445"/>
      <c r="RCW101" s="414"/>
      <c r="RCZ101" s="445"/>
      <c r="RDA101" s="414"/>
      <c r="RDD101" s="445"/>
      <c r="RDE101" s="414"/>
      <c r="RDH101" s="445"/>
      <c r="RDI101" s="414"/>
      <c r="RDL101" s="445"/>
      <c r="RDM101" s="414"/>
      <c r="RDP101" s="445"/>
      <c r="RDQ101" s="414"/>
      <c r="RDT101" s="445"/>
      <c r="RDU101" s="414"/>
      <c r="RDX101" s="445"/>
      <c r="RDY101" s="414"/>
      <c r="REB101" s="445"/>
      <c r="REC101" s="414"/>
      <c r="REF101" s="445"/>
      <c r="REG101" s="414"/>
      <c r="REJ101" s="445"/>
      <c r="REK101" s="414"/>
      <c r="REN101" s="445"/>
      <c r="REO101" s="414"/>
      <c r="RER101" s="445"/>
      <c r="RES101" s="414"/>
      <c r="REV101" s="445"/>
      <c r="REW101" s="414"/>
      <c r="REZ101" s="445"/>
      <c r="RFA101" s="414"/>
      <c r="RFD101" s="445"/>
      <c r="RFE101" s="414"/>
      <c r="RFH101" s="445"/>
      <c r="RFI101" s="414"/>
      <c r="RFL101" s="445"/>
      <c r="RFM101" s="414"/>
      <c r="RFP101" s="445"/>
      <c r="RFQ101" s="414"/>
      <c r="RFT101" s="445"/>
      <c r="RFU101" s="414"/>
      <c r="RFX101" s="445"/>
      <c r="RFY101" s="414"/>
      <c r="RGB101" s="445"/>
      <c r="RGC101" s="414"/>
      <c r="RGF101" s="445"/>
      <c r="RGG101" s="414"/>
      <c r="RGJ101" s="445"/>
      <c r="RGK101" s="414"/>
      <c r="RGN101" s="445"/>
      <c r="RGO101" s="414"/>
      <c r="RGR101" s="445"/>
      <c r="RGS101" s="414"/>
      <c r="RGV101" s="445"/>
      <c r="RGW101" s="414"/>
      <c r="RGZ101" s="445"/>
      <c r="RHA101" s="414"/>
      <c r="RHD101" s="445"/>
      <c r="RHE101" s="414"/>
      <c r="RHH101" s="445"/>
      <c r="RHI101" s="414"/>
      <c r="RHL101" s="445"/>
      <c r="RHM101" s="414"/>
      <c r="RHP101" s="445"/>
      <c r="RHQ101" s="414"/>
      <c r="RHT101" s="445"/>
      <c r="RHU101" s="414"/>
      <c r="RHX101" s="445"/>
      <c r="RHY101" s="414"/>
      <c r="RIB101" s="445"/>
      <c r="RIC101" s="414"/>
      <c r="RIF101" s="445"/>
      <c r="RIG101" s="414"/>
      <c r="RIJ101" s="445"/>
      <c r="RIK101" s="414"/>
      <c r="RIN101" s="445"/>
      <c r="RIO101" s="414"/>
      <c r="RIR101" s="445"/>
      <c r="RIS101" s="414"/>
      <c r="RIV101" s="445"/>
      <c r="RIW101" s="414"/>
      <c r="RIZ101" s="445"/>
      <c r="RJA101" s="414"/>
      <c r="RJD101" s="445"/>
      <c r="RJE101" s="414"/>
      <c r="RJH101" s="445"/>
      <c r="RJI101" s="414"/>
      <c r="RJL101" s="445"/>
      <c r="RJM101" s="414"/>
      <c r="RJP101" s="445"/>
      <c r="RJQ101" s="414"/>
      <c r="RJT101" s="445"/>
      <c r="RJU101" s="414"/>
      <c r="RJX101" s="445"/>
      <c r="RJY101" s="414"/>
      <c r="RKB101" s="445"/>
      <c r="RKC101" s="414"/>
      <c r="RKF101" s="445"/>
      <c r="RKG101" s="414"/>
      <c r="RKJ101" s="445"/>
      <c r="RKK101" s="414"/>
      <c r="RKN101" s="445"/>
      <c r="RKO101" s="414"/>
      <c r="RKR101" s="445"/>
      <c r="RKS101" s="414"/>
      <c r="RKV101" s="445"/>
      <c r="RKW101" s="414"/>
      <c r="RKZ101" s="445"/>
      <c r="RLA101" s="414"/>
      <c r="RLD101" s="445"/>
      <c r="RLE101" s="414"/>
      <c r="RLH101" s="445"/>
      <c r="RLI101" s="414"/>
      <c r="RLL101" s="445"/>
      <c r="RLM101" s="414"/>
      <c r="RLP101" s="445"/>
      <c r="RLQ101" s="414"/>
      <c r="RLT101" s="445"/>
      <c r="RLU101" s="414"/>
      <c r="RLX101" s="445"/>
      <c r="RLY101" s="414"/>
      <c r="RMB101" s="445"/>
      <c r="RMC101" s="414"/>
      <c r="RMF101" s="445"/>
      <c r="RMG101" s="414"/>
      <c r="RMJ101" s="445"/>
      <c r="RMK101" s="414"/>
      <c r="RMN101" s="445"/>
      <c r="RMO101" s="414"/>
      <c r="RMR101" s="445"/>
      <c r="RMS101" s="414"/>
      <c r="RMV101" s="445"/>
      <c r="RMW101" s="414"/>
      <c r="RMZ101" s="445"/>
      <c r="RNA101" s="414"/>
      <c r="RND101" s="445"/>
      <c r="RNE101" s="414"/>
      <c r="RNH101" s="445"/>
      <c r="RNI101" s="414"/>
      <c r="RNL101" s="445"/>
      <c r="RNM101" s="414"/>
      <c r="RNP101" s="445"/>
      <c r="RNQ101" s="414"/>
      <c r="RNT101" s="445"/>
      <c r="RNU101" s="414"/>
      <c r="RNX101" s="445"/>
      <c r="RNY101" s="414"/>
      <c r="ROB101" s="445"/>
      <c r="ROC101" s="414"/>
      <c r="ROF101" s="445"/>
      <c r="ROG101" s="414"/>
      <c r="ROJ101" s="445"/>
      <c r="ROK101" s="414"/>
      <c r="RON101" s="445"/>
      <c r="ROO101" s="414"/>
      <c r="ROR101" s="445"/>
      <c r="ROS101" s="414"/>
      <c r="ROV101" s="445"/>
      <c r="ROW101" s="414"/>
      <c r="ROZ101" s="445"/>
      <c r="RPA101" s="414"/>
      <c r="RPD101" s="445"/>
      <c r="RPE101" s="414"/>
      <c r="RPH101" s="445"/>
      <c r="RPI101" s="414"/>
      <c r="RPL101" s="445"/>
      <c r="RPM101" s="414"/>
      <c r="RPP101" s="445"/>
      <c r="RPQ101" s="414"/>
      <c r="RPT101" s="445"/>
      <c r="RPU101" s="414"/>
      <c r="RPX101" s="445"/>
      <c r="RPY101" s="414"/>
      <c r="RQB101" s="445"/>
      <c r="RQC101" s="414"/>
      <c r="RQF101" s="445"/>
      <c r="RQG101" s="414"/>
      <c r="RQJ101" s="445"/>
      <c r="RQK101" s="414"/>
      <c r="RQN101" s="445"/>
      <c r="RQO101" s="414"/>
      <c r="RQR101" s="445"/>
      <c r="RQS101" s="414"/>
      <c r="RQV101" s="445"/>
      <c r="RQW101" s="414"/>
      <c r="RQZ101" s="445"/>
      <c r="RRA101" s="414"/>
      <c r="RRD101" s="445"/>
      <c r="RRE101" s="414"/>
      <c r="RRH101" s="445"/>
      <c r="RRI101" s="414"/>
      <c r="RRL101" s="445"/>
      <c r="RRM101" s="414"/>
      <c r="RRP101" s="445"/>
      <c r="RRQ101" s="414"/>
      <c r="RRT101" s="445"/>
      <c r="RRU101" s="414"/>
      <c r="RRX101" s="445"/>
      <c r="RRY101" s="414"/>
      <c r="RSB101" s="445"/>
      <c r="RSC101" s="414"/>
      <c r="RSF101" s="445"/>
      <c r="RSG101" s="414"/>
      <c r="RSJ101" s="445"/>
      <c r="RSK101" s="414"/>
      <c r="RSN101" s="445"/>
      <c r="RSO101" s="414"/>
      <c r="RSR101" s="445"/>
      <c r="RSS101" s="414"/>
      <c r="RSV101" s="445"/>
      <c r="RSW101" s="414"/>
      <c r="RSZ101" s="445"/>
      <c r="RTA101" s="414"/>
      <c r="RTD101" s="445"/>
      <c r="RTE101" s="414"/>
      <c r="RTH101" s="445"/>
      <c r="RTI101" s="414"/>
      <c r="RTL101" s="445"/>
      <c r="RTM101" s="414"/>
      <c r="RTP101" s="445"/>
      <c r="RTQ101" s="414"/>
      <c r="RTT101" s="445"/>
      <c r="RTU101" s="414"/>
      <c r="RTX101" s="445"/>
      <c r="RTY101" s="414"/>
      <c r="RUB101" s="445"/>
      <c r="RUC101" s="414"/>
      <c r="RUF101" s="445"/>
      <c r="RUG101" s="414"/>
      <c r="RUJ101" s="445"/>
      <c r="RUK101" s="414"/>
      <c r="RUN101" s="445"/>
      <c r="RUO101" s="414"/>
      <c r="RUR101" s="445"/>
      <c r="RUS101" s="414"/>
      <c r="RUV101" s="445"/>
      <c r="RUW101" s="414"/>
      <c r="RUZ101" s="445"/>
      <c r="RVA101" s="414"/>
      <c r="RVD101" s="445"/>
      <c r="RVE101" s="414"/>
      <c r="RVH101" s="445"/>
      <c r="RVI101" s="414"/>
      <c r="RVL101" s="445"/>
      <c r="RVM101" s="414"/>
      <c r="RVP101" s="445"/>
      <c r="RVQ101" s="414"/>
      <c r="RVT101" s="445"/>
      <c r="RVU101" s="414"/>
      <c r="RVX101" s="445"/>
      <c r="RVY101" s="414"/>
      <c r="RWB101" s="445"/>
      <c r="RWC101" s="414"/>
      <c r="RWF101" s="445"/>
      <c r="RWG101" s="414"/>
      <c r="RWJ101" s="445"/>
      <c r="RWK101" s="414"/>
      <c r="RWN101" s="445"/>
      <c r="RWO101" s="414"/>
      <c r="RWR101" s="445"/>
      <c r="RWS101" s="414"/>
      <c r="RWV101" s="445"/>
      <c r="RWW101" s="414"/>
      <c r="RWZ101" s="445"/>
      <c r="RXA101" s="414"/>
      <c r="RXD101" s="445"/>
      <c r="RXE101" s="414"/>
      <c r="RXH101" s="445"/>
      <c r="RXI101" s="414"/>
      <c r="RXL101" s="445"/>
      <c r="RXM101" s="414"/>
      <c r="RXP101" s="445"/>
      <c r="RXQ101" s="414"/>
      <c r="RXT101" s="445"/>
      <c r="RXU101" s="414"/>
      <c r="RXX101" s="445"/>
      <c r="RXY101" s="414"/>
      <c r="RYB101" s="445"/>
      <c r="RYC101" s="414"/>
      <c r="RYF101" s="445"/>
      <c r="RYG101" s="414"/>
      <c r="RYJ101" s="445"/>
      <c r="RYK101" s="414"/>
      <c r="RYN101" s="445"/>
      <c r="RYO101" s="414"/>
      <c r="RYR101" s="445"/>
      <c r="RYS101" s="414"/>
      <c r="RYV101" s="445"/>
      <c r="RYW101" s="414"/>
      <c r="RYZ101" s="445"/>
      <c r="RZA101" s="414"/>
      <c r="RZD101" s="445"/>
      <c r="RZE101" s="414"/>
      <c r="RZH101" s="445"/>
      <c r="RZI101" s="414"/>
      <c r="RZL101" s="445"/>
      <c r="RZM101" s="414"/>
      <c r="RZP101" s="445"/>
      <c r="RZQ101" s="414"/>
      <c r="RZT101" s="445"/>
      <c r="RZU101" s="414"/>
      <c r="RZX101" s="445"/>
      <c r="RZY101" s="414"/>
      <c r="SAB101" s="445"/>
      <c r="SAC101" s="414"/>
      <c r="SAF101" s="445"/>
      <c r="SAG101" s="414"/>
      <c r="SAJ101" s="445"/>
      <c r="SAK101" s="414"/>
      <c r="SAN101" s="445"/>
      <c r="SAO101" s="414"/>
      <c r="SAR101" s="445"/>
      <c r="SAS101" s="414"/>
      <c r="SAV101" s="445"/>
      <c r="SAW101" s="414"/>
      <c r="SAZ101" s="445"/>
      <c r="SBA101" s="414"/>
      <c r="SBD101" s="445"/>
      <c r="SBE101" s="414"/>
      <c r="SBH101" s="445"/>
      <c r="SBI101" s="414"/>
      <c r="SBL101" s="445"/>
      <c r="SBM101" s="414"/>
      <c r="SBP101" s="445"/>
      <c r="SBQ101" s="414"/>
      <c r="SBT101" s="445"/>
      <c r="SBU101" s="414"/>
      <c r="SBX101" s="445"/>
      <c r="SBY101" s="414"/>
      <c r="SCB101" s="445"/>
      <c r="SCC101" s="414"/>
      <c r="SCF101" s="445"/>
      <c r="SCG101" s="414"/>
      <c r="SCJ101" s="445"/>
      <c r="SCK101" s="414"/>
      <c r="SCN101" s="445"/>
      <c r="SCO101" s="414"/>
      <c r="SCR101" s="445"/>
      <c r="SCS101" s="414"/>
      <c r="SCV101" s="445"/>
      <c r="SCW101" s="414"/>
      <c r="SCZ101" s="445"/>
      <c r="SDA101" s="414"/>
      <c r="SDD101" s="445"/>
      <c r="SDE101" s="414"/>
      <c r="SDH101" s="445"/>
      <c r="SDI101" s="414"/>
      <c r="SDL101" s="445"/>
      <c r="SDM101" s="414"/>
      <c r="SDP101" s="445"/>
      <c r="SDQ101" s="414"/>
      <c r="SDT101" s="445"/>
      <c r="SDU101" s="414"/>
      <c r="SDX101" s="445"/>
      <c r="SDY101" s="414"/>
      <c r="SEB101" s="445"/>
      <c r="SEC101" s="414"/>
      <c r="SEF101" s="445"/>
      <c r="SEG101" s="414"/>
      <c r="SEJ101" s="445"/>
      <c r="SEK101" s="414"/>
      <c r="SEN101" s="445"/>
      <c r="SEO101" s="414"/>
      <c r="SER101" s="445"/>
      <c r="SES101" s="414"/>
      <c r="SEV101" s="445"/>
      <c r="SEW101" s="414"/>
      <c r="SEZ101" s="445"/>
      <c r="SFA101" s="414"/>
      <c r="SFD101" s="445"/>
      <c r="SFE101" s="414"/>
      <c r="SFH101" s="445"/>
      <c r="SFI101" s="414"/>
      <c r="SFL101" s="445"/>
      <c r="SFM101" s="414"/>
      <c r="SFP101" s="445"/>
      <c r="SFQ101" s="414"/>
      <c r="SFT101" s="445"/>
      <c r="SFU101" s="414"/>
      <c r="SFX101" s="445"/>
      <c r="SFY101" s="414"/>
      <c r="SGB101" s="445"/>
      <c r="SGC101" s="414"/>
      <c r="SGF101" s="445"/>
      <c r="SGG101" s="414"/>
      <c r="SGJ101" s="445"/>
      <c r="SGK101" s="414"/>
      <c r="SGN101" s="445"/>
      <c r="SGO101" s="414"/>
      <c r="SGR101" s="445"/>
      <c r="SGS101" s="414"/>
      <c r="SGV101" s="445"/>
      <c r="SGW101" s="414"/>
      <c r="SGZ101" s="445"/>
      <c r="SHA101" s="414"/>
      <c r="SHD101" s="445"/>
      <c r="SHE101" s="414"/>
      <c r="SHH101" s="445"/>
      <c r="SHI101" s="414"/>
      <c r="SHL101" s="445"/>
      <c r="SHM101" s="414"/>
      <c r="SHP101" s="445"/>
      <c r="SHQ101" s="414"/>
      <c r="SHT101" s="445"/>
      <c r="SHU101" s="414"/>
      <c r="SHX101" s="445"/>
      <c r="SHY101" s="414"/>
      <c r="SIB101" s="445"/>
      <c r="SIC101" s="414"/>
      <c r="SIF101" s="445"/>
      <c r="SIG101" s="414"/>
      <c r="SIJ101" s="445"/>
      <c r="SIK101" s="414"/>
      <c r="SIN101" s="445"/>
      <c r="SIO101" s="414"/>
      <c r="SIR101" s="445"/>
      <c r="SIS101" s="414"/>
      <c r="SIV101" s="445"/>
      <c r="SIW101" s="414"/>
      <c r="SIZ101" s="445"/>
      <c r="SJA101" s="414"/>
      <c r="SJD101" s="445"/>
      <c r="SJE101" s="414"/>
      <c r="SJH101" s="445"/>
      <c r="SJI101" s="414"/>
      <c r="SJL101" s="445"/>
      <c r="SJM101" s="414"/>
      <c r="SJP101" s="445"/>
      <c r="SJQ101" s="414"/>
      <c r="SJT101" s="445"/>
      <c r="SJU101" s="414"/>
      <c r="SJX101" s="445"/>
      <c r="SJY101" s="414"/>
      <c r="SKB101" s="445"/>
      <c r="SKC101" s="414"/>
      <c r="SKF101" s="445"/>
      <c r="SKG101" s="414"/>
      <c r="SKJ101" s="445"/>
      <c r="SKK101" s="414"/>
      <c r="SKN101" s="445"/>
      <c r="SKO101" s="414"/>
      <c r="SKR101" s="445"/>
      <c r="SKS101" s="414"/>
      <c r="SKV101" s="445"/>
      <c r="SKW101" s="414"/>
      <c r="SKZ101" s="445"/>
      <c r="SLA101" s="414"/>
      <c r="SLD101" s="445"/>
      <c r="SLE101" s="414"/>
      <c r="SLH101" s="445"/>
      <c r="SLI101" s="414"/>
      <c r="SLL101" s="445"/>
      <c r="SLM101" s="414"/>
      <c r="SLP101" s="445"/>
      <c r="SLQ101" s="414"/>
      <c r="SLT101" s="445"/>
      <c r="SLU101" s="414"/>
      <c r="SLX101" s="445"/>
      <c r="SLY101" s="414"/>
      <c r="SMB101" s="445"/>
      <c r="SMC101" s="414"/>
      <c r="SMF101" s="445"/>
      <c r="SMG101" s="414"/>
      <c r="SMJ101" s="445"/>
      <c r="SMK101" s="414"/>
      <c r="SMN101" s="445"/>
      <c r="SMO101" s="414"/>
      <c r="SMR101" s="445"/>
      <c r="SMS101" s="414"/>
      <c r="SMV101" s="445"/>
      <c r="SMW101" s="414"/>
      <c r="SMZ101" s="445"/>
      <c r="SNA101" s="414"/>
      <c r="SND101" s="445"/>
      <c r="SNE101" s="414"/>
      <c r="SNH101" s="445"/>
      <c r="SNI101" s="414"/>
      <c r="SNL101" s="445"/>
      <c r="SNM101" s="414"/>
      <c r="SNP101" s="445"/>
      <c r="SNQ101" s="414"/>
      <c r="SNT101" s="445"/>
      <c r="SNU101" s="414"/>
      <c r="SNX101" s="445"/>
      <c r="SNY101" s="414"/>
      <c r="SOB101" s="445"/>
      <c r="SOC101" s="414"/>
      <c r="SOF101" s="445"/>
      <c r="SOG101" s="414"/>
      <c r="SOJ101" s="445"/>
      <c r="SOK101" s="414"/>
      <c r="SON101" s="445"/>
      <c r="SOO101" s="414"/>
      <c r="SOR101" s="445"/>
      <c r="SOS101" s="414"/>
      <c r="SOV101" s="445"/>
      <c r="SOW101" s="414"/>
      <c r="SOZ101" s="445"/>
      <c r="SPA101" s="414"/>
      <c r="SPD101" s="445"/>
      <c r="SPE101" s="414"/>
      <c r="SPH101" s="445"/>
      <c r="SPI101" s="414"/>
      <c r="SPL101" s="445"/>
      <c r="SPM101" s="414"/>
      <c r="SPP101" s="445"/>
      <c r="SPQ101" s="414"/>
      <c r="SPT101" s="445"/>
      <c r="SPU101" s="414"/>
      <c r="SPX101" s="445"/>
      <c r="SPY101" s="414"/>
      <c r="SQB101" s="445"/>
      <c r="SQC101" s="414"/>
      <c r="SQF101" s="445"/>
      <c r="SQG101" s="414"/>
      <c r="SQJ101" s="445"/>
      <c r="SQK101" s="414"/>
      <c r="SQN101" s="445"/>
      <c r="SQO101" s="414"/>
      <c r="SQR101" s="445"/>
      <c r="SQS101" s="414"/>
      <c r="SQV101" s="445"/>
      <c r="SQW101" s="414"/>
      <c r="SQZ101" s="445"/>
      <c r="SRA101" s="414"/>
      <c r="SRD101" s="445"/>
      <c r="SRE101" s="414"/>
      <c r="SRH101" s="445"/>
      <c r="SRI101" s="414"/>
      <c r="SRL101" s="445"/>
      <c r="SRM101" s="414"/>
      <c r="SRP101" s="445"/>
      <c r="SRQ101" s="414"/>
      <c r="SRT101" s="445"/>
      <c r="SRU101" s="414"/>
      <c r="SRX101" s="445"/>
      <c r="SRY101" s="414"/>
      <c r="SSB101" s="445"/>
      <c r="SSC101" s="414"/>
      <c r="SSF101" s="445"/>
      <c r="SSG101" s="414"/>
      <c r="SSJ101" s="445"/>
      <c r="SSK101" s="414"/>
      <c r="SSN101" s="445"/>
      <c r="SSO101" s="414"/>
      <c r="SSR101" s="445"/>
      <c r="SSS101" s="414"/>
      <c r="SSV101" s="445"/>
      <c r="SSW101" s="414"/>
      <c r="SSZ101" s="445"/>
      <c r="STA101" s="414"/>
      <c r="STD101" s="445"/>
      <c r="STE101" s="414"/>
      <c r="STH101" s="445"/>
      <c r="STI101" s="414"/>
      <c r="STL101" s="445"/>
      <c r="STM101" s="414"/>
      <c r="STP101" s="445"/>
      <c r="STQ101" s="414"/>
      <c r="STT101" s="445"/>
      <c r="STU101" s="414"/>
      <c r="STX101" s="445"/>
      <c r="STY101" s="414"/>
      <c r="SUB101" s="445"/>
      <c r="SUC101" s="414"/>
      <c r="SUF101" s="445"/>
      <c r="SUG101" s="414"/>
      <c r="SUJ101" s="445"/>
      <c r="SUK101" s="414"/>
      <c r="SUN101" s="445"/>
      <c r="SUO101" s="414"/>
      <c r="SUR101" s="445"/>
      <c r="SUS101" s="414"/>
      <c r="SUV101" s="445"/>
      <c r="SUW101" s="414"/>
      <c r="SUZ101" s="445"/>
      <c r="SVA101" s="414"/>
      <c r="SVD101" s="445"/>
      <c r="SVE101" s="414"/>
      <c r="SVH101" s="445"/>
      <c r="SVI101" s="414"/>
      <c r="SVL101" s="445"/>
      <c r="SVM101" s="414"/>
      <c r="SVP101" s="445"/>
      <c r="SVQ101" s="414"/>
      <c r="SVT101" s="445"/>
      <c r="SVU101" s="414"/>
      <c r="SVX101" s="445"/>
      <c r="SVY101" s="414"/>
      <c r="SWB101" s="445"/>
      <c r="SWC101" s="414"/>
      <c r="SWF101" s="445"/>
      <c r="SWG101" s="414"/>
      <c r="SWJ101" s="445"/>
      <c r="SWK101" s="414"/>
      <c r="SWN101" s="445"/>
      <c r="SWO101" s="414"/>
      <c r="SWR101" s="445"/>
      <c r="SWS101" s="414"/>
      <c r="SWV101" s="445"/>
      <c r="SWW101" s="414"/>
      <c r="SWZ101" s="445"/>
      <c r="SXA101" s="414"/>
      <c r="SXD101" s="445"/>
      <c r="SXE101" s="414"/>
      <c r="SXH101" s="445"/>
      <c r="SXI101" s="414"/>
      <c r="SXL101" s="445"/>
      <c r="SXM101" s="414"/>
      <c r="SXP101" s="445"/>
      <c r="SXQ101" s="414"/>
      <c r="SXT101" s="445"/>
      <c r="SXU101" s="414"/>
      <c r="SXX101" s="445"/>
      <c r="SXY101" s="414"/>
      <c r="SYB101" s="445"/>
      <c r="SYC101" s="414"/>
      <c r="SYF101" s="445"/>
      <c r="SYG101" s="414"/>
      <c r="SYJ101" s="445"/>
      <c r="SYK101" s="414"/>
      <c r="SYN101" s="445"/>
      <c r="SYO101" s="414"/>
      <c r="SYR101" s="445"/>
      <c r="SYS101" s="414"/>
      <c r="SYV101" s="445"/>
      <c r="SYW101" s="414"/>
      <c r="SYZ101" s="445"/>
      <c r="SZA101" s="414"/>
      <c r="SZD101" s="445"/>
      <c r="SZE101" s="414"/>
      <c r="SZH101" s="445"/>
      <c r="SZI101" s="414"/>
      <c r="SZL101" s="445"/>
      <c r="SZM101" s="414"/>
      <c r="SZP101" s="445"/>
      <c r="SZQ101" s="414"/>
      <c r="SZT101" s="445"/>
      <c r="SZU101" s="414"/>
      <c r="SZX101" s="445"/>
      <c r="SZY101" s="414"/>
      <c r="TAB101" s="445"/>
      <c r="TAC101" s="414"/>
      <c r="TAF101" s="445"/>
      <c r="TAG101" s="414"/>
      <c r="TAJ101" s="445"/>
      <c r="TAK101" s="414"/>
      <c r="TAN101" s="445"/>
      <c r="TAO101" s="414"/>
      <c r="TAR101" s="445"/>
      <c r="TAS101" s="414"/>
      <c r="TAV101" s="445"/>
      <c r="TAW101" s="414"/>
      <c r="TAZ101" s="445"/>
      <c r="TBA101" s="414"/>
      <c r="TBD101" s="445"/>
      <c r="TBE101" s="414"/>
      <c r="TBH101" s="445"/>
      <c r="TBI101" s="414"/>
      <c r="TBL101" s="445"/>
      <c r="TBM101" s="414"/>
      <c r="TBP101" s="445"/>
      <c r="TBQ101" s="414"/>
      <c r="TBT101" s="445"/>
      <c r="TBU101" s="414"/>
      <c r="TBX101" s="445"/>
      <c r="TBY101" s="414"/>
      <c r="TCB101" s="445"/>
      <c r="TCC101" s="414"/>
      <c r="TCF101" s="445"/>
      <c r="TCG101" s="414"/>
      <c r="TCJ101" s="445"/>
      <c r="TCK101" s="414"/>
      <c r="TCN101" s="445"/>
      <c r="TCO101" s="414"/>
      <c r="TCR101" s="445"/>
      <c r="TCS101" s="414"/>
      <c r="TCV101" s="445"/>
      <c r="TCW101" s="414"/>
      <c r="TCZ101" s="445"/>
      <c r="TDA101" s="414"/>
      <c r="TDD101" s="445"/>
      <c r="TDE101" s="414"/>
      <c r="TDH101" s="445"/>
      <c r="TDI101" s="414"/>
      <c r="TDL101" s="445"/>
      <c r="TDM101" s="414"/>
      <c r="TDP101" s="445"/>
      <c r="TDQ101" s="414"/>
      <c r="TDT101" s="445"/>
      <c r="TDU101" s="414"/>
      <c r="TDX101" s="445"/>
      <c r="TDY101" s="414"/>
      <c r="TEB101" s="445"/>
      <c r="TEC101" s="414"/>
      <c r="TEF101" s="445"/>
      <c r="TEG101" s="414"/>
      <c r="TEJ101" s="445"/>
      <c r="TEK101" s="414"/>
      <c r="TEN101" s="445"/>
      <c r="TEO101" s="414"/>
      <c r="TER101" s="445"/>
      <c r="TES101" s="414"/>
      <c r="TEV101" s="445"/>
      <c r="TEW101" s="414"/>
      <c r="TEZ101" s="445"/>
      <c r="TFA101" s="414"/>
      <c r="TFD101" s="445"/>
      <c r="TFE101" s="414"/>
      <c r="TFH101" s="445"/>
      <c r="TFI101" s="414"/>
      <c r="TFL101" s="445"/>
      <c r="TFM101" s="414"/>
      <c r="TFP101" s="445"/>
      <c r="TFQ101" s="414"/>
      <c r="TFT101" s="445"/>
      <c r="TFU101" s="414"/>
      <c r="TFX101" s="445"/>
      <c r="TFY101" s="414"/>
      <c r="TGB101" s="445"/>
      <c r="TGC101" s="414"/>
      <c r="TGF101" s="445"/>
      <c r="TGG101" s="414"/>
      <c r="TGJ101" s="445"/>
      <c r="TGK101" s="414"/>
      <c r="TGN101" s="445"/>
      <c r="TGO101" s="414"/>
      <c r="TGR101" s="445"/>
      <c r="TGS101" s="414"/>
      <c r="TGV101" s="445"/>
      <c r="TGW101" s="414"/>
      <c r="TGZ101" s="445"/>
      <c r="THA101" s="414"/>
      <c r="THD101" s="445"/>
      <c r="THE101" s="414"/>
      <c r="THH101" s="445"/>
      <c r="THI101" s="414"/>
      <c r="THL101" s="445"/>
      <c r="THM101" s="414"/>
      <c r="THP101" s="445"/>
      <c r="THQ101" s="414"/>
      <c r="THT101" s="445"/>
      <c r="THU101" s="414"/>
      <c r="THX101" s="445"/>
      <c r="THY101" s="414"/>
      <c r="TIB101" s="445"/>
      <c r="TIC101" s="414"/>
      <c r="TIF101" s="445"/>
      <c r="TIG101" s="414"/>
      <c r="TIJ101" s="445"/>
      <c r="TIK101" s="414"/>
      <c r="TIN101" s="445"/>
      <c r="TIO101" s="414"/>
      <c r="TIR101" s="445"/>
      <c r="TIS101" s="414"/>
      <c r="TIV101" s="445"/>
      <c r="TIW101" s="414"/>
      <c r="TIZ101" s="445"/>
      <c r="TJA101" s="414"/>
      <c r="TJD101" s="445"/>
      <c r="TJE101" s="414"/>
      <c r="TJH101" s="445"/>
      <c r="TJI101" s="414"/>
      <c r="TJL101" s="445"/>
      <c r="TJM101" s="414"/>
      <c r="TJP101" s="445"/>
      <c r="TJQ101" s="414"/>
      <c r="TJT101" s="445"/>
      <c r="TJU101" s="414"/>
      <c r="TJX101" s="445"/>
      <c r="TJY101" s="414"/>
      <c r="TKB101" s="445"/>
      <c r="TKC101" s="414"/>
      <c r="TKF101" s="445"/>
      <c r="TKG101" s="414"/>
      <c r="TKJ101" s="445"/>
      <c r="TKK101" s="414"/>
      <c r="TKN101" s="445"/>
      <c r="TKO101" s="414"/>
      <c r="TKR101" s="445"/>
      <c r="TKS101" s="414"/>
      <c r="TKV101" s="445"/>
      <c r="TKW101" s="414"/>
      <c r="TKZ101" s="445"/>
      <c r="TLA101" s="414"/>
      <c r="TLD101" s="445"/>
      <c r="TLE101" s="414"/>
      <c r="TLH101" s="445"/>
      <c r="TLI101" s="414"/>
      <c r="TLL101" s="445"/>
      <c r="TLM101" s="414"/>
      <c r="TLP101" s="445"/>
      <c r="TLQ101" s="414"/>
      <c r="TLT101" s="445"/>
      <c r="TLU101" s="414"/>
      <c r="TLX101" s="445"/>
      <c r="TLY101" s="414"/>
      <c r="TMB101" s="445"/>
      <c r="TMC101" s="414"/>
      <c r="TMF101" s="445"/>
      <c r="TMG101" s="414"/>
      <c r="TMJ101" s="445"/>
      <c r="TMK101" s="414"/>
      <c r="TMN101" s="445"/>
      <c r="TMO101" s="414"/>
      <c r="TMR101" s="445"/>
      <c r="TMS101" s="414"/>
      <c r="TMV101" s="445"/>
      <c r="TMW101" s="414"/>
      <c r="TMZ101" s="445"/>
      <c r="TNA101" s="414"/>
      <c r="TND101" s="445"/>
      <c r="TNE101" s="414"/>
      <c r="TNH101" s="445"/>
      <c r="TNI101" s="414"/>
      <c r="TNL101" s="445"/>
      <c r="TNM101" s="414"/>
      <c r="TNP101" s="445"/>
      <c r="TNQ101" s="414"/>
      <c r="TNT101" s="445"/>
      <c r="TNU101" s="414"/>
      <c r="TNX101" s="445"/>
      <c r="TNY101" s="414"/>
      <c r="TOB101" s="445"/>
      <c r="TOC101" s="414"/>
      <c r="TOF101" s="445"/>
      <c r="TOG101" s="414"/>
      <c r="TOJ101" s="445"/>
      <c r="TOK101" s="414"/>
      <c r="TON101" s="445"/>
      <c r="TOO101" s="414"/>
      <c r="TOR101" s="445"/>
      <c r="TOS101" s="414"/>
      <c r="TOV101" s="445"/>
      <c r="TOW101" s="414"/>
      <c r="TOZ101" s="445"/>
      <c r="TPA101" s="414"/>
      <c r="TPD101" s="445"/>
      <c r="TPE101" s="414"/>
      <c r="TPH101" s="445"/>
      <c r="TPI101" s="414"/>
      <c r="TPL101" s="445"/>
      <c r="TPM101" s="414"/>
      <c r="TPP101" s="445"/>
      <c r="TPQ101" s="414"/>
      <c r="TPT101" s="445"/>
      <c r="TPU101" s="414"/>
      <c r="TPX101" s="445"/>
      <c r="TPY101" s="414"/>
      <c r="TQB101" s="445"/>
      <c r="TQC101" s="414"/>
      <c r="TQF101" s="445"/>
      <c r="TQG101" s="414"/>
      <c r="TQJ101" s="445"/>
      <c r="TQK101" s="414"/>
      <c r="TQN101" s="445"/>
      <c r="TQO101" s="414"/>
      <c r="TQR101" s="445"/>
      <c r="TQS101" s="414"/>
      <c r="TQV101" s="445"/>
      <c r="TQW101" s="414"/>
      <c r="TQZ101" s="445"/>
      <c r="TRA101" s="414"/>
      <c r="TRD101" s="445"/>
      <c r="TRE101" s="414"/>
      <c r="TRH101" s="445"/>
      <c r="TRI101" s="414"/>
      <c r="TRL101" s="445"/>
      <c r="TRM101" s="414"/>
      <c r="TRP101" s="445"/>
      <c r="TRQ101" s="414"/>
      <c r="TRT101" s="445"/>
      <c r="TRU101" s="414"/>
      <c r="TRX101" s="445"/>
      <c r="TRY101" s="414"/>
      <c r="TSB101" s="445"/>
      <c r="TSC101" s="414"/>
      <c r="TSF101" s="445"/>
      <c r="TSG101" s="414"/>
      <c r="TSJ101" s="445"/>
      <c r="TSK101" s="414"/>
      <c r="TSN101" s="445"/>
      <c r="TSO101" s="414"/>
      <c r="TSR101" s="445"/>
      <c r="TSS101" s="414"/>
      <c r="TSV101" s="445"/>
      <c r="TSW101" s="414"/>
      <c r="TSZ101" s="445"/>
      <c r="TTA101" s="414"/>
      <c r="TTD101" s="445"/>
      <c r="TTE101" s="414"/>
      <c r="TTH101" s="445"/>
      <c r="TTI101" s="414"/>
      <c r="TTL101" s="445"/>
      <c r="TTM101" s="414"/>
      <c r="TTP101" s="445"/>
      <c r="TTQ101" s="414"/>
      <c r="TTT101" s="445"/>
      <c r="TTU101" s="414"/>
      <c r="TTX101" s="445"/>
      <c r="TTY101" s="414"/>
      <c r="TUB101" s="445"/>
      <c r="TUC101" s="414"/>
      <c r="TUF101" s="445"/>
      <c r="TUG101" s="414"/>
      <c r="TUJ101" s="445"/>
      <c r="TUK101" s="414"/>
      <c r="TUN101" s="445"/>
      <c r="TUO101" s="414"/>
      <c r="TUR101" s="445"/>
      <c r="TUS101" s="414"/>
      <c r="TUV101" s="445"/>
      <c r="TUW101" s="414"/>
      <c r="TUZ101" s="445"/>
      <c r="TVA101" s="414"/>
      <c r="TVD101" s="445"/>
      <c r="TVE101" s="414"/>
      <c r="TVH101" s="445"/>
      <c r="TVI101" s="414"/>
      <c r="TVL101" s="445"/>
      <c r="TVM101" s="414"/>
      <c r="TVP101" s="445"/>
      <c r="TVQ101" s="414"/>
      <c r="TVT101" s="445"/>
      <c r="TVU101" s="414"/>
      <c r="TVX101" s="445"/>
      <c r="TVY101" s="414"/>
      <c r="TWB101" s="445"/>
      <c r="TWC101" s="414"/>
      <c r="TWF101" s="445"/>
      <c r="TWG101" s="414"/>
      <c r="TWJ101" s="445"/>
      <c r="TWK101" s="414"/>
      <c r="TWN101" s="445"/>
      <c r="TWO101" s="414"/>
      <c r="TWR101" s="445"/>
      <c r="TWS101" s="414"/>
      <c r="TWV101" s="445"/>
      <c r="TWW101" s="414"/>
      <c r="TWZ101" s="445"/>
      <c r="TXA101" s="414"/>
      <c r="TXD101" s="445"/>
      <c r="TXE101" s="414"/>
      <c r="TXH101" s="445"/>
      <c r="TXI101" s="414"/>
      <c r="TXL101" s="445"/>
      <c r="TXM101" s="414"/>
      <c r="TXP101" s="445"/>
      <c r="TXQ101" s="414"/>
      <c r="TXT101" s="445"/>
      <c r="TXU101" s="414"/>
      <c r="TXX101" s="445"/>
      <c r="TXY101" s="414"/>
      <c r="TYB101" s="445"/>
      <c r="TYC101" s="414"/>
      <c r="TYF101" s="445"/>
      <c r="TYG101" s="414"/>
      <c r="TYJ101" s="445"/>
      <c r="TYK101" s="414"/>
      <c r="TYN101" s="445"/>
      <c r="TYO101" s="414"/>
      <c r="TYR101" s="445"/>
      <c r="TYS101" s="414"/>
      <c r="TYV101" s="445"/>
      <c r="TYW101" s="414"/>
      <c r="TYZ101" s="445"/>
      <c r="TZA101" s="414"/>
      <c r="TZD101" s="445"/>
      <c r="TZE101" s="414"/>
      <c r="TZH101" s="445"/>
      <c r="TZI101" s="414"/>
      <c r="TZL101" s="445"/>
      <c r="TZM101" s="414"/>
      <c r="TZP101" s="445"/>
      <c r="TZQ101" s="414"/>
      <c r="TZT101" s="445"/>
      <c r="TZU101" s="414"/>
      <c r="TZX101" s="445"/>
      <c r="TZY101" s="414"/>
      <c r="UAB101" s="445"/>
      <c r="UAC101" s="414"/>
      <c r="UAF101" s="445"/>
      <c r="UAG101" s="414"/>
      <c r="UAJ101" s="445"/>
      <c r="UAK101" s="414"/>
      <c r="UAN101" s="445"/>
      <c r="UAO101" s="414"/>
      <c r="UAR101" s="445"/>
      <c r="UAS101" s="414"/>
      <c r="UAV101" s="445"/>
      <c r="UAW101" s="414"/>
      <c r="UAZ101" s="445"/>
      <c r="UBA101" s="414"/>
      <c r="UBD101" s="445"/>
      <c r="UBE101" s="414"/>
      <c r="UBH101" s="445"/>
      <c r="UBI101" s="414"/>
      <c r="UBL101" s="445"/>
      <c r="UBM101" s="414"/>
      <c r="UBP101" s="445"/>
      <c r="UBQ101" s="414"/>
      <c r="UBT101" s="445"/>
      <c r="UBU101" s="414"/>
      <c r="UBX101" s="445"/>
      <c r="UBY101" s="414"/>
      <c r="UCB101" s="445"/>
      <c r="UCC101" s="414"/>
      <c r="UCF101" s="445"/>
      <c r="UCG101" s="414"/>
      <c r="UCJ101" s="445"/>
      <c r="UCK101" s="414"/>
      <c r="UCN101" s="445"/>
      <c r="UCO101" s="414"/>
      <c r="UCR101" s="445"/>
      <c r="UCS101" s="414"/>
      <c r="UCV101" s="445"/>
      <c r="UCW101" s="414"/>
      <c r="UCZ101" s="445"/>
      <c r="UDA101" s="414"/>
      <c r="UDD101" s="445"/>
      <c r="UDE101" s="414"/>
      <c r="UDH101" s="445"/>
      <c r="UDI101" s="414"/>
      <c r="UDL101" s="445"/>
      <c r="UDM101" s="414"/>
      <c r="UDP101" s="445"/>
      <c r="UDQ101" s="414"/>
      <c r="UDT101" s="445"/>
      <c r="UDU101" s="414"/>
      <c r="UDX101" s="445"/>
      <c r="UDY101" s="414"/>
      <c r="UEB101" s="445"/>
      <c r="UEC101" s="414"/>
      <c r="UEF101" s="445"/>
      <c r="UEG101" s="414"/>
      <c r="UEJ101" s="445"/>
      <c r="UEK101" s="414"/>
      <c r="UEN101" s="445"/>
      <c r="UEO101" s="414"/>
      <c r="UER101" s="445"/>
      <c r="UES101" s="414"/>
      <c r="UEV101" s="445"/>
      <c r="UEW101" s="414"/>
      <c r="UEZ101" s="445"/>
      <c r="UFA101" s="414"/>
      <c r="UFD101" s="445"/>
      <c r="UFE101" s="414"/>
      <c r="UFH101" s="445"/>
      <c r="UFI101" s="414"/>
      <c r="UFL101" s="445"/>
      <c r="UFM101" s="414"/>
      <c r="UFP101" s="445"/>
      <c r="UFQ101" s="414"/>
      <c r="UFT101" s="445"/>
      <c r="UFU101" s="414"/>
      <c r="UFX101" s="445"/>
      <c r="UFY101" s="414"/>
      <c r="UGB101" s="445"/>
      <c r="UGC101" s="414"/>
      <c r="UGF101" s="445"/>
      <c r="UGG101" s="414"/>
      <c r="UGJ101" s="445"/>
      <c r="UGK101" s="414"/>
      <c r="UGN101" s="445"/>
      <c r="UGO101" s="414"/>
      <c r="UGR101" s="445"/>
      <c r="UGS101" s="414"/>
      <c r="UGV101" s="445"/>
      <c r="UGW101" s="414"/>
      <c r="UGZ101" s="445"/>
      <c r="UHA101" s="414"/>
      <c r="UHD101" s="445"/>
      <c r="UHE101" s="414"/>
      <c r="UHH101" s="445"/>
      <c r="UHI101" s="414"/>
      <c r="UHL101" s="445"/>
      <c r="UHM101" s="414"/>
      <c r="UHP101" s="445"/>
      <c r="UHQ101" s="414"/>
      <c r="UHT101" s="445"/>
      <c r="UHU101" s="414"/>
      <c r="UHX101" s="445"/>
      <c r="UHY101" s="414"/>
      <c r="UIB101" s="445"/>
      <c r="UIC101" s="414"/>
      <c r="UIF101" s="445"/>
      <c r="UIG101" s="414"/>
      <c r="UIJ101" s="445"/>
      <c r="UIK101" s="414"/>
      <c r="UIN101" s="445"/>
      <c r="UIO101" s="414"/>
      <c r="UIR101" s="445"/>
      <c r="UIS101" s="414"/>
      <c r="UIV101" s="445"/>
      <c r="UIW101" s="414"/>
      <c r="UIZ101" s="445"/>
      <c r="UJA101" s="414"/>
      <c r="UJD101" s="445"/>
      <c r="UJE101" s="414"/>
      <c r="UJH101" s="445"/>
      <c r="UJI101" s="414"/>
      <c r="UJL101" s="445"/>
      <c r="UJM101" s="414"/>
      <c r="UJP101" s="445"/>
      <c r="UJQ101" s="414"/>
      <c r="UJT101" s="445"/>
      <c r="UJU101" s="414"/>
      <c r="UJX101" s="445"/>
      <c r="UJY101" s="414"/>
      <c r="UKB101" s="445"/>
      <c r="UKC101" s="414"/>
      <c r="UKF101" s="445"/>
      <c r="UKG101" s="414"/>
      <c r="UKJ101" s="445"/>
      <c r="UKK101" s="414"/>
      <c r="UKN101" s="445"/>
      <c r="UKO101" s="414"/>
      <c r="UKR101" s="445"/>
      <c r="UKS101" s="414"/>
      <c r="UKV101" s="445"/>
      <c r="UKW101" s="414"/>
      <c r="UKZ101" s="445"/>
      <c r="ULA101" s="414"/>
      <c r="ULD101" s="445"/>
      <c r="ULE101" s="414"/>
      <c r="ULH101" s="445"/>
      <c r="ULI101" s="414"/>
      <c r="ULL101" s="445"/>
      <c r="ULM101" s="414"/>
      <c r="ULP101" s="445"/>
      <c r="ULQ101" s="414"/>
      <c r="ULT101" s="445"/>
      <c r="ULU101" s="414"/>
      <c r="ULX101" s="445"/>
      <c r="ULY101" s="414"/>
      <c r="UMB101" s="445"/>
      <c r="UMC101" s="414"/>
      <c r="UMF101" s="445"/>
      <c r="UMG101" s="414"/>
      <c r="UMJ101" s="445"/>
      <c r="UMK101" s="414"/>
      <c r="UMN101" s="445"/>
      <c r="UMO101" s="414"/>
      <c r="UMR101" s="445"/>
      <c r="UMS101" s="414"/>
      <c r="UMV101" s="445"/>
      <c r="UMW101" s="414"/>
      <c r="UMZ101" s="445"/>
      <c r="UNA101" s="414"/>
      <c r="UND101" s="445"/>
      <c r="UNE101" s="414"/>
      <c r="UNH101" s="445"/>
      <c r="UNI101" s="414"/>
      <c r="UNL101" s="445"/>
      <c r="UNM101" s="414"/>
      <c r="UNP101" s="445"/>
      <c r="UNQ101" s="414"/>
      <c r="UNT101" s="445"/>
      <c r="UNU101" s="414"/>
      <c r="UNX101" s="445"/>
      <c r="UNY101" s="414"/>
      <c r="UOB101" s="445"/>
      <c r="UOC101" s="414"/>
      <c r="UOF101" s="445"/>
      <c r="UOG101" s="414"/>
      <c r="UOJ101" s="445"/>
      <c r="UOK101" s="414"/>
      <c r="UON101" s="445"/>
      <c r="UOO101" s="414"/>
      <c r="UOR101" s="445"/>
      <c r="UOS101" s="414"/>
      <c r="UOV101" s="445"/>
      <c r="UOW101" s="414"/>
      <c r="UOZ101" s="445"/>
      <c r="UPA101" s="414"/>
      <c r="UPD101" s="445"/>
      <c r="UPE101" s="414"/>
      <c r="UPH101" s="445"/>
      <c r="UPI101" s="414"/>
      <c r="UPL101" s="445"/>
      <c r="UPM101" s="414"/>
      <c r="UPP101" s="445"/>
      <c r="UPQ101" s="414"/>
      <c r="UPT101" s="445"/>
      <c r="UPU101" s="414"/>
      <c r="UPX101" s="445"/>
      <c r="UPY101" s="414"/>
      <c r="UQB101" s="445"/>
      <c r="UQC101" s="414"/>
      <c r="UQF101" s="445"/>
      <c r="UQG101" s="414"/>
      <c r="UQJ101" s="445"/>
      <c r="UQK101" s="414"/>
      <c r="UQN101" s="445"/>
      <c r="UQO101" s="414"/>
      <c r="UQR101" s="445"/>
      <c r="UQS101" s="414"/>
      <c r="UQV101" s="445"/>
      <c r="UQW101" s="414"/>
      <c r="UQZ101" s="445"/>
      <c r="URA101" s="414"/>
      <c r="URD101" s="445"/>
      <c r="URE101" s="414"/>
      <c r="URH101" s="445"/>
      <c r="URI101" s="414"/>
      <c r="URL101" s="445"/>
      <c r="URM101" s="414"/>
      <c r="URP101" s="445"/>
      <c r="URQ101" s="414"/>
      <c r="URT101" s="445"/>
      <c r="URU101" s="414"/>
      <c r="URX101" s="445"/>
      <c r="URY101" s="414"/>
      <c r="USB101" s="445"/>
      <c r="USC101" s="414"/>
      <c r="USF101" s="445"/>
      <c r="USG101" s="414"/>
      <c r="USJ101" s="445"/>
      <c r="USK101" s="414"/>
      <c r="USN101" s="445"/>
      <c r="USO101" s="414"/>
      <c r="USR101" s="445"/>
      <c r="USS101" s="414"/>
      <c r="USV101" s="445"/>
      <c r="USW101" s="414"/>
      <c r="USZ101" s="445"/>
      <c r="UTA101" s="414"/>
      <c r="UTD101" s="445"/>
      <c r="UTE101" s="414"/>
      <c r="UTH101" s="445"/>
      <c r="UTI101" s="414"/>
      <c r="UTL101" s="445"/>
      <c r="UTM101" s="414"/>
      <c r="UTP101" s="445"/>
      <c r="UTQ101" s="414"/>
      <c r="UTT101" s="445"/>
      <c r="UTU101" s="414"/>
      <c r="UTX101" s="445"/>
      <c r="UTY101" s="414"/>
      <c r="UUB101" s="445"/>
      <c r="UUC101" s="414"/>
      <c r="UUF101" s="445"/>
      <c r="UUG101" s="414"/>
      <c r="UUJ101" s="445"/>
      <c r="UUK101" s="414"/>
      <c r="UUN101" s="445"/>
      <c r="UUO101" s="414"/>
      <c r="UUR101" s="445"/>
      <c r="UUS101" s="414"/>
      <c r="UUV101" s="445"/>
      <c r="UUW101" s="414"/>
      <c r="UUZ101" s="445"/>
      <c r="UVA101" s="414"/>
      <c r="UVD101" s="445"/>
      <c r="UVE101" s="414"/>
      <c r="UVH101" s="445"/>
      <c r="UVI101" s="414"/>
      <c r="UVL101" s="445"/>
      <c r="UVM101" s="414"/>
      <c r="UVP101" s="445"/>
      <c r="UVQ101" s="414"/>
      <c r="UVT101" s="445"/>
      <c r="UVU101" s="414"/>
      <c r="UVX101" s="445"/>
      <c r="UVY101" s="414"/>
      <c r="UWB101" s="445"/>
      <c r="UWC101" s="414"/>
      <c r="UWF101" s="445"/>
      <c r="UWG101" s="414"/>
      <c r="UWJ101" s="445"/>
      <c r="UWK101" s="414"/>
      <c r="UWN101" s="445"/>
      <c r="UWO101" s="414"/>
      <c r="UWR101" s="445"/>
      <c r="UWS101" s="414"/>
      <c r="UWV101" s="445"/>
      <c r="UWW101" s="414"/>
      <c r="UWZ101" s="445"/>
      <c r="UXA101" s="414"/>
      <c r="UXD101" s="445"/>
      <c r="UXE101" s="414"/>
      <c r="UXH101" s="445"/>
      <c r="UXI101" s="414"/>
      <c r="UXL101" s="445"/>
      <c r="UXM101" s="414"/>
      <c r="UXP101" s="445"/>
      <c r="UXQ101" s="414"/>
      <c r="UXT101" s="445"/>
      <c r="UXU101" s="414"/>
      <c r="UXX101" s="445"/>
      <c r="UXY101" s="414"/>
      <c r="UYB101" s="445"/>
      <c r="UYC101" s="414"/>
      <c r="UYF101" s="445"/>
      <c r="UYG101" s="414"/>
      <c r="UYJ101" s="445"/>
      <c r="UYK101" s="414"/>
      <c r="UYN101" s="445"/>
      <c r="UYO101" s="414"/>
      <c r="UYR101" s="445"/>
      <c r="UYS101" s="414"/>
      <c r="UYV101" s="445"/>
      <c r="UYW101" s="414"/>
      <c r="UYZ101" s="445"/>
      <c r="UZA101" s="414"/>
      <c r="UZD101" s="445"/>
      <c r="UZE101" s="414"/>
      <c r="UZH101" s="445"/>
      <c r="UZI101" s="414"/>
      <c r="UZL101" s="445"/>
      <c r="UZM101" s="414"/>
      <c r="UZP101" s="445"/>
      <c r="UZQ101" s="414"/>
      <c r="UZT101" s="445"/>
      <c r="UZU101" s="414"/>
      <c r="UZX101" s="445"/>
      <c r="UZY101" s="414"/>
      <c r="VAB101" s="445"/>
      <c r="VAC101" s="414"/>
      <c r="VAF101" s="445"/>
      <c r="VAG101" s="414"/>
      <c r="VAJ101" s="445"/>
      <c r="VAK101" s="414"/>
      <c r="VAN101" s="445"/>
      <c r="VAO101" s="414"/>
      <c r="VAR101" s="445"/>
      <c r="VAS101" s="414"/>
      <c r="VAV101" s="445"/>
      <c r="VAW101" s="414"/>
      <c r="VAZ101" s="445"/>
      <c r="VBA101" s="414"/>
      <c r="VBD101" s="445"/>
      <c r="VBE101" s="414"/>
      <c r="VBH101" s="445"/>
      <c r="VBI101" s="414"/>
      <c r="VBL101" s="445"/>
      <c r="VBM101" s="414"/>
      <c r="VBP101" s="445"/>
      <c r="VBQ101" s="414"/>
      <c r="VBT101" s="445"/>
      <c r="VBU101" s="414"/>
      <c r="VBX101" s="445"/>
      <c r="VBY101" s="414"/>
      <c r="VCB101" s="445"/>
      <c r="VCC101" s="414"/>
      <c r="VCF101" s="445"/>
      <c r="VCG101" s="414"/>
      <c r="VCJ101" s="445"/>
      <c r="VCK101" s="414"/>
      <c r="VCN101" s="445"/>
      <c r="VCO101" s="414"/>
      <c r="VCR101" s="445"/>
      <c r="VCS101" s="414"/>
      <c r="VCV101" s="445"/>
      <c r="VCW101" s="414"/>
      <c r="VCZ101" s="445"/>
      <c r="VDA101" s="414"/>
      <c r="VDD101" s="445"/>
      <c r="VDE101" s="414"/>
      <c r="VDH101" s="445"/>
      <c r="VDI101" s="414"/>
      <c r="VDL101" s="445"/>
      <c r="VDM101" s="414"/>
      <c r="VDP101" s="445"/>
      <c r="VDQ101" s="414"/>
      <c r="VDT101" s="445"/>
      <c r="VDU101" s="414"/>
      <c r="VDX101" s="445"/>
      <c r="VDY101" s="414"/>
      <c r="VEB101" s="445"/>
      <c r="VEC101" s="414"/>
      <c r="VEF101" s="445"/>
      <c r="VEG101" s="414"/>
      <c r="VEJ101" s="445"/>
      <c r="VEK101" s="414"/>
      <c r="VEN101" s="445"/>
      <c r="VEO101" s="414"/>
      <c r="VER101" s="445"/>
      <c r="VES101" s="414"/>
      <c r="VEV101" s="445"/>
      <c r="VEW101" s="414"/>
      <c r="VEZ101" s="445"/>
      <c r="VFA101" s="414"/>
      <c r="VFD101" s="445"/>
      <c r="VFE101" s="414"/>
      <c r="VFH101" s="445"/>
      <c r="VFI101" s="414"/>
      <c r="VFL101" s="445"/>
      <c r="VFM101" s="414"/>
      <c r="VFP101" s="445"/>
      <c r="VFQ101" s="414"/>
      <c r="VFT101" s="445"/>
      <c r="VFU101" s="414"/>
      <c r="VFX101" s="445"/>
      <c r="VFY101" s="414"/>
      <c r="VGB101" s="445"/>
      <c r="VGC101" s="414"/>
      <c r="VGF101" s="445"/>
      <c r="VGG101" s="414"/>
      <c r="VGJ101" s="445"/>
      <c r="VGK101" s="414"/>
      <c r="VGN101" s="445"/>
      <c r="VGO101" s="414"/>
      <c r="VGR101" s="445"/>
      <c r="VGS101" s="414"/>
      <c r="VGV101" s="445"/>
      <c r="VGW101" s="414"/>
      <c r="VGZ101" s="445"/>
      <c r="VHA101" s="414"/>
      <c r="VHD101" s="445"/>
      <c r="VHE101" s="414"/>
      <c r="VHH101" s="445"/>
      <c r="VHI101" s="414"/>
      <c r="VHL101" s="445"/>
      <c r="VHM101" s="414"/>
      <c r="VHP101" s="445"/>
      <c r="VHQ101" s="414"/>
      <c r="VHT101" s="445"/>
      <c r="VHU101" s="414"/>
      <c r="VHX101" s="445"/>
      <c r="VHY101" s="414"/>
      <c r="VIB101" s="445"/>
      <c r="VIC101" s="414"/>
      <c r="VIF101" s="445"/>
      <c r="VIG101" s="414"/>
      <c r="VIJ101" s="445"/>
      <c r="VIK101" s="414"/>
      <c r="VIN101" s="445"/>
      <c r="VIO101" s="414"/>
      <c r="VIR101" s="445"/>
      <c r="VIS101" s="414"/>
      <c r="VIV101" s="445"/>
      <c r="VIW101" s="414"/>
      <c r="VIZ101" s="445"/>
      <c r="VJA101" s="414"/>
      <c r="VJD101" s="445"/>
      <c r="VJE101" s="414"/>
      <c r="VJH101" s="445"/>
      <c r="VJI101" s="414"/>
      <c r="VJL101" s="445"/>
      <c r="VJM101" s="414"/>
      <c r="VJP101" s="445"/>
      <c r="VJQ101" s="414"/>
      <c r="VJT101" s="445"/>
      <c r="VJU101" s="414"/>
      <c r="VJX101" s="445"/>
      <c r="VJY101" s="414"/>
      <c r="VKB101" s="445"/>
      <c r="VKC101" s="414"/>
      <c r="VKF101" s="445"/>
      <c r="VKG101" s="414"/>
      <c r="VKJ101" s="445"/>
      <c r="VKK101" s="414"/>
      <c r="VKN101" s="445"/>
      <c r="VKO101" s="414"/>
      <c r="VKR101" s="445"/>
      <c r="VKS101" s="414"/>
      <c r="VKV101" s="445"/>
      <c r="VKW101" s="414"/>
      <c r="VKZ101" s="445"/>
      <c r="VLA101" s="414"/>
      <c r="VLD101" s="445"/>
      <c r="VLE101" s="414"/>
      <c r="VLH101" s="445"/>
      <c r="VLI101" s="414"/>
      <c r="VLL101" s="445"/>
      <c r="VLM101" s="414"/>
      <c r="VLP101" s="445"/>
      <c r="VLQ101" s="414"/>
      <c r="VLT101" s="445"/>
      <c r="VLU101" s="414"/>
      <c r="VLX101" s="445"/>
      <c r="VLY101" s="414"/>
      <c r="VMB101" s="445"/>
      <c r="VMC101" s="414"/>
      <c r="VMF101" s="445"/>
      <c r="VMG101" s="414"/>
      <c r="VMJ101" s="445"/>
      <c r="VMK101" s="414"/>
      <c r="VMN101" s="445"/>
      <c r="VMO101" s="414"/>
      <c r="VMR101" s="445"/>
      <c r="VMS101" s="414"/>
      <c r="VMV101" s="445"/>
      <c r="VMW101" s="414"/>
      <c r="VMZ101" s="445"/>
      <c r="VNA101" s="414"/>
      <c r="VND101" s="445"/>
      <c r="VNE101" s="414"/>
      <c r="VNH101" s="445"/>
      <c r="VNI101" s="414"/>
      <c r="VNL101" s="445"/>
      <c r="VNM101" s="414"/>
      <c r="VNP101" s="445"/>
      <c r="VNQ101" s="414"/>
      <c r="VNT101" s="445"/>
      <c r="VNU101" s="414"/>
      <c r="VNX101" s="445"/>
      <c r="VNY101" s="414"/>
      <c r="VOB101" s="445"/>
      <c r="VOC101" s="414"/>
      <c r="VOF101" s="445"/>
      <c r="VOG101" s="414"/>
      <c r="VOJ101" s="445"/>
      <c r="VOK101" s="414"/>
      <c r="VON101" s="445"/>
      <c r="VOO101" s="414"/>
      <c r="VOR101" s="445"/>
      <c r="VOS101" s="414"/>
      <c r="VOV101" s="445"/>
      <c r="VOW101" s="414"/>
      <c r="VOZ101" s="445"/>
      <c r="VPA101" s="414"/>
      <c r="VPD101" s="445"/>
      <c r="VPE101" s="414"/>
      <c r="VPH101" s="445"/>
      <c r="VPI101" s="414"/>
      <c r="VPL101" s="445"/>
      <c r="VPM101" s="414"/>
      <c r="VPP101" s="445"/>
      <c r="VPQ101" s="414"/>
      <c r="VPT101" s="445"/>
      <c r="VPU101" s="414"/>
      <c r="VPX101" s="445"/>
      <c r="VPY101" s="414"/>
      <c r="VQB101" s="445"/>
      <c r="VQC101" s="414"/>
      <c r="VQF101" s="445"/>
      <c r="VQG101" s="414"/>
      <c r="VQJ101" s="445"/>
      <c r="VQK101" s="414"/>
      <c r="VQN101" s="445"/>
      <c r="VQO101" s="414"/>
      <c r="VQR101" s="445"/>
      <c r="VQS101" s="414"/>
      <c r="VQV101" s="445"/>
      <c r="VQW101" s="414"/>
      <c r="VQZ101" s="445"/>
      <c r="VRA101" s="414"/>
      <c r="VRD101" s="445"/>
      <c r="VRE101" s="414"/>
      <c r="VRH101" s="445"/>
      <c r="VRI101" s="414"/>
      <c r="VRL101" s="445"/>
      <c r="VRM101" s="414"/>
      <c r="VRP101" s="445"/>
      <c r="VRQ101" s="414"/>
      <c r="VRT101" s="445"/>
      <c r="VRU101" s="414"/>
      <c r="VRX101" s="445"/>
      <c r="VRY101" s="414"/>
      <c r="VSB101" s="445"/>
      <c r="VSC101" s="414"/>
      <c r="VSF101" s="445"/>
      <c r="VSG101" s="414"/>
      <c r="VSJ101" s="445"/>
      <c r="VSK101" s="414"/>
      <c r="VSN101" s="445"/>
      <c r="VSO101" s="414"/>
      <c r="VSR101" s="445"/>
      <c r="VSS101" s="414"/>
      <c r="VSV101" s="445"/>
      <c r="VSW101" s="414"/>
      <c r="VSZ101" s="445"/>
      <c r="VTA101" s="414"/>
      <c r="VTD101" s="445"/>
      <c r="VTE101" s="414"/>
      <c r="VTH101" s="445"/>
      <c r="VTI101" s="414"/>
      <c r="VTL101" s="445"/>
      <c r="VTM101" s="414"/>
      <c r="VTP101" s="445"/>
      <c r="VTQ101" s="414"/>
      <c r="VTT101" s="445"/>
      <c r="VTU101" s="414"/>
      <c r="VTX101" s="445"/>
      <c r="VTY101" s="414"/>
      <c r="VUB101" s="445"/>
      <c r="VUC101" s="414"/>
      <c r="VUF101" s="445"/>
      <c r="VUG101" s="414"/>
      <c r="VUJ101" s="445"/>
      <c r="VUK101" s="414"/>
      <c r="VUN101" s="445"/>
      <c r="VUO101" s="414"/>
      <c r="VUR101" s="445"/>
      <c r="VUS101" s="414"/>
      <c r="VUV101" s="445"/>
      <c r="VUW101" s="414"/>
      <c r="VUZ101" s="445"/>
      <c r="VVA101" s="414"/>
      <c r="VVD101" s="445"/>
      <c r="VVE101" s="414"/>
      <c r="VVH101" s="445"/>
      <c r="VVI101" s="414"/>
      <c r="VVL101" s="445"/>
      <c r="VVM101" s="414"/>
      <c r="VVP101" s="445"/>
      <c r="VVQ101" s="414"/>
      <c r="VVT101" s="445"/>
      <c r="VVU101" s="414"/>
      <c r="VVX101" s="445"/>
      <c r="VVY101" s="414"/>
      <c r="VWB101" s="445"/>
      <c r="VWC101" s="414"/>
      <c r="VWF101" s="445"/>
      <c r="VWG101" s="414"/>
      <c r="VWJ101" s="445"/>
      <c r="VWK101" s="414"/>
      <c r="VWN101" s="445"/>
      <c r="VWO101" s="414"/>
      <c r="VWR101" s="445"/>
      <c r="VWS101" s="414"/>
      <c r="VWV101" s="445"/>
      <c r="VWW101" s="414"/>
      <c r="VWZ101" s="445"/>
      <c r="VXA101" s="414"/>
      <c r="VXD101" s="445"/>
      <c r="VXE101" s="414"/>
      <c r="VXH101" s="445"/>
      <c r="VXI101" s="414"/>
      <c r="VXL101" s="445"/>
      <c r="VXM101" s="414"/>
      <c r="VXP101" s="445"/>
      <c r="VXQ101" s="414"/>
      <c r="VXT101" s="445"/>
      <c r="VXU101" s="414"/>
      <c r="VXX101" s="445"/>
      <c r="VXY101" s="414"/>
      <c r="VYB101" s="445"/>
      <c r="VYC101" s="414"/>
      <c r="VYF101" s="445"/>
      <c r="VYG101" s="414"/>
      <c r="VYJ101" s="445"/>
      <c r="VYK101" s="414"/>
      <c r="VYN101" s="445"/>
      <c r="VYO101" s="414"/>
      <c r="VYR101" s="445"/>
      <c r="VYS101" s="414"/>
      <c r="VYV101" s="445"/>
      <c r="VYW101" s="414"/>
      <c r="VYZ101" s="445"/>
      <c r="VZA101" s="414"/>
      <c r="VZD101" s="445"/>
      <c r="VZE101" s="414"/>
      <c r="VZH101" s="445"/>
      <c r="VZI101" s="414"/>
      <c r="VZL101" s="445"/>
      <c r="VZM101" s="414"/>
      <c r="VZP101" s="445"/>
      <c r="VZQ101" s="414"/>
      <c r="VZT101" s="445"/>
      <c r="VZU101" s="414"/>
      <c r="VZX101" s="445"/>
      <c r="VZY101" s="414"/>
      <c r="WAB101" s="445"/>
      <c r="WAC101" s="414"/>
      <c r="WAF101" s="445"/>
      <c r="WAG101" s="414"/>
      <c r="WAJ101" s="445"/>
      <c r="WAK101" s="414"/>
      <c r="WAN101" s="445"/>
      <c r="WAO101" s="414"/>
      <c r="WAR101" s="445"/>
      <c r="WAS101" s="414"/>
      <c r="WAV101" s="445"/>
      <c r="WAW101" s="414"/>
      <c r="WAZ101" s="445"/>
      <c r="WBA101" s="414"/>
      <c r="WBD101" s="445"/>
      <c r="WBE101" s="414"/>
      <c r="WBH101" s="445"/>
      <c r="WBI101" s="414"/>
      <c r="WBL101" s="445"/>
      <c r="WBM101" s="414"/>
      <c r="WBP101" s="445"/>
      <c r="WBQ101" s="414"/>
      <c r="WBT101" s="445"/>
      <c r="WBU101" s="414"/>
      <c r="WBX101" s="445"/>
      <c r="WBY101" s="414"/>
      <c r="WCB101" s="445"/>
      <c r="WCC101" s="414"/>
      <c r="WCF101" s="445"/>
      <c r="WCG101" s="414"/>
      <c r="WCJ101" s="445"/>
      <c r="WCK101" s="414"/>
      <c r="WCN101" s="445"/>
      <c r="WCO101" s="414"/>
      <c r="WCR101" s="445"/>
      <c r="WCS101" s="414"/>
      <c r="WCV101" s="445"/>
      <c r="WCW101" s="414"/>
      <c r="WCZ101" s="445"/>
      <c r="WDA101" s="414"/>
      <c r="WDD101" s="445"/>
      <c r="WDE101" s="414"/>
      <c r="WDH101" s="445"/>
      <c r="WDI101" s="414"/>
      <c r="WDL101" s="445"/>
      <c r="WDM101" s="414"/>
      <c r="WDP101" s="445"/>
      <c r="WDQ101" s="414"/>
      <c r="WDT101" s="445"/>
      <c r="WDU101" s="414"/>
      <c r="WDX101" s="445"/>
      <c r="WDY101" s="414"/>
      <c r="WEB101" s="445"/>
      <c r="WEC101" s="414"/>
      <c r="WEF101" s="445"/>
      <c r="WEG101" s="414"/>
      <c r="WEJ101" s="445"/>
      <c r="WEK101" s="414"/>
      <c r="WEN101" s="445"/>
      <c r="WEO101" s="414"/>
      <c r="WER101" s="445"/>
      <c r="WES101" s="414"/>
      <c r="WEV101" s="445"/>
      <c r="WEW101" s="414"/>
      <c r="WEZ101" s="445"/>
      <c r="WFA101" s="414"/>
      <c r="WFD101" s="445"/>
      <c r="WFE101" s="414"/>
      <c r="WFH101" s="445"/>
      <c r="WFI101" s="414"/>
      <c r="WFL101" s="445"/>
      <c r="WFM101" s="414"/>
      <c r="WFP101" s="445"/>
      <c r="WFQ101" s="414"/>
      <c r="WFT101" s="445"/>
      <c r="WFU101" s="414"/>
      <c r="WFX101" s="445"/>
      <c r="WFY101" s="414"/>
      <c r="WGB101" s="445"/>
      <c r="WGC101" s="414"/>
      <c r="WGF101" s="445"/>
      <c r="WGG101" s="414"/>
      <c r="WGJ101" s="445"/>
      <c r="WGK101" s="414"/>
      <c r="WGN101" s="445"/>
      <c r="WGO101" s="414"/>
      <c r="WGR101" s="445"/>
      <c r="WGS101" s="414"/>
      <c r="WGV101" s="445"/>
      <c r="WGW101" s="414"/>
      <c r="WGZ101" s="445"/>
      <c r="WHA101" s="414"/>
      <c r="WHD101" s="445"/>
      <c r="WHE101" s="414"/>
      <c r="WHH101" s="445"/>
      <c r="WHI101" s="414"/>
      <c r="WHL101" s="445"/>
      <c r="WHM101" s="414"/>
      <c r="WHP101" s="445"/>
      <c r="WHQ101" s="414"/>
      <c r="WHT101" s="445"/>
      <c r="WHU101" s="414"/>
      <c r="WHX101" s="445"/>
      <c r="WHY101" s="414"/>
      <c r="WIB101" s="445"/>
      <c r="WIC101" s="414"/>
      <c r="WIF101" s="445"/>
      <c r="WIG101" s="414"/>
      <c r="WIJ101" s="445"/>
      <c r="WIK101" s="414"/>
      <c r="WIN101" s="445"/>
      <c r="WIO101" s="414"/>
      <c r="WIR101" s="445"/>
      <c r="WIS101" s="414"/>
      <c r="WIV101" s="445"/>
      <c r="WIW101" s="414"/>
      <c r="WIZ101" s="445"/>
      <c r="WJA101" s="414"/>
      <c r="WJD101" s="445"/>
      <c r="WJE101" s="414"/>
      <c r="WJH101" s="445"/>
      <c r="WJI101" s="414"/>
      <c r="WJL101" s="445"/>
      <c r="WJM101" s="414"/>
      <c r="WJP101" s="445"/>
      <c r="WJQ101" s="414"/>
      <c r="WJT101" s="445"/>
      <c r="WJU101" s="414"/>
      <c r="WJX101" s="445"/>
      <c r="WJY101" s="414"/>
      <c r="WKB101" s="445"/>
      <c r="WKC101" s="414"/>
      <c r="WKF101" s="445"/>
      <c r="WKG101" s="414"/>
      <c r="WKJ101" s="445"/>
      <c r="WKK101" s="414"/>
      <c r="WKN101" s="445"/>
      <c r="WKO101" s="414"/>
      <c r="WKR101" s="445"/>
      <c r="WKS101" s="414"/>
      <c r="WKV101" s="445"/>
      <c r="WKW101" s="414"/>
      <c r="WKZ101" s="445"/>
      <c r="WLA101" s="414"/>
      <c r="WLD101" s="445"/>
      <c r="WLE101" s="414"/>
      <c r="WLH101" s="445"/>
      <c r="WLI101" s="414"/>
      <c r="WLL101" s="445"/>
      <c r="WLM101" s="414"/>
      <c r="WLP101" s="445"/>
      <c r="WLQ101" s="414"/>
      <c r="WLT101" s="445"/>
      <c r="WLU101" s="414"/>
      <c r="WLX101" s="445"/>
      <c r="WLY101" s="414"/>
      <c r="WMB101" s="445"/>
      <c r="WMC101" s="414"/>
      <c r="WMF101" s="445"/>
      <c r="WMG101" s="414"/>
      <c r="WMJ101" s="445"/>
      <c r="WMK101" s="414"/>
      <c r="WMN101" s="445"/>
      <c r="WMO101" s="414"/>
      <c r="WMR101" s="445"/>
      <c r="WMS101" s="414"/>
      <c r="WMV101" s="445"/>
      <c r="WMW101" s="414"/>
      <c r="WMZ101" s="445"/>
      <c r="WNA101" s="414"/>
      <c r="WND101" s="445"/>
      <c r="WNE101" s="414"/>
      <c r="WNH101" s="445"/>
      <c r="WNI101" s="414"/>
      <c r="WNL101" s="445"/>
      <c r="WNM101" s="414"/>
      <c r="WNP101" s="445"/>
      <c r="WNQ101" s="414"/>
      <c r="WNT101" s="445"/>
      <c r="WNU101" s="414"/>
      <c r="WNX101" s="445"/>
      <c r="WNY101" s="414"/>
      <c r="WOB101" s="445"/>
      <c r="WOC101" s="414"/>
      <c r="WOF101" s="445"/>
      <c r="WOG101" s="414"/>
      <c r="WOJ101" s="445"/>
      <c r="WOK101" s="414"/>
      <c r="WON101" s="445"/>
      <c r="WOO101" s="414"/>
      <c r="WOR101" s="445"/>
      <c r="WOS101" s="414"/>
      <c r="WOV101" s="445"/>
      <c r="WOW101" s="414"/>
      <c r="WOZ101" s="445"/>
      <c r="WPA101" s="414"/>
      <c r="WPD101" s="445"/>
      <c r="WPE101" s="414"/>
      <c r="WPH101" s="445"/>
      <c r="WPI101" s="414"/>
      <c r="WPL101" s="445"/>
      <c r="WPM101" s="414"/>
      <c r="WPP101" s="445"/>
      <c r="WPQ101" s="414"/>
      <c r="WPT101" s="445"/>
      <c r="WPU101" s="414"/>
      <c r="WPX101" s="445"/>
      <c r="WPY101" s="414"/>
      <c r="WQB101" s="445"/>
      <c r="WQC101" s="414"/>
      <c r="WQF101" s="445"/>
      <c r="WQG101" s="414"/>
      <c r="WQJ101" s="445"/>
      <c r="WQK101" s="414"/>
      <c r="WQN101" s="445"/>
      <c r="WQO101" s="414"/>
      <c r="WQR101" s="445"/>
      <c r="WQS101" s="414"/>
      <c r="WQV101" s="445"/>
      <c r="WQW101" s="414"/>
      <c r="WQZ101" s="445"/>
      <c r="WRA101" s="414"/>
      <c r="WRD101" s="445"/>
      <c r="WRE101" s="414"/>
      <c r="WRH101" s="445"/>
      <c r="WRI101" s="414"/>
      <c r="WRL101" s="445"/>
      <c r="WRM101" s="414"/>
      <c r="WRP101" s="445"/>
      <c r="WRQ101" s="414"/>
      <c r="WRT101" s="445"/>
      <c r="WRU101" s="414"/>
      <c r="WRX101" s="445"/>
      <c r="WRY101" s="414"/>
      <c r="WSB101" s="445"/>
      <c r="WSC101" s="414"/>
      <c r="WSF101" s="445"/>
      <c r="WSG101" s="414"/>
      <c r="WSJ101" s="445"/>
      <c r="WSK101" s="414"/>
      <c r="WSN101" s="445"/>
      <c r="WSO101" s="414"/>
      <c r="WSR101" s="445"/>
      <c r="WSS101" s="414"/>
      <c r="WSV101" s="445"/>
      <c r="WSW101" s="414"/>
      <c r="WSZ101" s="445"/>
      <c r="WTA101" s="414"/>
      <c r="WTD101" s="445"/>
      <c r="WTE101" s="414"/>
      <c r="WTH101" s="445"/>
      <c r="WTI101" s="414"/>
      <c r="WTL101" s="445"/>
      <c r="WTM101" s="414"/>
      <c r="WTP101" s="445"/>
      <c r="WTQ101" s="414"/>
      <c r="WTT101" s="445"/>
      <c r="WTU101" s="414"/>
      <c r="WTX101" s="445"/>
      <c r="WTY101" s="414"/>
      <c r="WUB101" s="445"/>
      <c r="WUC101" s="414"/>
      <c r="WUF101" s="445"/>
      <c r="WUG101" s="414"/>
      <c r="WUJ101" s="445"/>
      <c r="WUK101" s="414"/>
      <c r="WUN101" s="445"/>
      <c r="WUO101" s="414"/>
      <c r="WUR101" s="445"/>
      <c r="WUS101" s="414"/>
      <c r="WUV101" s="445"/>
      <c r="WUW101" s="414"/>
      <c r="WUZ101" s="445"/>
      <c r="WVA101" s="414"/>
      <c r="WVD101" s="445"/>
      <c r="WVE101" s="414"/>
      <c r="WVH101" s="445"/>
      <c r="WVI101" s="414"/>
      <c r="WVL101" s="445"/>
      <c r="WVM101" s="414"/>
      <c r="WVP101" s="445"/>
      <c r="WVQ101" s="414"/>
      <c r="WVT101" s="445"/>
      <c r="WVU101" s="414"/>
      <c r="WVX101" s="445"/>
      <c r="WVY101" s="414"/>
      <c r="WWB101" s="445"/>
      <c r="WWC101" s="414"/>
      <c r="WWF101" s="445"/>
      <c r="WWG101" s="414"/>
      <c r="WWJ101" s="445"/>
      <c r="WWK101" s="414"/>
      <c r="WWN101" s="445"/>
      <c r="WWO101" s="414"/>
      <c r="WWR101" s="445"/>
      <c r="WWS101" s="414"/>
      <c r="WWV101" s="445"/>
      <c r="WWW101" s="414"/>
      <c r="WWZ101" s="445"/>
      <c r="WXA101" s="414"/>
      <c r="WXD101" s="445"/>
      <c r="WXE101" s="414"/>
      <c r="WXH101" s="445"/>
      <c r="WXI101" s="414"/>
      <c r="WXL101" s="445"/>
      <c r="WXM101" s="414"/>
      <c r="WXP101" s="445"/>
      <c r="WXQ101" s="414"/>
      <c r="WXT101" s="445"/>
      <c r="WXU101" s="414"/>
      <c r="WXX101" s="445"/>
      <c r="WXY101" s="414"/>
      <c r="WYB101" s="445"/>
      <c r="WYC101" s="414"/>
      <c r="WYF101" s="445"/>
      <c r="WYG101" s="414"/>
      <c r="WYJ101" s="445"/>
      <c r="WYK101" s="414"/>
      <c r="WYN101" s="445"/>
      <c r="WYO101" s="414"/>
      <c r="WYR101" s="445"/>
      <c r="WYS101" s="414"/>
      <c r="WYV101" s="445"/>
      <c r="WYW101" s="414"/>
      <c r="WYZ101" s="445"/>
      <c r="WZA101" s="414"/>
      <c r="WZD101" s="445"/>
      <c r="WZE101" s="414"/>
      <c r="WZH101" s="445"/>
      <c r="WZI101" s="414"/>
      <c r="WZL101" s="445"/>
      <c r="WZM101" s="414"/>
      <c r="WZP101" s="445"/>
      <c r="WZQ101" s="414"/>
      <c r="WZT101" s="445"/>
      <c r="WZU101" s="414"/>
      <c r="WZX101" s="445"/>
      <c r="WZY101" s="414"/>
      <c r="XAB101" s="445"/>
      <c r="XAC101" s="414"/>
      <c r="XAF101" s="445"/>
      <c r="XAG101" s="414"/>
      <c r="XAJ101" s="445"/>
      <c r="XAK101" s="414"/>
      <c r="XAN101" s="445"/>
      <c r="XAO101" s="414"/>
      <c r="XAR101" s="445"/>
      <c r="XAS101" s="414"/>
      <c r="XAV101" s="445"/>
      <c r="XAW101" s="414"/>
      <c r="XAZ101" s="445"/>
      <c r="XBA101" s="414"/>
      <c r="XBD101" s="445"/>
      <c r="XBE101" s="414"/>
      <c r="XBH101" s="445"/>
      <c r="XBI101" s="414"/>
      <c r="XBL101" s="445"/>
      <c r="XBM101" s="414"/>
      <c r="XBP101" s="445"/>
      <c r="XBQ101" s="414"/>
      <c r="XBT101" s="445"/>
      <c r="XBU101" s="414"/>
      <c r="XBX101" s="445"/>
      <c r="XBY101" s="414"/>
      <c r="XCB101" s="445"/>
      <c r="XCC101" s="414"/>
      <c r="XCF101" s="445"/>
      <c r="XCG101" s="414"/>
      <c r="XCJ101" s="445"/>
      <c r="XCK101" s="414"/>
      <c r="XCN101" s="445"/>
      <c r="XCO101" s="414"/>
      <c r="XCR101" s="445"/>
      <c r="XCS101" s="414"/>
      <c r="XCV101" s="445"/>
      <c r="XCW101" s="414"/>
      <c r="XCZ101" s="445"/>
      <c r="XDA101" s="414"/>
      <c r="XDD101" s="445"/>
      <c r="XDE101" s="414"/>
      <c r="XDH101" s="445"/>
      <c r="XDI101" s="414"/>
      <c r="XDL101" s="445"/>
      <c r="XDM101" s="414"/>
      <c r="XDP101" s="445"/>
      <c r="XDQ101" s="414"/>
      <c r="XDT101" s="445"/>
      <c r="XDU101" s="414"/>
      <c r="XDX101" s="445"/>
      <c r="XDY101" s="414"/>
      <c r="XEB101" s="445"/>
      <c r="XEC101" s="414"/>
      <c r="XEF101" s="445"/>
      <c r="XEG101" s="414"/>
      <c r="XEJ101" s="445"/>
      <c r="XEK101" s="414"/>
      <c r="XEN101" s="445"/>
      <c r="XEO101" s="414"/>
      <c r="XER101" s="445"/>
      <c r="XES101" s="414"/>
      <c r="XEV101" s="445"/>
      <c r="XEW101" s="414"/>
      <c r="XEZ101" s="445"/>
    </row>
    <row r="102" spans="1:16380" s="436" customFormat="1" ht="12.75">
      <c r="A102" s="445"/>
      <c r="B102" s="443">
        <v>101</v>
      </c>
      <c r="C102" s="447"/>
      <c r="D102" s="613" t="s">
        <v>2134</v>
      </c>
      <c r="E102" s="447" t="s">
        <v>1999</v>
      </c>
      <c r="F102" s="444" t="s">
        <v>133</v>
      </c>
      <c r="G102" s="416"/>
      <c r="H102" s="627">
        <v>37460</v>
      </c>
      <c r="I102" s="432" t="s">
        <v>2000</v>
      </c>
      <c r="AP102" s="414"/>
      <c r="AV102" s="445"/>
      <c r="AW102" s="414"/>
      <c r="AZ102" s="445"/>
      <c r="BA102" s="414"/>
      <c r="BD102" s="445"/>
      <c r="BE102" s="414"/>
      <c r="BH102" s="445"/>
      <c r="BI102" s="414"/>
      <c r="BL102" s="445"/>
      <c r="BM102" s="414"/>
      <c r="BP102" s="445"/>
      <c r="BQ102" s="414"/>
      <c r="BT102" s="445"/>
      <c r="BU102" s="414"/>
      <c r="BX102" s="445"/>
      <c r="BY102" s="414"/>
      <c r="CB102" s="445"/>
      <c r="CC102" s="414"/>
      <c r="CF102" s="445"/>
      <c r="CG102" s="414"/>
      <c r="CJ102" s="445"/>
      <c r="CK102" s="414"/>
      <c r="CN102" s="445"/>
      <c r="CO102" s="414"/>
      <c r="CR102" s="445"/>
      <c r="CS102" s="414"/>
      <c r="CV102" s="445"/>
      <c r="CW102" s="414"/>
      <c r="CZ102" s="445"/>
      <c r="DA102" s="414"/>
      <c r="DD102" s="445"/>
      <c r="DE102" s="414"/>
      <c r="DH102" s="445"/>
      <c r="DI102" s="414"/>
      <c r="DL102" s="445"/>
      <c r="DM102" s="414"/>
      <c r="DP102" s="445"/>
      <c r="DQ102" s="414"/>
      <c r="DT102" s="445"/>
      <c r="DU102" s="414"/>
      <c r="DX102" s="445"/>
      <c r="DY102" s="414"/>
      <c r="EB102" s="445"/>
      <c r="EC102" s="414"/>
      <c r="EF102" s="445"/>
      <c r="EG102" s="414"/>
      <c r="EJ102" s="445"/>
      <c r="EK102" s="414"/>
      <c r="EN102" s="445"/>
      <c r="EO102" s="414"/>
      <c r="ER102" s="445"/>
      <c r="ES102" s="414"/>
      <c r="EV102" s="445"/>
      <c r="EW102" s="414"/>
      <c r="EZ102" s="445"/>
      <c r="FA102" s="414"/>
      <c r="FD102" s="445"/>
      <c r="FE102" s="414"/>
      <c r="FH102" s="445"/>
      <c r="FI102" s="414"/>
      <c r="FL102" s="445"/>
      <c r="FM102" s="414"/>
      <c r="FP102" s="445"/>
      <c r="FQ102" s="414"/>
      <c r="FT102" s="445"/>
      <c r="FU102" s="414"/>
      <c r="FX102" s="445"/>
      <c r="FY102" s="414"/>
      <c r="GB102" s="445"/>
      <c r="GC102" s="414"/>
      <c r="GF102" s="445"/>
      <c r="GG102" s="414"/>
      <c r="GJ102" s="445"/>
      <c r="GK102" s="414"/>
      <c r="GN102" s="445"/>
      <c r="GO102" s="414"/>
      <c r="GR102" s="445"/>
      <c r="GS102" s="414"/>
      <c r="GV102" s="445"/>
      <c r="GW102" s="414"/>
      <c r="GZ102" s="445"/>
      <c r="HA102" s="414"/>
      <c r="HD102" s="445"/>
      <c r="HE102" s="414"/>
      <c r="HH102" s="445"/>
      <c r="HI102" s="414"/>
      <c r="HL102" s="445"/>
      <c r="HM102" s="414"/>
      <c r="HP102" s="445"/>
      <c r="HQ102" s="414"/>
      <c r="HT102" s="445"/>
      <c r="HU102" s="414"/>
      <c r="HX102" s="445"/>
      <c r="HY102" s="414"/>
      <c r="IB102" s="445"/>
      <c r="IC102" s="414"/>
      <c r="IF102" s="445"/>
      <c r="IG102" s="414"/>
      <c r="IJ102" s="445"/>
      <c r="IK102" s="414"/>
      <c r="IN102" s="445"/>
      <c r="IO102" s="414"/>
      <c r="IR102" s="445"/>
      <c r="IS102" s="414"/>
      <c r="IV102" s="445"/>
      <c r="IW102" s="414"/>
      <c r="IZ102" s="445"/>
      <c r="JA102" s="414"/>
      <c r="JD102" s="445"/>
      <c r="JE102" s="414"/>
      <c r="JH102" s="445"/>
      <c r="JI102" s="414"/>
      <c r="JL102" s="445"/>
      <c r="JM102" s="414"/>
      <c r="JP102" s="445"/>
      <c r="JQ102" s="414"/>
      <c r="JT102" s="445"/>
      <c r="JU102" s="414"/>
      <c r="JX102" s="445"/>
      <c r="JY102" s="414"/>
      <c r="KB102" s="445"/>
      <c r="KC102" s="414"/>
      <c r="KF102" s="445"/>
      <c r="KG102" s="414"/>
      <c r="KJ102" s="445"/>
      <c r="KK102" s="414"/>
      <c r="KN102" s="445"/>
      <c r="KO102" s="414"/>
      <c r="KR102" s="445"/>
      <c r="KS102" s="414"/>
      <c r="KV102" s="445"/>
      <c r="KW102" s="414"/>
      <c r="KZ102" s="445"/>
      <c r="LA102" s="414"/>
      <c r="LD102" s="445"/>
      <c r="LE102" s="414"/>
      <c r="LH102" s="445"/>
      <c r="LI102" s="414"/>
      <c r="LL102" s="445"/>
      <c r="LM102" s="414"/>
      <c r="LP102" s="445"/>
      <c r="LQ102" s="414"/>
      <c r="LT102" s="445"/>
      <c r="LU102" s="414"/>
      <c r="LX102" s="445"/>
      <c r="LY102" s="414"/>
      <c r="MB102" s="445"/>
      <c r="MC102" s="414"/>
      <c r="MF102" s="445"/>
      <c r="MG102" s="414"/>
      <c r="MJ102" s="445"/>
      <c r="MK102" s="414"/>
      <c r="MN102" s="445"/>
      <c r="MO102" s="414"/>
      <c r="MR102" s="445"/>
      <c r="MS102" s="414"/>
      <c r="MV102" s="445"/>
      <c r="MW102" s="414"/>
      <c r="MZ102" s="445"/>
      <c r="NA102" s="414"/>
      <c r="ND102" s="445"/>
      <c r="NE102" s="414"/>
      <c r="NH102" s="445"/>
      <c r="NI102" s="414"/>
      <c r="NL102" s="445"/>
      <c r="NM102" s="414"/>
      <c r="NP102" s="445"/>
      <c r="NQ102" s="414"/>
      <c r="NT102" s="445"/>
      <c r="NU102" s="414"/>
      <c r="NX102" s="445"/>
      <c r="NY102" s="414"/>
      <c r="OB102" s="445"/>
      <c r="OC102" s="414"/>
      <c r="OF102" s="445"/>
      <c r="OG102" s="414"/>
      <c r="OJ102" s="445"/>
      <c r="OK102" s="414"/>
      <c r="ON102" s="445"/>
      <c r="OO102" s="414"/>
      <c r="OR102" s="445"/>
      <c r="OS102" s="414"/>
      <c r="OV102" s="445"/>
      <c r="OW102" s="414"/>
      <c r="OZ102" s="445"/>
      <c r="PA102" s="414"/>
      <c r="PD102" s="445"/>
      <c r="PE102" s="414"/>
      <c r="PH102" s="445"/>
      <c r="PI102" s="414"/>
      <c r="PL102" s="445"/>
      <c r="PM102" s="414"/>
      <c r="PP102" s="445"/>
      <c r="PQ102" s="414"/>
      <c r="PT102" s="445"/>
      <c r="PU102" s="414"/>
      <c r="PX102" s="445"/>
      <c r="PY102" s="414"/>
      <c r="QB102" s="445"/>
      <c r="QC102" s="414"/>
      <c r="QF102" s="445"/>
      <c r="QG102" s="414"/>
      <c r="QJ102" s="445"/>
      <c r="QK102" s="414"/>
      <c r="QN102" s="445"/>
      <c r="QO102" s="414"/>
      <c r="QR102" s="445"/>
      <c r="QS102" s="414"/>
      <c r="QV102" s="445"/>
      <c r="QW102" s="414"/>
      <c r="QZ102" s="445"/>
      <c r="RA102" s="414"/>
      <c r="RD102" s="445"/>
      <c r="RE102" s="414"/>
      <c r="RH102" s="445"/>
      <c r="RI102" s="414"/>
      <c r="RL102" s="445"/>
      <c r="RM102" s="414"/>
      <c r="RP102" s="445"/>
      <c r="RQ102" s="414"/>
      <c r="RT102" s="445"/>
      <c r="RU102" s="414"/>
      <c r="RX102" s="445"/>
      <c r="RY102" s="414"/>
      <c r="SB102" s="445"/>
      <c r="SC102" s="414"/>
      <c r="SF102" s="445"/>
      <c r="SG102" s="414"/>
      <c r="SJ102" s="445"/>
      <c r="SK102" s="414"/>
      <c r="SN102" s="445"/>
      <c r="SO102" s="414"/>
      <c r="SR102" s="445"/>
      <c r="SS102" s="414"/>
      <c r="SV102" s="445"/>
      <c r="SW102" s="414"/>
      <c r="SZ102" s="445"/>
      <c r="TA102" s="414"/>
      <c r="TD102" s="445"/>
      <c r="TE102" s="414"/>
      <c r="TH102" s="445"/>
      <c r="TI102" s="414"/>
      <c r="TL102" s="445"/>
      <c r="TM102" s="414"/>
      <c r="TP102" s="445"/>
      <c r="TQ102" s="414"/>
      <c r="TT102" s="445"/>
      <c r="TU102" s="414"/>
      <c r="TX102" s="445"/>
      <c r="TY102" s="414"/>
      <c r="UB102" s="445"/>
      <c r="UC102" s="414"/>
      <c r="UF102" s="445"/>
      <c r="UG102" s="414"/>
      <c r="UJ102" s="445"/>
      <c r="UK102" s="414"/>
      <c r="UN102" s="445"/>
      <c r="UO102" s="414"/>
      <c r="UR102" s="445"/>
      <c r="US102" s="414"/>
      <c r="UV102" s="445"/>
      <c r="UW102" s="414"/>
      <c r="UZ102" s="445"/>
      <c r="VA102" s="414"/>
      <c r="VD102" s="445"/>
      <c r="VE102" s="414"/>
      <c r="VH102" s="445"/>
      <c r="VI102" s="414"/>
      <c r="VL102" s="445"/>
      <c r="VM102" s="414"/>
      <c r="VP102" s="445"/>
      <c r="VQ102" s="414"/>
      <c r="VT102" s="445"/>
      <c r="VU102" s="414"/>
      <c r="VX102" s="445"/>
      <c r="VY102" s="414"/>
      <c r="WB102" s="445"/>
      <c r="WC102" s="414"/>
      <c r="WF102" s="445"/>
      <c r="WG102" s="414"/>
      <c r="WJ102" s="445"/>
      <c r="WK102" s="414"/>
      <c r="WN102" s="445"/>
      <c r="WO102" s="414"/>
      <c r="WR102" s="445"/>
      <c r="WS102" s="414"/>
      <c r="WV102" s="445"/>
      <c r="WW102" s="414"/>
      <c r="WZ102" s="445"/>
      <c r="XA102" s="414"/>
      <c r="XD102" s="445"/>
      <c r="XE102" s="414"/>
      <c r="XH102" s="445"/>
      <c r="XI102" s="414"/>
      <c r="XL102" s="445"/>
      <c r="XM102" s="414"/>
      <c r="XP102" s="445"/>
      <c r="XQ102" s="414"/>
      <c r="XT102" s="445"/>
      <c r="XU102" s="414"/>
      <c r="XX102" s="445"/>
      <c r="XY102" s="414"/>
      <c r="YB102" s="445"/>
      <c r="YC102" s="414"/>
      <c r="YF102" s="445"/>
      <c r="YG102" s="414"/>
      <c r="YJ102" s="445"/>
      <c r="YK102" s="414"/>
      <c r="YN102" s="445"/>
      <c r="YO102" s="414"/>
      <c r="YR102" s="445"/>
      <c r="YS102" s="414"/>
      <c r="YV102" s="445"/>
      <c r="YW102" s="414"/>
      <c r="YZ102" s="445"/>
      <c r="ZA102" s="414"/>
      <c r="ZD102" s="445"/>
      <c r="ZE102" s="414"/>
      <c r="ZH102" s="445"/>
      <c r="ZI102" s="414"/>
      <c r="ZL102" s="445"/>
      <c r="ZM102" s="414"/>
      <c r="ZP102" s="445"/>
      <c r="ZQ102" s="414"/>
      <c r="ZT102" s="445"/>
      <c r="ZU102" s="414"/>
      <c r="ZX102" s="445"/>
      <c r="ZY102" s="414"/>
      <c r="AAB102" s="445"/>
      <c r="AAC102" s="414"/>
      <c r="AAF102" s="445"/>
      <c r="AAG102" s="414"/>
      <c r="AAJ102" s="445"/>
      <c r="AAK102" s="414"/>
      <c r="AAN102" s="445"/>
      <c r="AAO102" s="414"/>
      <c r="AAR102" s="445"/>
      <c r="AAS102" s="414"/>
      <c r="AAV102" s="445"/>
      <c r="AAW102" s="414"/>
      <c r="AAZ102" s="445"/>
      <c r="ABA102" s="414"/>
      <c r="ABD102" s="445"/>
      <c r="ABE102" s="414"/>
      <c r="ABH102" s="445"/>
      <c r="ABI102" s="414"/>
      <c r="ABL102" s="445"/>
      <c r="ABM102" s="414"/>
      <c r="ABP102" s="445"/>
      <c r="ABQ102" s="414"/>
      <c r="ABT102" s="445"/>
      <c r="ABU102" s="414"/>
      <c r="ABX102" s="445"/>
      <c r="ABY102" s="414"/>
      <c r="ACB102" s="445"/>
      <c r="ACC102" s="414"/>
      <c r="ACF102" s="445"/>
      <c r="ACG102" s="414"/>
      <c r="ACJ102" s="445"/>
      <c r="ACK102" s="414"/>
      <c r="ACN102" s="445"/>
      <c r="ACO102" s="414"/>
      <c r="ACR102" s="445"/>
      <c r="ACS102" s="414"/>
      <c r="ACV102" s="445"/>
      <c r="ACW102" s="414"/>
      <c r="ACZ102" s="445"/>
      <c r="ADA102" s="414"/>
      <c r="ADD102" s="445"/>
      <c r="ADE102" s="414"/>
      <c r="ADH102" s="445"/>
      <c r="ADI102" s="414"/>
      <c r="ADL102" s="445"/>
      <c r="ADM102" s="414"/>
      <c r="ADP102" s="445"/>
      <c r="ADQ102" s="414"/>
      <c r="ADT102" s="445"/>
      <c r="ADU102" s="414"/>
      <c r="ADX102" s="445"/>
      <c r="ADY102" s="414"/>
      <c r="AEB102" s="445"/>
      <c r="AEC102" s="414"/>
      <c r="AEF102" s="445"/>
      <c r="AEG102" s="414"/>
      <c r="AEJ102" s="445"/>
      <c r="AEK102" s="414"/>
      <c r="AEN102" s="445"/>
      <c r="AEO102" s="414"/>
      <c r="AER102" s="445"/>
      <c r="AES102" s="414"/>
      <c r="AEV102" s="445"/>
      <c r="AEW102" s="414"/>
      <c r="AEZ102" s="445"/>
      <c r="AFA102" s="414"/>
      <c r="AFD102" s="445"/>
      <c r="AFE102" s="414"/>
      <c r="AFH102" s="445"/>
      <c r="AFI102" s="414"/>
      <c r="AFL102" s="445"/>
      <c r="AFM102" s="414"/>
      <c r="AFP102" s="445"/>
      <c r="AFQ102" s="414"/>
      <c r="AFT102" s="445"/>
      <c r="AFU102" s="414"/>
      <c r="AFX102" s="445"/>
      <c r="AFY102" s="414"/>
      <c r="AGB102" s="445"/>
      <c r="AGC102" s="414"/>
      <c r="AGF102" s="445"/>
      <c r="AGG102" s="414"/>
      <c r="AGJ102" s="445"/>
      <c r="AGK102" s="414"/>
      <c r="AGN102" s="445"/>
      <c r="AGO102" s="414"/>
      <c r="AGR102" s="445"/>
      <c r="AGS102" s="414"/>
      <c r="AGV102" s="445"/>
      <c r="AGW102" s="414"/>
      <c r="AGZ102" s="445"/>
      <c r="AHA102" s="414"/>
      <c r="AHD102" s="445"/>
      <c r="AHE102" s="414"/>
      <c r="AHH102" s="445"/>
      <c r="AHI102" s="414"/>
      <c r="AHL102" s="445"/>
      <c r="AHM102" s="414"/>
      <c r="AHP102" s="445"/>
      <c r="AHQ102" s="414"/>
      <c r="AHT102" s="445"/>
      <c r="AHU102" s="414"/>
      <c r="AHX102" s="445"/>
      <c r="AHY102" s="414"/>
      <c r="AIB102" s="445"/>
      <c r="AIC102" s="414"/>
      <c r="AIF102" s="445"/>
      <c r="AIG102" s="414"/>
      <c r="AIJ102" s="445"/>
      <c r="AIK102" s="414"/>
      <c r="AIN102" s="445"/>
      <c r="AIO102" s="414"/>
      <c r="AIR102" s="445"/>
      <c r="AIS102" s="414"/>
      <c r="AIV102" s="445"/>
      <c r="AIW102" s="414"/>
      <c r="AIZ102" s="445"/>
      <c r="AJA102" s="414"/>
      <c r="AJD102" s="445"/>
      <c r="AJE102" s="414"/>
      <c r="AJH102" s="445"/>
      <c r="AJI102" s="414"/>
      <c r="AJL102" s="445"/>
      <c r="AJM102" s="414"/>
      <c r="AJP102" s="445"/>
      <c r="AJQ102" s="414"/>
      <c r="AJT102" s="445"/>
      <c r="AJU102" s="414"/>
      <c r="AJX102" s="445"/>
      <c r="AJY102" s="414"/>
      <c r="AKB102" s="445"/>
      <c r="AKC102" s="414"/>
      <c r="AKF102" s="445"/>
      <c r="AKG102" s="414"/>
      <c r="AKJ102" s="445"/>
      <c r="AKK102" s="414"/>
      <c r="AKN102" s="445"/>
      <c r="AKO102" s="414"/>
      <c r="AKR102" s="445"/>
      <c r="AKS102" s="414"/>
      <c r="AKV102" s="445"/>
      <c r="AKW102" s="414"/>
      <c r="AKZ102" s="445"/>
      <c r="ALA102" s="414"/>
      <c r="ALD102" s="445"/>
      <c r="ALE102" s="414"/>
      <c r="ALH102" s="445"/>
      <c r="ALI102" s="414"/>
      <c r="ALL102" s="445"/>
      <c r="ALM102" s="414"/>
      <c r="ALP102" s="445"/>
      <c r="ALQ102" s="414"/>
      <c r="ALT102" s="445"/>
      <c r="ALU102" s="414"/>
      <c r="ALX102" s="445"/>
      <c r="ALY102" s="414"/>
      <c r="AMB102" s="445"/>
      <c r="AMC102" s="414"/>
      <c r="AMF102" s="445"/>
      <c r="AMG102" s="414"/>
      <c r="AMJ102" s="445"/>
      <c r="AMK102" s="414"/>
      <c r="AMN102" s="445"/>
      <c r="AMO102" s="414"/>
      <c r="AMR102" s="445"/>
      <c r="AMS102" s="414"/>
      <c r="AMV102" s="445"/>
      <c r="AMW102" s="414"/>
      <c r="AMZ102" s="445"/>
      <c r="ANA102" s="414"/>
      <c r="AND102" s="445"/>
      <c r="ANE102" s="414"/>
      <c r="ANH102" s="445"/>
      <c r="ANI102" s="414"/>
      <c r="ANL102" s="445"/>
      <c r="ANM102" s="414"/>
      <c r="ANP102" s="445"/>
      <c r="ANQ102" s="414"/>
      <c r="ANT102" s="445"/>
      <c r="ANU102" s="414"/>
      <c r="ANX102" s="445"/>
      <c r="ANY102" s="414"/>
      <c r="AOB102" s="445"/>
      <c r="AOC102" s="414"/>
      <c r="AOF102" s="445"/>
      <c r="AOG102" s="414"/>
      <c r="AOJ102" s="445"/>
      <c r="AOK102" s="414"/>
      <c r="AON102" s="445"/>
      <c r="AOO102" s="414"/>
      <c r="AOR102" s="445"/>
      <c r="AOS102" s="414"/>
      <c r="AOV102" s="445"/>
      <c r="AOW102" s="414"/>
      <c r="AOZ102" s="445"/>
      <c r="APA102" s="414"/>
      <c r="APD102" s="445"/>
      <c r="APE102" s="414"/>
      <c r="APH102" s="445"/>
      <c r="API102" s="414"/>
      <c r="APL102" s="445"/>
      <c r="APM102" s="414"/>
      <c r="APP102" s="445"/>
      <c r="APQ102" s="414"/>
      <c r="APT102" s="445"/>
      <c r="APU102" s="414"/>
      <c r="APX102" s="445"/>
      <c r="APY102" s="414"/>
      <c r="AQB102" s="445"/>
      <c r="AQC102" s="414"/>
      <c r="AQF102" s="445"/>
      <c r="AQG102" s="414"/>
      <c r="AQJ102" s="445"/>
      <c r="AQK102" s="414"/>
      <c r="AQN102" s="445"/>
      <c r="AQO102" s="414"/>
      <c r="AQR102" s="445"/>
      <c r="AQS102" s="414"/>
      <c r="AQV102" s="445"/>
      <c r="AQW102" s="414"/>
      <c r="AQZ102" s="445"/>
      <c r="ARA102" s="414"/>
      <c r="ARD102" s="445"/>
      <c r="ARE102" s="414"/>
      <c r="ARH102" s="445"/>
      <c r="ARI102" s="414"/>
      <c r="ARL102" s="445"/>
      <c r="ARM102" s="414"/>
      <c r="ARP102" s="445"/>
      <c r="ARQ102" s="414"/>
      <c r="ART102" s="445"/>
      <c r="ARU102" s="414"/>
      <c r="ARX102" s="445"/>
      <c r="ARY102" s="414"/>
      <c r="ASB102" s="445"/>
      <c r="ASC102" s="414"/>
      <c r="ASF102" s="445"/>
      <c r="ASG102" s="414"/>
      <c r="ASJ102" s="445"/>
      <c r="ASK102" s="414"/>
      <c r="ASN102" s="445"/>
      <c r="ASO102" s="414"/>
      <c r="ASR102" s="445"/>
      <c r="ASS102" s="414"/>
      <c r="ASV102" s="445"/>
      <c r="ASW102" s="414"/>
      <c r="ASZ102" s="445"/>
      <c r="ATA102" s="414"/>
      <c r="ATD102" s="445"/>
      <c r="ATE102" s="414"/>
      <c r="ATH102" s="445"/>
      <c r="ATI102" s="414"/>
      <c r="ATL102" s="445"/>
      <c r="ATM102" s="414"/>
      <c r="ATP102" s="445"/>
      <c r="ATQ102" s="414"/>
      <c r="ATT102" s="445"/>
      <c r="ATU102" s="414"/>
      <c r="ATX102" s="445"/>
      <c r="ATY102" s="414"/>
      <c r="AUB102" s="445"/>
      <c r="AUC102" s="414"/>
      <c r="AUF102" s="445"/>
      <c r="AUG102" s="414"/>
      <c r="AUJ102" s="445"/>
      <c r="AUK102" s="414"/>
      <c r="AUN102" s="445"/>
      <c r="AUO102" s="414"/>
      <c r="AUR102" s="445"/>
      <c r="AUS102" s="414"/>
      <c r="AUV102" s="445"/>
      <c r="AUW102" s="414"/>
      <c r="AUZ102" s="445"/>
      <c r="AVA102" s="414"/>
      <c r="AVD102" s="445"/>
      <c r="AVE102" s="414"/>
      <c r="AVH102" s="445"/>
      <c r="AVI102" s="414"/>
      <c r="AVL102" s="445"/>
      <c r="AVM102" s="414"/>
      <c r="AVP102" s="445"/>
      <c r="AVQ102" s="414"/>
      <c r="AVT102" s="445"/>
      <c r="AVU102" s="414"/>
      <c r="AVX102" s="445"/>
      <c r="AVY102" s="414"/>
      <c r="AWB102" s="445"/>
      <c r="AWC102" s="414"/>
      <c r="AWF102" s="445"/>
      <c r="AWG102" s="414"/>
      <c r="AWJ102" s="445"/>
      <c r="AWK102" s="414"/>
      <c r="AWN102" s="445"/>
      <c r="AWO102" s="414"/>
      <c r="AWR102" s="445"/>
      <c r="AWS102" s="414"/>
      <c r="AWV102" s="445"/>
      <c r="AWW102" s="414"/>
      <c r="AWZ102" s="445"/>
      <c r="AXA102" s="414"/>
      <c r="AXD102" s="445"/>
      <c r="AXE102" s="414"/>
      <c r="AXH102" s="445"/>
      <c r="AXI102" s="414"/>
      <c r="AXL102" s="445"/>
      <c r="AXM102" s="414"/>
      <c r="AXP102" s="445"/>
      <c r="AXQ102" s="414"/>
      <c r="AXT102" s="445"/>
      <c r="AXU102" s="414"/>
      <c r="AXX102" s="445"/>
      <c r="AXY102" s="414"/>
      <c r="AYB102" s="445"/>
      <c r="AYC102" s="414"/>
      <c r="AYF102" s="445"/>
      <c r="AYG102" s="414"/>
      <c r="AYJ102" s="445"/>
      <c r="AYK102" s="414"/>
      <c r="AYN102" s="445"/>
      <c r="AYO102" s="414"/>
      <c r="AYR102" s="445"/>
      <c r="AYS102" s="414"/>
      <c r="AYV102" s="445"/>
      <c r="AYW102" s="414"/>
      <c r="AYZ102" s="445"/>
      <c r="AZA102" s="414"/>
      <c r="AZD102" s="445"/>
      <c r="AZE102" s="414"/>
      <c r="AZH102" s="445"/>
      <c r="AZI102" s="414"/>
      <c r="AZL102" s="445"/>
      <c r="AZM102" s="414"/>
      <c r="AZP102" s="445"/>
      <c r="AZQ102" s="414"/>
      <c r="AZT102" s="445"/>
      <c r="AZU102" s="414"/>
      <c r="AZX102" s="445"/>
      <c r="AZY102" s="414"/>
      <c r="BAB102" s="445"/>
      <c r="BAC102" s="414"/>
      <c r="BAF102" s="445"/>
      <c r="BAG102" s="414"/>
      <c r="BAJ102" s="445"/>
      <c r="BAK102" s="414"/>
      <c r="BAN102" s="445"/>
      <c r="BAO102" s="414"/>
      <c r="BAR102" s="445"/>
      <c r="BAS102" s="414"/>
      <c r="BAV102" s="445"/>
      <c r="BAW102" s="414"/>
      <c r="BAZ102" s="445"/>
      <c r="BBA102" s="414"/>
      <c r="BBD102" s="445"/>
      <c r="BBE102" s="414"/>
      <c r="BBH102" s="445"/>
      <c r="BBI102" s="414"/>
      <c r="BBL102" s="445"/>
      <c r="BBM102" s="414"/>
      <c r="BBP102" s="445"/>
      <c r="BBQ102" s="414"/>
      <c r="BBT102" s="445"/>
      <c r="BBU102" s="414"/>
      <c r="BBX102" s="445"/>
      <c r="BBY102" s="414"/>
      <c r="BCB102" s="445"/>
      <c r="BCC102" s="414"/>
      <c r="BCF102" s="445"/>
      <c r="BCG102" s="414"/>
      <c r="BCJ102" s="445"/>
      <c r="BCK102" s="414"/>
      <c r="BCN102" s="445"/>
      <c r="BCO102" s="414"/>
      <c r="BCR102" s="445"/>
      <c r="BCS102" s="414"/>
      <c r="BCV102" s="445"/>
      <c r="BCW102" s="414"/>
      <c r="BCZ102" s="445"/>
      <c r="BDA102" s="414"/>
      <c r="BDD102" s="445"/>
      <c r="BDE102" s="414"/>
      <c r="BDH102" s="445"/>
      <c r="BDI102" s="414"/>
      <c r="BDL102" s="445"/>
      <c r="BDM102" s="414"/>
      <c r="BDP102" s="445"/>
      <c r="BDQ102" s="414"/>
      <c r="BDT102" s="445"/>
      <c r="BDU102" s="414"/>
      <c r="BDX102" s="445"/>
      <c r="BDY102" s="414"/>
      <c r="BEB102" s="445"/>
      <c r="BEC102" s="414"/>
      <c r="BEF102" s="445"/>
      <c r="BEG102" s="414"/>
      <c r="BEJ102" s="445"/>
      <c r="BEK102" s="414"/>
      <c r="BEN102" s="445"/>
      <c r="BEO102" s="414"/>
      <c r="BER102" s="445"/>
      <c r="BES102" s="414"/>
      <c r="BEV102" s="445"/>
      <c r="BEW102" s="414"/>
      <c r="BEZ102" s="445"/>
      <c r="BFA102" s="414"/>
      <c r="BFD102" s="445"/>
      <c r="BFE102" s="414"/>
      <c r="BFH102" s="445"/>
      <c r="BFI102" s="414"/>
      <c r="BFL102" s="445"/>
      <c r="BFM102" s="414"/>
      <c r="BFP102" s="445"/>
      <c r="BFQ102" s="414"/>
      <c r="BFT102" s="445"/>
      <c r="BFU102" s="414"/>
      <c r="BFX102" s="445"/>
      <c r="BFY102" s="414"/>
      <c r="BGB102" s="445"/>
      <c r="BGC102" s="414"/>
      <c r="BGF102" s="445"/>
      <c r="BGG102" s="414"/>
      <c r="BGJ102" s="445"/>
      <c r="BGK102" s="414"/>
      <c r="BGN102" s="445"/>
      <c r="BGO102" s="414"/>
      <c r="BGR102" s="445"/>
      <c r="BGS102" s="414"/>
      <c r="BGV102" s="445"/>
      <c r="BGW102" s="414"/>
      <c r="BGZ102" s="445"/>
      <c r="BHA102" s="414"/>
      <c r="BHD102" s="445"/>
      <c r="BHE102" s="414"/>
      <c r="BHH102" s="445"/>
      <c r="BHI102" s="414"/>
      <c r="BHL102" s="445"/>
      <c r="BHM102" s="414"/>
      <c r="BHP102" s="445"/>
      <c r="BHQ102" s="414"/>
      <c r="BHT102" s="445"/>
      <c r="BHU102" s="414"/>
      <c r="BHX102" s="445"/>
      <c r="BHY102" s="414"/>
      <c r="BIB102" s="445"/>
      <c r="BIC102" s="414"/>
      <c r="BIF102" s="445"/>
      <c r="BIG102" s="414"/>
      <c r="BIJ102" s="445"/>
      <c r="BIK102" s="414"/>
      <c r="BIN102" s="445"/>
      <c r="BIO102" s="414"/>
      <c r="BIR102" s="445"/>
      <c r="BIS102" s="414"/>
      <c r="BIV102" s="445"/>
      <c r="BIW102" s="414"/>
      <c r="BIZ102" s="445"/>
      <c r="BJA102" s="414"/>
      <c r="BJD102" s="445"/>
      <c r="BJE102" s="414"/>
      <c r="BJH102" s="445"/>
      <c r="BJI102" s="414"/>
      <c r="BJL102" s="445"/>
      <c r="BJM102" s="414"/>
      <c r="BJP102" s="445"/>
      <c r="BJQ102" s="414"/>
      <c r="BJT102" s="445"/>
      <c r="BJU102" s="414"/>
      <c r="BJX102" s="445"/>
      <c r="BJY102" s="414"/>
      <c r="BKB102" s="445"/>
      <c r="BKC102" s="414"/>
      <c r="BKF102" s="445"/>
      <c r="BKG102" s="414"/>
      <c r="BKJ102" s="445"/>
      <c r="BKK102" s="414"/>
      <c r="BKN102" s="445"/>
      <c r="BKO102" s="414"/>
      <c r="BKR102" s="445"/>
      <c r="BKS102" s="414"/>
      <c r="BKV102" s="445"/>
      <c r="BKW102" s="414"/>
      <c r="BKZ102" s="445"/>
      <c r="BLA102" s="414"/>
      <c r="BLD102" s="445"/>
      <c r="BLE102" s="414"/>
      <c r="BLH102" s="445"/>
      <c r="BLI102" s="414"/>
      <c r="BLL102" s="445"/>
      <c r="BLM102" s="414"/>
      <c r="BLP102" s="445"/>
      <c r="BLQ102" s="414"/>
      <c r="BLT102" s="445"/>
      <c r="BLU102" s="414"/>
      <c r="BLX102" s="445"/>
      <c r="BLY102" s="414"/>
      <c r="BMB102" s="445"/>
      <c r="BMC102" s="414"/>
      <c r="BMF102" s="445"/>
      <c r="BMG102" s="414"/>
      <c r="BMJ102" s="445"/>
      <c r="BMK102" s="414"/>
      <c r="BMN102" s="445"/>
      <c r="BMO102" s="414"/>
      <c r="BMR102" s="445"/>
      <c r="BMS102" s="414"/>
      <c r="BMV102" s="445"/>
      <c r="BMW102" s="414"/>
      <c r="BMZ102" s="445"/>
      <c r="BNA102" s="414"/>
      <c r="BND102" s="445"/>
      <c r="BNE102" s="414"/>
      <c r="BNH102" s="445"/>
      <c r="BNI102" s="414"/>
      <c r="BNL102" s="445"/>
      <c r="BNM102" s="414"/>
      <c r="BNP102" s="445"/>
      <c r="BNQ102" s="414"/>
      <c r="BNT102" s="445"/>
      <c r="BNU102" s="414"/>
      <c r="BNX102" s="445"/>
      <c r="BNY102" s="414"/>
      <c r="BOB102" s="445"/>
      <c r="BOC102" s="414"/>
      <c r="BOF102" s="445"/>
      <c r="BOG102" s="414"/>
      <c r="BOJ102" s="445"/>
      <c r="BOK102" s="414"/>
      <c r="BON102" s="445"/>
      <c r="BOO102" s="414"/>
      <c r="BOR102" s="445"/>
      <c r="BOS102" s="414"/>
      <c r="BOV102" s="445"/>
      <c r="BOW102" s="414"/>
      <c r="BOZ102" s="445"/>
      <c r="BPA102" s="414"/>
      <c r="BPD102" s="445"/>
      <c r="BPE102" s="414"/>
      <c r="BPH102" s="445"/>
      <c r="BPI102" s="414"/>
      <c r="BPL102" s="445"/>
      <c r="BPM102" s="414"/>
      <c r="BPP102" s="445"/>
      <c r="BPQ102" s="414"/>
      <c r="BPT102" s="445"/>
      <c r="BPU102" s="414"/>
      <c r="BPX102" s="445"/>
      <c r="BPY102" s="414"/>
      <c r="BQB102" s="445"/>
      <c r="BQC102" s="414"/>
      <c r="BQF102" s="445"/>
      <c r="BQG102" s="414"/>
      <c r="BQJ102" s="445"/>
      <c r="BQK102" s="414"/>
      <c r="BQN102" s="445"/>
      <c r="BQO102" s="414"/>
      <c r="BQR102" s="445"/>
      <c r="BQS102" s="414"/>
      <c r="BQV102" s="445"/>
      <c r="BQW102" s="414"/>
      <c r="BQZ102" s="445"/>
      <c r="BRA102" s="414"/>
      <c r="BRD102" s="445"/>
      <c r="BRE102" s="414"/>
      <c r="BRH102" s="445"/>
      <c r="BRI102" s="414"/>
      <c r="BRL102" s="445"/>
      <c r="BRM102" s="414"/>
      <c r="BRP102" s="445"/>
      <c r="BRQ102" s="414"/>
      <c r="BRT102" s="445"/>
      <c r="BRU102" s="414"/>
      <c r="BRX102" s="445"/>
      <c r="BRY102" s="414"/>
      <c r="BSB102" s="445"/>
      <c r="BSC102" s="414"/>
      <c r="BSF102" s="445"/>
      <c r="BSG102" s="414"/>
      <c r="BSJ102" s="445"/>
      <c r="BSK102" s="414"/>
      <c r="BSN102" s="445"/>
      <c r="BSO102" s="414"/>
      <c r="BSR102" s="445"/>
      <c r="BSS102" s="414"/>
      <c r="BSV102" s="445"/>
      <c r="BSW102" s="414"/>
      <c r="BSZ102" s="445"/>
      <c r="BTA102" s="414"/>
      <c r="BTD102" s="445"/>
      <c r="BTE102" s="414"/>
      <c r="BTH102" s="445"/>
      <c r="BTI102" s="414"/>
      <c r="BTL102" s="445"/>
      <c r="BTM102" s="414"/>
      <c r="BTP102" s="445"/>
      <c r="BTQ102" s="414"/>
      <c r="BTT102" s="445"/>
      <c r="BTU102" s="414"/>
      <c r="BTX102" s="445"/>
      <c r="BTY102" s="414"/>
      <c r="BUB102" s="445"/>
      <c r="BUC102" s="414"/>
      <c r="BUF102" s="445"/>
      <c r="BUG102" s="414"/>
      <c r="BUJ102" s="445"/>
      <c r="BUK102" s="414"/>
      <c r="BUN102" s="445"/>
      <c r="BUO102" s="414"/>
      <c r="BUR102" s="445"/>
      <c r="BUS102" s="414"/>
      <c r="BUV102" s="445"/>
      <c r="BUW102" s="414"/>
      <c r="BUZ102" s="445"/>
      <c r="BVA102" s="414"/>
      <c r="BVD102" s="445"/>
      <c r="BVE102" s="414"/>
      <c r="BVH102" s="445"/>
      <c r="BVI102" s="414"/>
      <c r="BVL102" s="445"/>
      <c r="BVM102" s="414"/>
      <c r="BVP102" s="445"/>
      <c r="BVQ102" s="414"/>
      <c r="BVT102" s="445"/>
      <c r="BVU102" s="414"/>
      <c r="BVX102" s="445"/>
      <c r="BVY102" s="414"/>
      <c r="BWB102" s="445"/>
      <c r="BWC102" s="414"/>
      <c r="BWF102" s="445"/>
      <c r="BWG102" s="414"/>
      <c r="BWJ102" s="445"/>
      <c r="BWK102" s="414"/>
      <c r="BWN102" s="445"/>
      <c r="BWO102" s="414"/>
      <c r="BWR102" s="445"/>
      <c r="BWS102" s="414"/>
      <c r="BWV102" s="445"/>
      <c r="BWW102" s="414"/>
      <c r="BWZ102" s="445"/>
      <c r="BXA102" s="414"/>
      <c r="BXD102" s="445"/>
      <c r="BXE102" s="414"/>
      <c r="BXH102" s="445"/>
      <c r="BXI102" s="414"/>
      <c r="BXL102" s="445"/>
      <c r="BXM102" s="414"/>
      <c r="BXP102" s="445"/>
      <c r="BXQ102" s="414"/>
      <c r="BXT102" s="445"/>
      <c r="BXU102" s="414"/>
      <c r="BXX102" s="445"/>
      <c r="BXY102" s="414"/>
      <c r="BYB102" s="445"/>
      <c r="BYC102" s="414"/>
      <c r="BYF102" s="445"/>
      <c r="BYG102" s="414"/>
      <c r="BYJ102" s="445"/>
      <c r="BYK102" s="414"/>
      <c r="BYN102" s="445"/>
      <c r="BYO102" s="414"/>
      <c r="BYR102" s="445"/>
      <c r="BYS102" s="414"/>
      <c r="BYV102" s="445"/>
      <c r="BYW102" s="414"/>
      <c r="BYZ102" s="445"/>
      <c r="BZA102" s="414"/>
      <c r="BZD102" s="445"/>
      <c r="BZE102" s="414"/>
      <c r="BZH102" s="445"/>
      <c r="BZI102" s="414"/>
      <c r="BZL102" s="445"/>
      <c r="BZM102" s="414"/>
      <c r="BZP102" s="445"/>
      <c r="BZQ102" s="414"/>
      <c r="BZT102" s="445"/>
      <c r="BZU102" s="414"/>
      <c r="BZX102" s="445"/>
      <c r="BZY102" s="414"/>
      <c r="CAB102" s="445"/>
      <c r="CAC102" s="414"/>
      <c r="CAF102" s="445"/>
      <c r="CAG102" s="414"/>
      <c r="CAJ102" s="445"/>
      <c r="CAK102" s="414"/>
      <c r="CAN102" s="445"/>
      <c r="CAO102" s="414"/>
      <c r="CAR102" s="445"/>
      <c r="CAS102" s="414"/>
      <c r="CAV102" s="445"/>
      <c r="CAW102" s="414"/>
      <c r="CAZ102" s="445"/>
      <c r="CBA102" s="414"/>
      <c r="CBD102" s="445"/>
      <c r="CBE102" s="414"/>
      <c r="CBH102" s="445"/>
      <c r="CBI102" s="414"/>
      <c r="CBL102" s="445"/>
      <c r="CBM102" s="414"/>
      <c r="CBP102" s="445"/>
      <c r="CBQ102" s="414"/>
      <c r="CBT102" s="445"/>
      <c r="CBU102" s="414"/>
      <c r="CBX102" s="445"/>
      <c r="CBY102" s="414"/>
      <c r="CCB102" s="445"/>
      <c r="CCC102" s="414"/>
      <c r="CCF102" s="445"/>
      <c r="CCG102" s="414"/>
      <c r="CCJ102" s="445"/>
      <c r="CCK102" s="414"/>
      <c r="CCN102" s="445"/>
      <c r="CCO102" s="414"/>
      <c r="CCR102" s="445"/>
      <c r="CCS102" s="414"/>
      <c r="CCV102" s="445"/>
      <c r="CCW102" s="414"/>
      <c r="CCZ102" s="445"/>
      <c r="CDA102" s="414"/>
      <c r="CDD102" s="445"/>
      <c r="CDE102" s="414"/>
      <c r="CDH102" s="445"/>
      <c r="CDI102" s="414"/>
      <c r="CDL102" s="445"/>
      <c r="CDM102" s="414"/>
      <c r="CDP102" s="445"/>
      <c r="CDQ102" s="414"/>
      <c r="CDT102" s="445"/>
      <c r="CDU102" s="414"/>
      <c r="CDX102" s="445"/>
      <c r="CDY102" s="414"/>
      <c r="CEB102" s="445"/>
      <c r="CEC102" s="414"/>
      <c r="CEF102" s="445"/>
      <c r="CEG102" s="414"/>
      <c r="CEJ102" s="445"/>
      <c r="CEK102" s="414"/>
      <c r="CEN102" s="445"/>
      <c r="CEO102" s="414"/>
      <c r="CER102" s="445"/>
      <c r="CES102" s="414"/>
      <c r="CEV102" s="445"/>
      <c r="CEW102" s="414"/>
      <c r="CEZ102" s="445"/>
      <c r="CFA102" s="414"/>
      <c r="CFD102" s="445"/>
      <c r="CFE102" s="414"/>
      <c r="CFH102" s="445"/>
      <c r="CFI102" s="414"/>
      <c r="CFL102" s="445"/>
      <c r="CFM102" s="414"/>
      <c r="CFP102" s="445"/>
      <c r="CFQ102" s="414"/>
      <c r="CFT102" s="445"/>
      <c r="CFU102" s="414"/>
      <c r="CFX102" s="445"/>
      <c r="CFY102" s="414"/>
      <c r="CGB102" s="445"/>
      <c r="CGC102" s="414"/>
      <c r="CGF102" s="445"/>
      <c r="CGG102" s="414"/>
      <c r="CGJ102" s="445"/>
      <c r="CGK102" s="414"/>
      <c r="CGN102" s="445"/>
      <c r="CGO102" s="414"/>
      <c r="CGR102" s="445"/>
      <c r="CGS102" s="414"/>
      <c r="CGV102" s="445"/>
      <c r="CGW102" s="414"/>
      <c r="CGZ102" s="445"/>
      <c r="CHA102" s="414"/>
      <c r="CHD102" s="445"/>
      <c r="CHE102" s="414"/>
      <c r="CHH102" s="445"/>
      <c r="CHI102" s="414"/>
      <c r="CHL102" s="445"/>
      <c r="CHM102" s="414"/>
      <c r="CHP102" s="445"/>
      <c r="CHQ102" s="414"/>
      <c r="CHT102" s="445"/>
      <c r="CHU102" s="414"/>
      <c r="CHX102" s="445"/>
      <c r="CHY102" s="414"/>
      <c r="CIB102" s="445"/>
      <c r="CIC102" s="414"/>
      <c r="CIF102" s="445"/>
      <c r="CIG102" s="414"/>
      <c r="CIJ102" s="445"/>
      <c r="CIK102" s="414"/>
      <c r="CIN102" s="445"/>
      <c r="CIO102" s="414"/>
      <c r="CIR102" s="445"/>
      <c r="CIS102" s="414"/>
      <c r="CIV102" s="445"/>
      <c r="CIW102" s="414"/>
      <c r="CIZ102" s="445"/>
      <c r="CJA102" s="414"/>
      <c r="CJD102" s="445"/>
      <c r="CJE102" s="414"/>
      <c r="CJH102" s="445"/>
      <c r="CJI102" s="414"/>
      <c r="CJL102" s="445"/>
      <c r="CJM102" s="414"/>
      <c r="CJP102" s="445"/>
      <c r="CJQ102" s="414"/>
      <c r="CJT102" s="445"/>
      <c r="CJU102" s="414"/>
      <c r="CJX102" s="445"/>
      <c r="CJY102" s="414"/>
      <c r="CKB102" s="445"/>
      <c r="CKC102" s="414"/>
      <c r="CKF102" s="445"/>
      <c r="CKG102" s="414"/>
      <c r="CKJ102" s="445"/>
      <c r="CKK102" s="414"/>
      <c r="CKN102" s="445"/>
      <c r="CKO102" s="414"/>
      <c r="CKR102" s="445"/>
      <c r="CKS102" s="414"/>
      <c r="CKV102" s="445"/>
      <c r="CKW102" s="414"/>
      <c r="CKZ102" s="445"/>
      <c r="CLA102" s="414"/>
      <c r="CLD102" s="445"/>
      <c r="CLE102" s="414"/>
      <c r="CLH102" s="445"/>
      <c r="CLI102" s="414"/>
      <c r="CLL102" s="445"/>
      <c r="CLM102" s="414"/>
      <c r="CLP102" s="445"/>
      <c r="CLQ102" s="414"/>
      <c r="CLT102" s="445"/>
      <c r="CLU102" s="414"/>
      <c r="CLX102" s="445"/>
      <c r="CLY102" s="414"/>
      <c r="CMB102" s="445"/>
      <c r="CMC102" s="414"/>
      <c r="CMF102" s="445"/>
      <c r="CMG102" s="414"/>
      <c r="CMJ102" s="445"/>
      <c r="CMK102" s="414"/>
      <c r="CMN102" s="445"/>
      <c r="CMO102" s="414"/>
      <c r="CMR102" s="445"/>
      <c r="CMS102" s="414"/>
      <c r="CMV102" s="445"/>
      <c r="CMW102" s="414"/>
      <c r="CMZ102" s="445"/>
      <c r="CNA102" s="414"/>
      <c r="CND102" s="445"/>
      <c r="CNE102" s="414"/>
      <c r="CNH102" s="445"/>
      <c r="CNI102" s="414"/>
      <c r="CNL102" s="445"/>
      <c r="CNM102" s="414"/>
      <c r="CNP102" s="445"/>
      <c r="CNQ102" s="414"/>
      <c r="CNT102" s="445"/>
      <c r="CNU102" s="414"/>
      <c r="CNX102" s="445"/>
      <c r="CNY102" s="414"/>
      <c r="COB102" s="445"/>
      <c r="COC102" s="414"/>
      <c r="COF102" s="445"/>
      <c r="COG102" s="414"/>
      <c r="COJ102" s="445"/>
      <c r="COK102" s="414"/>
      <c r="CON102" s="445"/>
      <c r="COO102" s="414"/>
      <c r="COR102" s="445"/>
      <c r="COS102" s="414"/>
      <c r="COV102" s="445"/>
      <c r="COW102" s="414"/>
      <c r="COZ102" s="445"/>
      <c r="CPA102" s="414"/>
      <c r="CPD102" s="445"/>
      <c r="CPE102" s="414"/>
      <c r="CPH102" s="445"/>
      <c r="CPI102" s="414"/>
      <c r="CPL102" s="445"/>
      <c r="CPM102" s="414"/>
      <c r="CPP102" s="445"/>
      <c r="CPQ102" s="414"/>
      <c r="CPT102" s="445"/>
      <c r="CPU102" s="414"/>
      <c r="CPX102" s="445"/>
      <c r="CPY102" s="414"/>
      <c r="CQB102" s="445"/>
      <c r="CQC102" s="414"/>
      <c r="CQF102" s="445"/>
      <c r="CQG102" s="414"/>
      <c r="CQJ102" s="445"/>
      <c r="CQK102" s="414"/>
      <c r="CQN102" s="445"/>
      <c r="CQO102" s="414"/>
      <c r="CQR102" s="445"/>
      <c r="CQS102" s="414"/>
      <c r="CQV102" s="445"/>
      <c r="CQW102" s="414"/>
      <c r="CQZ102" s="445"/>
      <c r="CRA102" s="414"/>
      <c r="CRD102" s="445"/>
      <c r="CRE102" s="414"/>
      <c r="CRH102" s="445"/>
      <c r="CRI102" s="414"/>
      <c r="CRL102" s="445"/>
      <c r="CRM102" s="414"/>
      <c r="CRP102" s="445"/>
      <c r="CRQ102" s="414"/>
      <c r="CRT102" s="445"/>
      <c r="CRU102" s="414"/>
      <c r="CRX102" s="445"/>
      <c r="CRY102" s="414"/>
      <c r="CSB102" s="445"/>
      <c r="CSC102" s="414"/>
      <c r="CSF102" s="445"/>
      <c r="CSG102" s="414"/>
      <c r="CSJ102" s="445"/>
      <c r="CSK102" s="414"/>
      <c r="CSN102" s="445"/>
      <c r="CSO102" s="414"/>
      <c r="CSR102" s="445"/>
      <c r="CSS102" s="414"/>
      <c r="CSV102" s="445"/>
      <c r="CSW102" s="414"/>
      <c r="CSZ102" s="445"/>
      <c r="CTA102" s="414"/>
      <c r="CTD102" s="445"/>
      <c r="CTE102" s="414"/>
      <c r="CTH102" s="445"/>
      <c r="CTI102" s="414"/>
      <c r="CTL102" s="445"/>
      <c r="CTM102" s="414"/>
      <c r="CTP102" s="445"/>
      <c r="CTQ102" s="414"/>
      <c r="CTT102" s="445"/>
      <c r="CTU102" s="414"/>
      <c r="CTX102" s="445"/>
      <c r="CTY102" s="414"/>
      <c r="CUB102" s="445"/>
      <c r="CUC102" s="414"/>
      <c r="CUF102" s="445"/>
      <c r="CUG102" s="414"/>
      <c r="CUJ102" s="445"/>
      <c r="CUK102" s="414"/>
      <c r="CUN102" s="445"/>
      <c r="CUO102" s="414"/>
      <c r="CUR102" s="445"/>
      <c r="CUS102" s="414"/>
      <c r="CUV102" s="445"/>
      <c r="CUW102" s="414"/>
      <c r="CUZ102" s="445"/>
      <c r="CVA102" s="414"/>
      <c r="CVD102" s="445"/>
      <c r="CVE102" s="414"/>
      <c r="CVH102" s="445"/>
      <c r="CVI102" s="414"/>
      <c r="CVL102" s="445"/>
      <c r="CVM102" s="414"/>
      <c r="CVP102" s="445"/>
      <c r="CVQ102" s="414"/>
      <c r="CVT102" s="445"/>
      <c r="CVU102" s="414"/>
      <c r="CVX102" s="445"/>
      <c r="CVY102" s="414"/>
      <c r="CWB102" s="445"/>
      <c r="CWC102" s="414"/>
      <c r="CWF102" s="445"/>
      <c r="CWG102" s="414"/>
      <c r="CWJ102" s="445"/>
      <c r="CWK102" s="414"/>
      <c r="CWN102" s="445"/>
      <c r="CWO102" s="414"/>
      <c r="CWR102" s="445"/>
      <c r="CWS102" s="414"/>
      <c r="CWV102" s="445"/>
      <c r="CWW102" s="414"/>
      <c r="CWZ102" s="445"/>
      <c r="CXA102" s="414"/>
      <c r="CXD102" s="445"/>
      <c r="CXE102" s="414"/>
      <c r="CXH102" s="445"/>
      <c r="CXI102" s="414"/>
      <c r="CXL102" s="445"/>
      <c r="CXM102" s="414"/>
      <c r="CXP102" s="445"/>
      <c r="CXQ102" s="414"/>
      <c r="CXT102" s="445"/>
      <c r="CXU102" s="414"/>
      <c r="CXX102" s="445"/>
      <c r="CXY102" s="414"/>
      <c r="CYB102" s="445"/>
      <c r="CYC102" s="414"/>
      <c r="CYF102" s="445"/>
      <c r="CYG102" s="414"/>
      <c r="CYJ102" s="445"/>
      <c r="CYK102" s="414"/>
      <c r="CYN102" s="445"/>
      <c r="CYO102" s="414"/>
      <c r="CYR102" s="445"/>
      <c r="CYS102" s="414"/>
      <c r="CYV102" s="445"/>
      <c r="CYW102" s="414"/>
      <c r="CYZ102" s="445"/>
      <c r="CZA102" s="414"/>
      <c r="CZD102" s="445"/>
      <c r="CZE102" s="414"/>
      <c r="CZH102" s="445"/>
      <c r="CZI102" s="414"/>
      <c r="CZL102" s="445"/>
      <c r="CZM102" s="414"/>
      <c r="CZP102" s="445"/>
      <c r="CZQ102" s="414"/>
      <c r="CZT102" s="445"/>
      <c r="CZU102" s="414"/>
      <c r="CZX102" s="445"/>
      <c r="CZY102" s="414"/>
      <c r="DAB102" s="445"/>
      <c r="DAC102" s="414"/>
      <c r="DAF102" s="445"/>
      <c r="DAG102" s="414"/>
      <c r="DAJ102" s="445"/>
      <c r="DAK102" s="414"/>
      <c r="DAN102" s="445"/>
      <c r="DAO102" s="414"/>
      <c r="DAR102" s="445"/>
      <c r="DAS102" s="414"/>
      <c r="DAV102" s="445"/>
      <c r="DAW102" s="414"/>
      <c r="DAZ102" s="445"/>
      <c r="DBA102" s="414"/>
      <c r="DBD102" s="445"/>
      <c r="DBE102" s="414"/>
      <c r="DBH102" s="445"/>
      <c r="DBI102" s="414"/>
      <c r="DBL102" s="445"/>
      <c r="DBM102" s="414"/>
      <c r="DBP102" s="445"/>
      <c r="DBQ102" s="414"/>
      <c r="DBT102" s="445"/>
      <c r="DBU102" s="414"/>
      <c r="DBX102" s="445"/>
      <c r="DBY102" s="414"/>
      <c r="DCB102" s="445"/>
      <c r="DCC102" s="414"/>
      <c r="DCF102" s="445"/>
      <c r="DCG102" s="414"/>
      <c r="DCJ102" s="445"/>
      <c r="DCK102" s="414"/>
      <c r="DCN102" s="445"/>
      <c r="DCO102" s="414"/>
      <c r="DCR102" s="445"/>
      <c r="DCS102" s="414"/>
      <c r="DCV102" s="445"/>
      <c r="DCW102" s="414"/>
      <c r="DCZ102" s="445"/>
      <c r="DDA102" s="414"/>
      <c r="DDD102" s="445"/>
      <c r="DDE102" s="414"/>
      <c r="DDH102" s="445"/>
      <c r="DDI102" s="414"/>
      <c r="DDL102" s="445"/>
      <c r="DDM102" s="414"/>
      <c r="DDP102" s="445"/>
      <c r="DDQ102" s="414"/>
      <c r="DDT102" s="445"/>
      <c r="DDU102" s="414"/>
      <c r="DDX102" s="445"/>
      <c r="DDY102" s="414"/>
      <c r="DEB102" s="445"/>
      <c r="DEC102" s="414"/>
      <c r="DEF102" s="445"/>
      <c r="DEG102" s="414"/>
      <c r="DEJ102" s="445"/>
      <c r="DEK102" s="414"/>
      <c r="DEN102" s="445"/>
      <c r="DEO102" s="414"/>
      <c r="DER102" s="445"/>
      <c r="DES102" s="414"/>
      <c r="DEV102" s="445"/>
      <c r="DEW102" s="414"/>
      <c r="DEZ102" s="445"/>
      <c r="DFA102" s="414"/>
      <c r="DFD102" s="445"/>
      <c r="DFE102" s="414"/>
      <c r="DFH102" s="445"/>
      <c r="DFI102" s="414"/>
      <c r="DFL102" s="445"/>
      <c r="DFM102" s="414"/>
      <c r="DFP102" s="445"/>
      <c r="DFQ102" s="414"/>
      <c r="DFT102" s="445"/>
      <c r="DFU102" s="414"/>
      <c r="DFX102" s="445"/>
      <c r="DFY102" s="414"/>
      <c r="DGB102" s="445"/>
      <c r="DGC102" s="414"/>
      <c r="DGF102" s="445"/>
      <c r="DGG102" s="414"/>
      <c r="DGJ102" s="445"/>
      <c r="DGK102" s="414"/>
      <c r="DGN102" s="445"/>
      <c r="DGO102" s="414"/>
      <c r="DGR102" s="445"/>
      <c r="DGS102" s="414"/>
      <c r="DGV102" s="445"/>
      <c r="DGW102" s="414"/>
      <c r="DGZ102" s="445"/>
      <c r="DHA102" s="414"/>
      <c r="DHD102" s="445"/>
      <c r="DHE102" s="414"/>
      <c r="DHH102" s="445"/>
      <c r="DHI102" s="414"/>
      <c r="DHL102" s="445"/>
      <c r="DHM102" s="414"/>
      <c r="DHP102" s="445"/>
      <c r="DHQ102" s="414"/>
      <c r="DHT102" s="445"/>
      <c r="DHU102" s="414"/>
      <c r="DHX102" s="445"/>
      <c r="DHY102" s="414"/>
      <c r="DIB102" s="445"/>
      <c r="DIC102" s="414"/>
      <c r="DIF102" s="445"/>
      <c r="DIG102" s="414"/>
      <c r="DIJ102" s="445"/>
      <c r="DIK102" s="414"/>
      <c r="DIN102" s="445"/>
      <c r="DIO102" s="414"/>
      <c r="DIR102" s="445"/>
      <c r="DIS102" s="414"/>
      <c r="DIV102" s="445"/>
      <c r="DIW102" s="414"/>
      <c r="DIZ102" s="445"/>
      <c r="DJA102" s="414"/>
      <c r="DJD102" s="445"/>
      <c r="DJE102" s="414"/>
      <c r="DJH102" s="445"/>
      <c r="DJI102" s="414"/>
      <c r="DJL102" s="445"/>
      <c r="DJM102" s="414"/>
      <c r="DJP102" s="445"/>
      <c r="DJQ102" s="414"/>
      <c r="DJT102" s="445"/>
      <c r="DJU102" s="414"/>
      <c r="DJX102" s="445"/>
      <c r="DJY102" s="414"/>
      <c r="DKB102" s="445"/>
      <c r="DKC102" s="414"/>
      <c r="DKF102" s="445"/>
      <c r="DKG102" s="414"/>
      <c r="DKJ102" s="445"/>
      <c r="DKK102" s="414"/>
      <c r="DKN102" s="445"/>
      <c r="DKO102" s="414"/>
      <c r="DKR102" s="445"/>
      <c r="DKS102" s="414"/>
      <c r="DKV102" s="445"/>
      <c r="DKW102" s="414"/>
      <c r="DKZ102" s="445"/>
      <c r="DLA102" s="414"/>
      <c r="DLD102" s="445"/>
      <c r="DLE102" s="414"/>
      <c r="DLH102" s="445"/>
      <c r="DLI102" s="414"/>
      <c r="DLL102" s="445"/>
      <c r="DLM102" s="414"/>
      <c r="DLP102" s="445"/>
      <c r="DLQ102" s="414"/>
      <c r="DLT102" s="445"/>
      <c r="DLU102" s="414"/>
      <c r="DLX102" s="445"/>
      <c r="DLY102" s="414"/>
      <c r="DMB102" s="445"/>
      <c r="DMC102" s="414"/>
      <c r="DMF102" s="445"/>
      <c r="DMG102" s="414"/>
      <c r="DMJ102" s="445"/>
      <c r="DMK102" s="414"/>
      <c r="DMN102" s="445"/>
      <c r="DMO102" s="414"/>
      <c r="DMR102" s="445"/>
      <c r="DMS102" s="414"/>
      <c r="DMV102" s="445"/>
      <c r="DMW102" s="414"/>
      <c r="DMZ102" s="445"/>
      <c r="DNA102" s="414"/>
      <c r="DND102" s="445"/>
      <c r="DNE102" s="414"/>
      <c r="DNH102" s="445"/>
      <c r="DNI102" s="414"/>
      <c r="DNL102" s="445"/>
      <c r="DNM102" s="414"/>
      <c r="DNP102" s="445"/>
      <c r="DNQ102" s="414"/>
      <c r="DNT102" s="445"/>
      <c r="DNU102" s="414"/>
      <c r="DNX102" s="445"/>
      <c r="DNY102" s="414"/>
      <c r="DOB102" s="445"/>
      <c r="DOC102" s="414"/>
      <c r="DOF102" s="445"/>
      <c r="DOG102" s="414"/>
      <c r="DOJ102" s="445"/>
      <c r="DOK102" s="414"/>
      <c r="DON102" s="445"/>
      <c r="DOO102" s="414"/>
      <c r="DOR102" s="445"/>
      <c r="DOS102" s="414"/>
      <c r="DOV102" s="445"/>
      <c r="DOW102" s="414"/>
      <c r="DOZ102" s="445"/>
      <c r="DPA102" s="414"/>
      <c r="DPD102" s="445"/>
      <c r="DPE102" s="414"/>
      <c r="DPH102" s="445"/>
      <c r="DPI102" s="414"/>
      <c r="DPL102" s="445"/>
      <c r="DPM102" s="414"/>
      <c r="DPP102" s="445"/>
      <c r="DPQ102" s="414"/>
      <c r="DPT102" s="445"/>
      <c r="DPU102" s="414"/>
      <c r="DPX102" s="445"/>
      <c r="DPY102" s="414"/>
      <c r="DQB102" s="445"/>
      <c r="DQC102" s="414"/>
      <c r="DQF102" s="445"/>
      <c r="DQG102" s="414"/>
      <c r="DQJ102" s="445"/>
      <c r="DQK102" s="414"/>
      <c r="DQN102" s="445"/>
      <c r="DQO102" s="414"/>
      <c r="DQR102" s="445"/>
      <c r="DQS102" s="414"/>
      <c r="DQV102" s="445"/>
      <c r="DQW102" s="414"/>
      <c r="DQZ102" s="445"/>
      <c r="DRA102" s="414"/>
      <c r="DRD102" s="445"/>
      <c r="DRE102" s="414"/>
      <c r="DRH102" s="445"/>
      <c r="DRI102" s="414"/>
      <c r="DRL102" s="445"/>
      <c r="DRM102" s="414"/>
      <c r="DRP102" s="445"/>
      <c r="DRQ102" s="414"/>
      <c r="DRT102" s="445"/>
      <c r="DRU102" s="414"/>
      <c r="DRX102" s="445"/>
      <c r="DRY102" s="414"/>
      <c r="DSB102" s="445"/>
      <c r="DSC102" s="414"/>
      <c r="DSF102" s="445"/>
      <c r="DSG102" s="414"/>
      <c r="DSJ102" s="445"/>
      <c r="DSK102" s="414"/>
      <c r="DSN102" s="445"/>
      <c r="DSO102" s="414"/>
      <c r="DSR102" s="445"/>
      <c r="DSS102" s="414"/>
      <c r="DSV102" s="445"/>
      <c r="DSW102" s="414"/>
      <c r="DSZ102" s="445"/>
      <c r="DTA102" s="414"/>
      <c r="DTD102" s="445"/>
      <c r="DTE102" s="414"/>
      <c r="DTH102" s="445"/>
      <c r="DTI102" s="414"/>
      <c r="DTL102" s="445"/>
      <c r="DTM102" s="414"/>
      <c r="DTP102" s="445"/>
      <c r="DTQ102" s="414"/>
      <c r="DTT102" s="445"/>
      <c r="DTU102" s="414"/>
      <c r="DTX102" s="445"/>
      <c r="DTY102" s="414"/>
      <c r="DUB102" s="445"/>
      <c r="DUC102" s="414"/>
      <c r="DUF102" s="445"/>
      <c r="DUG102" s="414"/>
      <c r="DUJ102" s="445"/>
      <c r="DUK102" s="414"/>
      <c r="DUN102" s="445"/>
      <c r="DUO102" s="414"/>
      <c r="DUR102" s="445"/>
      <c r="DUS102" s="414"/>
      <c r="DUV102" s="445"/>
      <c r="DUW102" s="414"/>
      <c r="DUZ102" s="445"/>
      <c r="DVA102" s="414"/>
      <c r="DVD102" s="445"/>
      <c r="DVE102" s="414"/>
      <c r="DVH102" s="445"/>
      <c r="DVI102" s="414"/>
      <c r="DVL102" s="445"/>
      <c r="DVM102" s="414"/>
      <c r="DVP102" s="445"/>
      <c r="DVQ102" s="414"/>
      <c r="DVT102" s="445"/>
      <c r="DVU102" s="414"/>
      <c r="DVX102" s="445"/>
      <c r="DVY102" s="414"/>
      <c r="DWB102" s="445"/>
      <c r="DWC102" s="414"/>
      <c r="DWF102" s="445"/>
      <c r="DWG102" s="414"/>
      <c r="DWJ102" s="445"/>
      <c r="DWK102" s="414"/>
      <c r="DWN102" s="445"/>
      <c r="DWO102" s="414"/>
      <c r="DWR102" s="445"/>
      <c r="DWS102" s="414"/>
      <c r="DWV102" s="445"/>
      <c r="DWW102" s="414"/>
      <c r="DWZ102" s="445"/>
      <c r="DXA102" s="414"/>
      <c r="DXD102" s="445"/>
      <c r="DXE102" s="414"/>
      <c r="DXH102" s="445"/>
      <c r="DXI102" s="414"/>
      <c r="DXL102" s="445"/>
      <c r="DXM102" s="414"/>
      <c r="DXP102" s="445"/>
      <c r="DXQ102" s="414"/>
      <c r="DXT102" s="445"/>
      <c r="DXU102" s="414"/>
      <c r="DXX102" s="445"/>
      <c r="DXY102" s="414"/>
      <c r="DYB102" s="445"/>
      <c r="DYC102" s="414"/>
      <c r="DYF102" s="445"/>
      <c r="DYG102" s="414"/>
      <c r="DYJ102" s="445"/>
      <c r="DYK102" s="414"/>
      <c r="DYN102" s="445"/>
      <c r="DYO102" s="414"/>
      <c r="DYR102" s="445"/>
      <c r="DYS102" s="414"/>
      <c r="DYV102" s="445"/>
      <c r="DYW102" s="414"/>
      <c r="DYZ102" s="445"/>
      <c r="DZA102" s="414"/>
      <c r="DZD102" s="445"/>
      <c r="DZE102" s="414"/>
      <c r="DZH102" s="445"/>
      <c r="DZI102" s="414"/>
      <c r="DZL102" s="445"/>
      <c r="DZM102" s="414"/>
      <c r="DZP102" s="445"/>
      <c r="DZQ102" s="414"/>
      <c r="DZT102" s="445"/>
      <c r="DZU102" s="414"/>
      <c r="DZX102" s="445"/>
      <c r="DZY102" s="414"/>
      <c r="EAB102" s="445"/>
      <c r="EAC102" s="414"/>
      <c r="EAF102" s="445"/>
      <c r="EAG102" s="414"/>
      <c r="EAJ102" s="445"/>
      <c r="EAK102" s="414"/>
      <c r="EAN102" s="445"/>
      <c r="EAO102" s="414"/>
      <c r="EAR102" s="445"/>
      <c r="EAS102" s="414"/>
      <c r="EAV102" s="445"/>
      <c r="EAW102" s="414"/>
      <c r="EAZ102" s="445"/>
      <c r="EBA102" s="414"/>
      <c r="EBD102" s="445"/>
      <c r="EBE102" s="414"/>
      <c r="EBH102" s="445"/>
      <c r="EBI102" s="414"/>
      <c r="EBL102" s="445"/>
      <c r="EBM102" s="414"/>
      <c r="EBP102" s="445"/>
      <c r="EBQ102" s="414"/>
      <c r="EBT102" s="445"/>
      <c r="EBU102" s="414"/>
      <c r="EBX102" s="445"/>
      <c r="EBY102" s="414"/>
      <c r="ECB102" s="445"/>
      <c r="ECC102" s="414"/>
      <c r="ECF102" s="445"/>
      <c r="ECG102" s="414"/>
      <c r="ECJ102" s="445"/>
      <c r="ECK102" s="414"/>
      <c r="ECN102" s="445"/>
      <c r="ECO102" s="414"/>
      <c r="ECR102" s="445"/>
      <c r="ECS102" s="414"/>
      <c r="ECV102" s="445"/>
      <c r="ECW102" s="414"/>
      <c r="ECZ102" s="445"/>
      <c r="EDA102" s="414"/>
      <c r="EDD102" s="445"/>
      <c r="EDE102" s="414"/>
      <c r="EDH102" s="445"/>
      <c r="EDI102" s="414"/>
      <c r="EDL102" s="445"/>
      <c r="EDM102" s="414"/>
      <c r="EDP102" s="445"/>
      <c r="EDQ102" s="414"/>
      <c r="EDT102" s="445"/>
      <c r="EDU102" s="414"/>
      <c r="EDX102" s="445"/>
      <c r="EDY102" s="414"/>
      <c r="EEB102" s="445"/>
      <c r="EEC102" s="414"/>
      <c r="EEF102" s="445"/>
      <c r="EEG102" s="414"/>
      <c r="EEJ102" s="445"/>
      <c r="EEK102" s="414"/>
      <c r="EEN102" s="445"/>
      <c r="EEO102" s="414"/>
      <c r="EER102" s="445"/>
      <c r="EES102" s="414"/>
      <c r="EEV102" s="445"/>
      <c r="EEW102" s="414"/>
      <c r="EEZ102" s="445"/>
      <c r="EFA102" s="414"/>
      <c r="EFD102" s="445"/>
      <c r="EFE102" s="414"/>
      <c r="EFH102" s="445"/>
      <c r="EFI102" s="414"/>
      <c r="EFL102" s="445"/>
      <c r="EFM102" s="414"/>
      <c r="EFP102" s="445"/>
      <c r="EFQ102" s="414"/>
      <c r="EFT102" s="445"/>
      <c r="EFU102" s="414"/>
      <c r="EFX102" s="445"/>
      <c r="EFY102" s="414"/>
      <c r="EGB102" s="445"/>
      <c r="EGC102" s="414"/>
      <c r="EGF102" s="445"/>
      <c r="EGG102" s="414"/>
      <c r="EGJ102" s="445"/>
      <c r="EGK102" s="414"/>
      <c r="EGN102" s="445"/>
      <c r="EGO102" s="414"/>
      <c r="EGR102" s="445"/>
      <c r="EGS102" s="414"/>
      <c r="EGV102" s="445"/>
      <c r="EGW102" s="414"/>
      <c r="EGZ102" s="445"/>
      <c r="EHA102" s="414"/>
      <c r="EHD102" s="445"/>
      <c r="EHE102" s="414"/>
      <c r="EHH102" s="445"/>
      <c r="EHI102" s="414"/>
      <c r="EHL102" s="445"/>
      <c r="EHM102" s="414"/>
      <c r="EHP102" s="445"/>
      <c r="EHQ102" s="414"/>
      <c r="EHT102" s="445"/>
      <c r="EHU102" s="414"/>
      <c r="EHX102" s="445"/>
      <c r="EHY102" s="414"/>
      <c r="EIB102" s="445"/>
      <c r="EIC102" s="414"/>
      <c r="EIF102" s="445"/>
      <c r="EIG102" s="414"/>
      <c r="EIJ102" s="445"/>
      <c r="EIK102" s="414"/>
      <c r="EIN102" s="445"/>
      <c r="EIO102" s="414"/>
      <c r="EIR102" s="445"/>
      <c r="EIS102" s="414"/>
      <c r="EIV102" s="445"/>
      <c r="EIW102" s="414"/>
      <c r="EIZ102" s="445"/>
      <c r="EJA102" s="414"/>
      <c r="EJD102" s="445"/>
      <c r="EJE102" s="414"/>
      <c r="EJH102" s="445"/>
      <c r="EJI102" s="414"/>
      <c r="EJL102" s="445"/>
      <c r="EJM102" s="414"/>
      <c r="EJP102" s="445"/>
      <c r="EJQ102" s="414"/>
      <c r="EJT102" s="445"/>
      <c r="EJU102" s="414"/>
      <c r="EJX102" s="445"/>
      <c r="EJY102" s="414"/>
      <c r="EKB102" s="445"/>
      <c r="EKC102" s="414"/>
      <c r="EKF102" s="445"/>
      <c r="EKG102" s="414"/>
      <c r="EKJ102" s="445"/>
      <c r="EKK102" s="414"/>
      <c r="EKN102" s="445"/>
      <c r="EKO102" s="414"/>
      <c r="EKR102" s="445"/>
      <c r="EKS102" s="414"/>
      <c r="EKV102" s="445"/>
      <c r="EKW102" s="414"/>
      <c r="EKZ102" s="445"/>
      <c r="ELA102" s="414"/>
      <c r="ELD102" s="445"/>
      <c r="ELE102" s="414"/>
      <c r="ELH102" s="445"/>
      <c r="ELI102" s="414"/>
      <c r="ELL102" s="445"/>
      <c r="ELM102" s="414"/>
      <c r="ELP102" s="445"/>
      <c r="ELQ102" s="414"/>
      <c r="ELT102" s="445"/>
      <c r="ELU102" s="414"/>
      <c r="ELX102" s="445"/>
      <c r="ELY102" s="414"/>
      <c r="EMB102" s="445"/>
      <c r="EMC102" s="414"/>
      <c r="EMF102" s="445"/>
      <c r="EMG102" s="414"/>
      <c r="EMJ102" s="445"/>
      <c r="EMK102" s="414"/>
      <c r="EMN102" s="445"/>
      <c r="EMO102" s="414"/>
      <c r="EMR102" s="445"/>
      <c r="EMS102" s="414"/>
      <c r="EMV102" s="445"/>
      <c r="EMW102" s="414"/>
      <c r="EMZ102" s="445"/>
      <c r="ENA102" s="414"/>
      <c r="END102" s="445"/>
      <c r="ENE102" s="414"/>
      <c r="ENH102" s="445"/>
      <c r="ENI102" s="414"/>
      <c r="ENL102" s="445"/>
      <c r="ENM102" s="414"/>
      <c r="ENP102" s="445"/>
      <c r="ENQ102" s="414"/>
      <c r="ENT102" s="445"/>
      <c r="ENU102" s="414"/>
      <c r="ENX102" s="445"/>
      <c r="ENY102" s="414"/>
      <c r="EOB102" s="445"/>
      <c r="EOC102" s="414"/>
      <c r="EOF102" s="445"/>
      <c r="EOG102" s="414"/>
      <c r="EOJ102" s="445"/>
      <c r="EOK102" s="414"/>
      <c r="EON102" s="445"/>
      <c r="EOO102" s="414"/>
      <c r="EOR102" s="445"/>
      <c r="EOS102" s="414"/>
      <c r="EOV102" s="445"/>
      <c r="EOW102" s="414"/>
      <c r="EOZ102" s="445"/>
      <c r="EPA102" s="414"/>
      <c r="EPD102" s="445"/>
      <c r="EPE102" s="414"/>
      <c r="EPH102" s="445"/>
      <c r="EPI102" s="414"/>
      <c r="EPL102" s="445"/>
      <c r="EPM102" s="414"/>
      <c r="EPP102" s="445"/>
      <c r="EPQ102" s="414"/>
      <c r="EPT102" s="445"/>
      <c r="EPU102" s="414"/>
      <c r="EPX102" s="445"/>
      <c r="EPY102" s="414"/>
      <c r="EQB102" s="445"/>
      <c r="EQC102" s="414"/>
      <c r="EQF102" s="445"/>
      <c r="EQG102" s="414"/>
      <c r="EQJ102" s="445"/>
      <c r="EQK102" s="414"/>
      <c r="EQN102" s="445"/>
      <c r="EQO102" s="414"/>
      <c r="EQR102" s="445"/>
      <c r="EQS102" s="414"/>
      <c r="EQV102" s="445"/>
      <c r="EQW102" s="414"/>
      <c r="EQZ102" s="445"/>
      <c r="ERA102" s="414"/>
      <c r="ERD102" s="445"/>
      <c r="ERE102" s="414"/>
      <c r="ERH102" s="445"/>
      <c r="ERI102" s="414"/>
      <c r="ERL102" s="445"/>
      <c r="ERM102" s="414"/>
      <c r="ERP102" s="445"/>
      <c r="ERQ102" s="414"/>
      <c r="ERT102" s="445"/>
      <c r="ERU102" s="414"/>
      <c r="ERX102" s="445"/>
      <c r="ERY102" s="414"/>
      <c r="ESB102" s="445"/>
      <c r="ESC102" s="414"/>
      <c r="ESF102" s="445"/>
      <c r="ESG102" s="414"/>
      <c r="ESJ102" s="445"/>
      <c r="ESK102" s="414"/>
      <c r="ESN102" s="445"/>
      <c r="ESO102" s="414"/>
      <c r="ESR102" s="445"/>
      <c r="ESS102" s="414"/>
      <c r="ESV102" s="445"/>
      <c r="ESW102" s="414"/>
      <c r="ESZ102" s="445"/>
      <c r="ETA102" s="414"/>
      <c r="ETD102" s="445"/>
      <c r="ETE102" s="414"/>
      <c r="ETH102" s="445"/>
      <c r="ETI102" s="414"/>
      <c r="ETL102" s="445"/>
      <c r="ETM102" s="414"/>
      <c r="ETP102" s="445"/>
      <c r="ETQ102" s="414"/>
      <c r="ETT102" s="445"/>
      <c r="ETU102" s="414"/>
      <c r="ETX102" s="445"/>
      <c r="ETY102" s="414"/>
      <c r="EUB102" s="445"/>
      <c r="EUC102" s="414"/>
      <c r="EUF102" s="445"/>
      <c r="EUG102" s="414"/>
      <c r="EUJ102" s="445"/>
      <c r="EUK102" s="414"/>
      <c r="EUN102" s="445"/>
      <c r="EUO102" s="414"/>
      <c r="EUR102" s="445"/>
      <c r="EUS102" s="414"/>
      <c r="EUV102" s="445"/>
      <c r="EUW102" s="414"/>
      <c r="EUZ102" s="445"/>
      <c r="EVA102" s="414"/>
      <c r="EVD102" s="445"/>
      <c r="EVE102" s="414"/>
      <c r="EVH102" s="445"/>
      <c r="EVI102" s="414"/>
      <c r="EVL102" s="445"/>
      <c r="EVM102" s="414"/>
      <c r="EVP102" s="445"/>
      <c r="EVQ102" s="414"/>
      <c r="EVT102" s="445"/>
      <c r="EVU102" s="414"/>
      <c r="EVX102" s="445"/>
      <c r="EVY102" s="414"/>
      <c r="EWB102" s="445"/>
      <c r="EWC102" s="414"/>
      <c r="EWF102" s="445"/>
      <c r="EWG102" s="414"/>
      <c r="EWJ102" s="445"/>
      <c r="EWK102" s="414"/>
      <c r="EWN102" s="445"/>
      <c r="EWO102" s="414"/>
      <c r="EWR102" s="445"/>
      <c r="EWS102" s="414"/>
      <c r="EWV102" s="445"/>
      <c r="EWW102" s="414"/>
      <c r="EWZ102" s="445"/>
      <c r="EXA102" s="414"/>
      <c r="EXD102" s="445"/>
      <c r="EXE102" s="414"/>
      <c r="EXH102" s="445"/>
      <c r="EXI102" s="414"/>
      <c r="EXL102" s="445"/>
      <c r="EXM102" s="414"/>
      <c r="EXP102" s="445"/>
      <c r="EXQ102" s="414"/>
      <c r="EXT102" s="445"/>
      <c r="EXU102" s="414"/>
      <c r="EXX102" s="445"/>
      <c r="EXY102" s="414"/>
      <c r="EYB102" s="445"/>
      <c r="EYC102" s="414"/>
      <c r="EYF102" s="445"/>
      <c r="EYG102" s="414"/>
      <c r="EYJ102" s="445"/>
      <c r="EYK102" s="414"/>
      <c r="EYN102" s="445"/>
      <c r="EYO102" s="414"/>
      <c r="EYR102" s="445"/>
      <c r="EYS102" s="414"/>
      <c r="EYV102" s="445"/>
      <c r="EYW102" s="414"/>
      <c r="EYZ102" s="445"/>
      <c r="EZA102" s="414"/>
      <c r="EZD102" s="445"/>
      <c r="EZE102" s="414"/>
      <c r="EZH102" s="445"/>
      <c r="EZI102" s="414"/>
      <c r="EZL102" s="445"/>
      <c r="EZM102" s="414"/>
      <c r="EZP102" s="445"/>
      <c r="EZQ102" s="414"/>
      <c r="EZT102" s="445"/>
      <c r="EZU102" s="414"/>
      <c r="EZX102" s="445"/>
      <c r="EZY102" s="414"/>
      <c r="FAB102" s="445"/>
      <c r="FAC102" s="414"/>
      <c r="FAF102" s="445"/>
      <c r="FAG102" s="414"/>
      <c r="FAJ102" s="445"/>
      <c r="FAK102" s="414"/>
      <c r="FAN102" s="445"/>
      <c r="FAO102" s="414"/>
      <c r="FAR102" s="445"/>
      <c r="FAS102" s="414"/>
      <c r="FAV102" s="445"/>
      <c r="FAW102" s="414"/>
      <c r="FAZ102" s="445"/>
      <c r="FBA102" s="414"/>
      <c r="FBD102" s="445"/>
      <c r="FBE102" s="414"/>
      <c r="FBH102" s="445"/>
      <c r="FBI102" s="414"/>
      <c r="FBL102" s="445"/>
      <c r="FBM102" s="414"/>
      <c r="FBP102" s="445"/>
      <c r="FBQ102" s="414"/>
      <c r="FBT102" s="445"/>
      <c r="FBU102" s="414"/>
      <c r="FBX102" s="445"/>
      <c r="FBY102" s="414"/>
      <c r="FCB102" s="445"/>
      <c r="FCC102" s="414"/>
      <c r="FCF102" s="445"/>
      <c r="FCG102" s="414"/>
      <c r="FCJ102" s="445"/>
      <c r="FCK102" s="414"/>
      <c r="FCN102" s="445"/>
      <c r="FCO102" s="414"/>
      <c r="FCR102" s="445"/>
      <c r="FCS102" s="414"/>
      <c r="FCV102" s="445"/>
      <c r="FCW102" s="414"/>
      <c r="FCZ102" s="445"/>
      <c r="FDA102" s="414"/>
      <c r="FDD102" s="445"/>
      <c r="FDE102" s="414"/>
      <c r="FDH102" s="445"/>
      <c r="FDI102" s="414"/>
      <c r="FDL102" s="445"/>
      <c r="FDM102" s="414"/>
      <c r="FDP102" s="445"/>
      <c r="FDQ102" s="414"/>
      <c r="FDT102" s="445"/>
      <c r="FDU102" s="414"/>
      <c r="FDX102" s="445"/>
      <c r="FDY102" s="414"/>
      <c r="FEB102" s="445"/>
      <c r="FEC102" s="414"/>
      <c r="FEF102" s="445"/>
      <c r="FEG102" s="414"/>
      <c r="FEJ102" s="445"/>
      <c r="FEK102" s="414"/>
      <c r="FEN102" s="445"/>
      <c r="FEO102" s="414"/>
      <c r="FER102" s="445"/>
      <c r="FES102" s="414"/>
      <c r="FEV102" s="445"/>
      <c r="FEW102" s="414"/>
      <c r="FEZ102" s="445"/>
      <c r="FFA102" s="414"/>
      <c r="FFD102" s="445"/>
      <c r="FFE102" s="414"/>
      <c r="FFH102" s="445"/>
      <c r="FFI102" s="414"/>
      <c r="FFL102" s="445"/>
      <c r="FFM102" s="414"/>
      <c r="FFP102" s="445"/>
      <c r="FFQ102" s="414"/>
      <c r="FFT102" s="445"/>
      <c r="FFU102" s="414"/>
      <c r="FFX102" s="445"/>
      <c r="FFY102" s="414"/>
      <c r="FGB102" s="445"/>
      <c r="FGC102" s="414"/>
      <c r="FGF102" s="445"/>
      <c r="FGG102" s="414"/>
      <c r="FGJ102" s="445"/>
      <c r="FGK102" s="414"/>
      <c r="FGN102" s="445"/>
      <c r="FGO102" s="414"/>
      <c r="FGR102" s="445"/>
      <c r="FGS102" s="414"/>
      <c r="FGV102" s="445"/>
      <c r="FGW102" s="414"/>
      <c r="FGZ102" s="445"/>
      <c r="FHA102" s="414"/>
      <c r="FHD102" s="445"/>
      <c r="FHE102" s="414"/>
      <c r="FHH102" s="445"/>
      <c r="FHI102" s="414"/>
      <c r="FHL102" s="445"/>
      <c r="FHM102" s="414"/>
      <c r="FHP102" s="445"/>
      <c r="FHQ102" s="414"/>
      <c r="FHT102" s="445"/>
      <c r="FHU102" s="414"/>
      <c r="FHX102" s="445"/>
      <c r="FHY102" s="414"/>
      <c r="FIB102" s="445"/>
      <c r="FIC102" s="414"/>
      <c r="FIF102" s="445"/>
      <c r="FIG102" s="414"/>
      <c r="FIJ102" s="445"/>
      <c r="FIK102" s="414"/>
      <c r="FIN102" s="445"/>
      <c r="FIO102" s="414"/>
      <c r="FIR102" s="445"/>
      <c r="FIS102" s="414"/>
      <c r="FIV102" s="445"/>
      <c r="FIW102" s="414"/>
      <c r="FIZ102" s="445"/>
      <c r="FJA102" s="414"/>
      <c r="FJD102" s="445"/>
      <c r="FJE102" s="414"/>
      <c r="FJH102" s="445"/>
      <c r="FJI102" s="414"/>
      <c r="FJL102" s="445"/>
      <c r="FJM102" s="414"/>
      <c r="FJP102" s="445"/>
      <c r="FJQ102" s="414"/>
      <c r="FJT102" s="445"/>
      <c r="FJU102" s="414"/>
      <c r="FJX102" s="445"/>
      <c r="FJY102" s="414"/>
      <c r="FKB102" s="445"/>
      <c r="FKC102" s="414"/>
      <c r="FKF102" s="445"/>
      <c r="FKG102" s="414"/>
      <c r="FKJ102" s="445"/>
      <c r="FKK102" s="414"/>
      <c r="FKN102" s="445"/>
      <c r="FKO102" s="414"/>
      <c r="FKR102" s="445"/>
      <c r="FKS102" s="414"/>
      <c r="FKV102" s="445"/>
      <c r="FKW102" s="414"/>
      <c r="FKZ102" s="445"/>
      <c r="FLA102" s="414"/>
      <c r="FLD102" s="445"/>
      <c r="FLE102" s="414"/>
      <c r="FLH102" s="445"/>
      <c r="FLI102" s="414"/>
      <c r="FLL102" s="445"/>
      <c r="FLM102" s="414"/>
      <c r="FLP102" s="445"/>
      <c r="FLQ102" s="414"/>
      <c r="FLT102" s="445"/>
      <c r="FLU102" s="414"/>
      <c r="FLX102" s="445"/>
      <c r="FLY102" s="414"/>
      <c r="FMB102" s="445"/>
      <c r="FMC102" s="414"/>
      <c r="FMF102" s="445"/>
      <c r="FMG102" s="414"/>
      <c r="FMJ102" s="445"/>
      <c r="FMK102" s="414"/>
      <c r="FMN102" s="445"/>
      <c r="FMO102" s="414"/>
      <c r="FMR102" s="445"/>
      <c r="FMS102" s="414"/>
      <c r="FMV102" s="445"/>
      <c r="FMW102" s="414"/>
      <c r="FMZ102" s="445"/>
      <c r="FNA102" s="414"/>
      <c r="FND102" s="445"/>
      <c r="FNE102" s="414"/>
      <c r="FNH102" s="445"/>
      <c r="FNI102" s="414"/>
      <c r="FNL102" s="445"/>
      <c r="FNM102" s="414"/>
      <c r="FNP102" s="445"/>
      <c r="FNQ102" s="414"/>
      <c r="FNT102" s="445"/>
      <c r="FNU102" s="414"/>
      <c r="FNX102" s="445"/>
      <c r="FNY102" s="414"/>
      <c r="FOB102" s="445"/>
      <c r="FOC102" s="414"/>
      <c r="FOF102" s="445"/>
      <c r="FOG102" s="414"/>
      <c r="FOJ102" s="445"/>
      <c r="FOK102" s="414"/>
      <c r="FON102" s="445"/>
      <c r="FOO102" s="414"/>
      <c r="FOR102" s="445"/>
      <c r="FOS102" s="414"/>
      <c r="FOV102" s="445"/>
      <c r="FOW102" s="414"/>
      <c r="FOZ102" s="445"/>
      <c r="FPA102" s="414"/>
      <c r="FPD102" s="445"/>
      <c r="FPE102" s="414"/>
      <c r="FPH102" s="445"/>
      <c r="FPI102" s="414"/>
      <c r="FPL102" s="445"/>
      <c r="FPM102" s="414"/>
      <c r="FPP102" s="445"/>
      <c r="FPQ102" s="414"/>
      <c r="FPT102" s="445"/>
      <c r="FPU102" s="414"/>
      <c r="FPX102" s="445"/>
      <c r="FPY102" s="414"/>
      <c r="FQB102" s="445"/>
      <c r="FQC102" s="414"/>
      <c r="FQF102" s="445"/>
      <c r="FQG102" s="414"/>
      <c r="FQJ102" s="445"/>
      <c r="FQK102" s="414"/>
      <c r="FQN102" s="445"/>
      <c r="FQO102" s="414"/>
      <c r="FQR102" s="445"/>
      <c r="FQS102" s="414"/>
      <c r="FQV102" s="445"/>
      <c r="FQW102" s="414"/>
      <c r="FQZ102" s="445"/>
      <c r="FRA102" s="414"/>
      <c r="FRD102" s="445"/>
      <c r="FRE102" s="414"/>
      <c r="FRH102" s="445"/>
      <c r="FRI102" s="414"/>
      <c r="FRL102" s="445"/>
      <c r="FRM102" s="414"/>
      <c r="FRP102" s="445"/>
      <c r="FRQ102" s="414"/>
      <c r="FRT102" s="445"/>
      <c r="FRU102" s="414"/>
      <c r="FRX102" s="445"/>
      <c r="FRY102" s="414"/>
      <c r="FSB102" s="445"/>
      <c r="FSC102" s="414"/>
      <c r="FSF102" s="445"/>
      <c r="FSG102" s="414"/>
      <c r="FSJ102" s="445"/>
      <c r="FSK102" s="414"/>
      <c r="FSN102" s="445"/>
      <c r="FSO102" s="414"/>
      <c r="FSR102" s="445"/>
      <c r="FSS102" s="414"/>
      <c r="FSV102" s="445"/>
      <c r="FSW102" s="414"/>
      <c r="FSZ102" s="445"/>
      <c r="FTA102" s="414"/>
      <c r="FTD102" s="445"/>
      <c r="FTE102" s="414"/>
      <c r="FTH102" s="445"/>
      <c r="FTI102" s="414"/>
      <c r="FTL102" s="445"/>
      <c r="FTM102" s="414"/>
      <c r="FTP102" s="445"/>
      <c r="FTQ102" s="414"/>
      <c r="FTT102" s="445"/>
      <c r="FTU102" s="414"/>
      <c r="FTX102" s="445"/>
      <c r="FTY102" s="414"/>
      <c r="FUB102" s="445"/>
      <c r="FUC102" s="414"/>
      <c r="FUF102" s="445"/>
      <c r="FUG102" s="414"/>
      <c r="FUJ102" s="445"/>
      <c r="FUK102" s="414"/>
      <c r="FUN102" s="445"/>
      <c r="FUO102" s="414"/>
      <c r="FUR102" s="445"/>
      <c r="FUS102" s="414"/>
      <c r="FUV102" s="445"/>
      <c r="FUW102" s="414"/>
      <c r="FUZ102" s="445"/>
      <c r="FVA102" s="414"/>
      <c r="FVD102" s="445"/>
      <c r="FVE102" s="414"/>
      <c r="FVH102" s="445"/>
      <c r="FVI102" s="414"/>
      <c r="FVL102" s="445"/>
      <c r="FVM102" s="414"/>
      <c r="FVP102" s="445"/>
      <c r="FVQ102" s="414"/>
      <c r="FVT102" s="445"/>
      <c r="FVU102" s="414"/>
      <c r="FVX102" s="445"/>
      <c r="FVY102" s="414"/>
      <c r="FWB102" s="445"/>
      <c r="FWC102" s="414"/>
      <c r="FWF102" s="445"/>
      <c r="FWG102" s="414"/>
      <c r="FWJ102" s="445"/>
      <c r="FWK102" s="414"/>
      <c r="FWN102" s="445"/>
      <c r="FWO102" s="414"/>
      <c r="FWR102" s="445"/>
      <c r="FWS102" s="414"/>
      <c r="FWV102" s="445"/>
      <c r="FWW102" s="414"/>
      <c r="FWZ102" s="445"/>
      <c r="FXA102" s="414"/>
      <c r="FXD102" s="445"/>
      <c r="FXE102" s="414"/>
      <c r="FXH102" s="445"/>
      <c r="FXI102" s="414"/>
      <c r="FXL102" s="445"/>
      <c r="FXM102" s="414"/>
      <c r="FXP102" s="445"/>
      <c r="FXQ102" s="414"/>
      <c r="FXT102" s="445"/>
      <c r="FXU102" s="414"/>
      <c r="FXX102" s="445"/>
      <c r="FXY102" s="414"/>
      <c r="FYB102" s="445"/>
      <c r="FYC102" s="414"/>
      <c r="FYF102" s="445"/>
      <c r="FYG102" s="414"/>
      <c r="FYJ102" s="445"/>
      <c r="FYK102" s="414"/>
      <c r="FYN102" s="445"/>
      <c r="FYO102" s="414"/>
      <c r="FYR102" s="445"/>
      <c r="FYS102" s="414"/>
      <c r="FYV102" s="445"/>
      <c r="FYW102" s="414"/>
      <c r="FYZ102" s="445"/>
      <c r="FZA102" s="414"/>
      <c r="FZD102" s="445"/>
      <c r="FZE102" s="414"/>
      <c r="FZH102" s="445"/>
      <c r="FZI102" s="414"/>
      <c r="FZL102" s="445"/>
      <c r="FZM102" s="414"/>
      <c r="FZP102" s="445"/>
      <c r="FZQ102" s="414"/>
      <c r="FZT102" s="445"/>
      <c r="FZU102" s="414"/>
      <c r="FZX102" s="445"/>
      <c r="FZY102" s="414"/>
      <c r="GAB102" s="445"/>
      <c r="GAC102" s="414"/>
      <c r="GAF102" s="445"/>
      <c r="GAG102" s="414"/>
      <c r="GAJ102" s="445"/>
      <c r="GAK102" s="414"/>
      <c r="GAN102" s="445"/>
      <c r="GAO102" s="414"/>
      <c r="GAR102" s="445"/>
      <c r="GAS102" s="414"/>
      <c r="GAV102" s="445"/>
      <c r="GAW102" s="414"/>
      <c r="GAZ102" s="445"/>
      <c r="GBA102" s="414"/>
      <c r="GBD102" s="445"/>
      <c r="GBE102" s="414"/>
      <c r="GBH102" s="445"/>
      <c r="GBI102" s="414"/>
      <c r="GBL102" s="445"/>
      <c r="GBM102" s="414"/>
      <c r="GBP102" s="445"/>
      <c r="GBQ102" s="414"/>
      <c r="GBT102" s="445"/>
      <c r="GBU102" s="414"/>
      <c r="GBX102" s="445"/>
      <c r="GBY102" s="414"/>
      <c r="GCB102" s="445"/>
      <c r="GCC102" s="414"/>
      <c r="GCF102" s="445"/>
      <c r="GCG102" s="414"/>
      <c r="GCJ102" s="445"/>
      <c r="GCK102" s="414"/>
      <c r="GCN102" s="445"/>
      <c r="GCO102" s="414"/>
      <c r="GCR102" s="445"/>
      <c r="GCS102" s="414"/>
      <c r="GCV102" s="445"/>
      <c r="GCW102" s="414"/>
      <c r="GCZ102" s="445"/>
      <c r="GDA102" s="414"/>
      <c r="GDD102" s="445"/>
      <c r="GDE102" s="414"/>
      <c r="GDH102" s="445"/>
      <c r="GDI102" s="414"/>
      <c r="GDL102" s="445"/>
      <c r="GDM102" s="414"/>
      <c r="GDP102" s="445"/>
      <c r="GDQ102" s="414"/>
      <c r="GDT102" s="445"/>
      <c r="GDU102" s="414"/>
      <c r="GDX102" s="445"/>
      <c r="GDY102" s="414"/>
      <c r="GEB102" s="445"/>
      <c r="GEC102" s="414"/>
      <c r="GEF102" s="445"/>
      <c r="GEG102" s="414"/>
      <c r="GEJ102" s="445"/>
      <c r="GEK102" s="414"/>
      <c r="GEN102" s="445"/>
      <c r="GEO102" s="414"/>
      <c r="GER102" s="445"/>
      <c r="GES102" s="414"/>
      <c r="GEV102" s="445"/>
      <c r="GEW102" s="414"/>
      <c r="GEZ102" s="445"/>
      <c r="GFA102" s="414"/>
      <c r="GFD102" s="445"/>
      <c r="GFE102" s="414"/>
      <c r="GFH102" s="445"/>
      <c r="GFI102" s="414"/>
      <c r="GFL102" s="445"/>
      <c r="GFM102" s="414"/>
      <c r="GFP102" s="445"/>
      <c r="GFQ102" s="414"/>
      <c r="GFT102" s="445"/>
      <c r="GFU102" s="414"/>
      <c r="GFX102" s="445"/>
      <c r="GFY102" s="414"/>
      <c r="GGB102" s="445"/>
      <c r="GGC102" s="414"/>
      <c r="GGF102" s="445"/>
      <c r="GGG102" s="414"/>
      <c r="GGJ102" s="445"/>
      <c r="GGK102" s="414"/>
      <c r="GGN102" s="445"/>
      <c r="GGO102" s="414"/>
      <c r="GGR102" s="445"/>
      <c r="GGS102" s="414"/>
      <c r="GGV102" s="445"/>
      <c r="GGW102" s="414"/>
      <c r="GGZ102" s="445"/>
      <c r="GHA102" s="414"/>
      <c r="GHD102" s="445"/>
      <c r="GHE102" s="414"/>
      <c r="GHH102" s="445"/>
      <c r="GHI102" s="414"/>
      <c r="GHL102" s="445"/>
      <c r="GHM102" s="414"/>
      <c r="GHP102" s="445"/>
      <c r="GHQ102" s="414"/>
      <c r="GHT102" s="445"/>
      <c r="GHU102" s="414"/>
      <c r="GHX102" s="445"/>
      <c r="GHY102" s="414"/>
      <c r="GIB102" s="445"/>
      <c r="GIC102" s="414"/>
      <c r="GIF102" s="445"/>
      <c r="GIG102" s="414"/>
      <c r="GIJ102" s="445"/>
      <c r="GIK102" s="414"/>
      <c r="GIN102" s="445"/>
      <c r="GIO102" s="414"/>
      <c r="GIR102" s="445"/>
      <c r="GIS102" s="414"/>
      <c r="GIV102" s="445"/>
      <c r="GIW102" s="414"/>
      <c r="GIZ102" s="445"/>
      <c r="GJA102" s="414"/>
      <c r="GJD102" s="445"/>
      <c r="GJE102" s="414"/>
      <c r="GJH102" s="445"/>
      <c r="GJI102" s="414"/>
      <c r="GJL102" s="445"/>
      <c r="GJM102" s="414"/>
      <c r="GJP102" s="445"/>
      <c r="GJQ102" s="414"/>
      <c r="GJT102" s="445"/>
      <c r="GJU102" s="414"/>
      <c r="GJX102" s="445"/>
      <c r="GJY102" s="414"/>
      <c r="GKB102" s="445"/>
      <c r="GKC102" s="414"/>
      <c r="GKF102" s="445"/>
      <c r="GKG102" s="414"/>
      <c r="GKJ102" s="445"/>
      <c r="GKK102" s="414"/>
      <c r="GKN102" s="445"/>
      <c r="GKO102" s="414"/>
      <c r="GKR102" s="445"/>
      <c r="GKS102" s="414"/>
      <c r="GKV102" s="445"/>
      <c r="GKW102" s="414"/>
      <c r="GKZ102" s="445"/>
      <c r="GLA102" s="414"/>
      <c r="GLD102" s="445"/>
      <c r="GLE102" s="414"/>
      <c r="GLH102" s="445"/>
      <c r="GLI102" s="414"/>
      <c r="GLL102" s="445"/>
      <c r="GLM102" s="414"/>
      <c r="GLP102" s="445"/>
      <c r="GLQ102" s="414"/>
      <c r="GLT102" s="445"/>
      <c r="GLU102" s="414"/>
      <c r="GLX102" s="445"/>
      <c r="GLY102" s="414"/>
      <c r="GMB102" s="445"/>
      <c r="GMC102" s="414"/>
      <c r="GMF102" s="445"/>
      <c r="GMG102" s="414"/>
      <c r="GMJ102" s="445"/>
      <c r="GMK102" s="414"/>
      <c r="GMN102" s="445"/>
      <c r="GMO102" s="414"/>
      <c r="GMR102" s="445"/>
      <c r="GMS102" s="414"/>
      <c r="GMV102" s="445"/>
      <c r="GMW102" s="414"/>
      <c r="GMZ102" s="445"/>
      <c r="GNA102" s="414"/>
      <c r="GND102" s="445"/>
      <c r="GNE102" s="414"/>
      <c r="GNH102" s="445"/>
      <c r="GNI102" s="414"/>
      <c r="GNL102" s="445"/>
      <c r="GNM102" s="414"/>
      <c r="GNP102" s="445"/>
      <c r="GNQ102" s="414"/>
      <c r="GNT102" s="445"/>
      <c r="GNU102" s="414"/>
      <c r="GNX102" s="445"/>
      <c r="GNY102" s="414"/>
      <c r="GOB102" s="445"/>
      <c r="GOC102" s="414"/>
      <c r="GOF102" s="445"/>
      <c r="GOG102" s="414"/>
      <c r="GOJ102" s="445"/>
      <c r="GOK102" s="414"/>
      <c r="GON102" s="445"/>
      <c r="GOO102" s="414"/>
      <c r="GOR102" s="445"/>
      <c r="GOS102" s="414"/>
      <c r="GOV102" s="445"/>
      <c r="GOW102" s="414"/>
      <c r="GOZ102" s="445"/>
      <c r="GPA102" s="414"/>
      <c r="GPD102" s="445"/>
      <c r="GPE102" s="414"/>
      <c r="GPH102" s="445"/>
      <c r="GPI102" s="414"/>
      <c r="GPL102" s="445"/>
      <c r="GPM102" s="414"/>
      <c r="GPP102" s="445"/>
      <c r="GPQ102" s="414"/>
      <c r="GPT102" s="445"/>
      <c r="GPU102" s="414"/>
      <c r="GPX102" s="445"/>
      <c r="GPY102" s="414"/>
      <c r="GQB102" s="445"/>
      <c r="GQC102" s="414"/>
      <c r="GQF102" s="445"/>
      <c r="GQG102" s="414"/>
      <c r="GQJ102" s="445"/>
      <c r="GQK102" s="414"/>
      <c r="GQN102" s="445"/>
      <c r="GQO102" s="414"/>
      <c r="GQR102" s="445"/>
      <c r="GQS102" s="414"/>
      <c r="GQV102" s="445"/>
      <c r="GQW102" s="414"/>
      <c r="GQZ102" s="445"/>
      <c r="GRA102" s="414"/>
      <c r="GRD102" s="445"/>
      <c r="GRE102" s="414"/>
      <c r="GRH102" s="445"/>
      <c r="GRI102" s="414"/>
      <c r="GRL102" s="445"/>
      <c r="GRM102" s="414"/>
      <c r="GRP102" s="445"/>
      <c r="GRQ102" s="414"/>
      <c r="GRT102" s="445"/>
      <c r="GRU102" s="414"/>
      <c r="GRX102" s="445"/>
      <c r="GRY102" s="414"/>
      <c r="GSB102" s="445"/>
      <c r="GSC102" s="414"/>
      <c r="GSF102" s="445"/>
      <c r="GSG102" s="414"/>
      <c r="GSJ102" s="445"/>
      <c r="GSK102" s="414"/>
      <c r="GSN102" s="445"/>
      <c r="GSO102" s="414"/>
      <c r="GSR102" s="445"/>
      <c r="GSS102" s="414"/>
      <c r="GSV102" s="445"/>
      <c r="GSW102" s="414"/>
      <c r="GSZ102" s="445"/>
      <c r="GTA102" s="414"/>
      <c r="GTD102" s="445"/>
      <c r="GTE102" s="414"/>
      <c r="GTH102" s="445"/>
      <c r="GTI102" s="414"/>
      <c r="GTL102" s="445"/>
      <c r="GTM102" s="414"/>
      <c r="GTP102" s="445"/>
      <c r="GTQ102" s="414"/>
      <c r="GTT102" s="445"/>
      <c r="GTU102" s="414"/>
      <c r="GTX102" s="445"/>
      <c r="GTY102" s="414"/>
      <c r="GUB102" s="445"/>
      <c r="GUC102" s="414"/>
      <c r="GUF102" s="445"/>
      <c r="GUG102" s="414"/>
      <c r="GUJ102" s="445"/>
      <c r="GUK102" s="414"/>
      <c r="GUN102" s="445"/>
      <c r="GUO102" s="414"/>
      <c r="GUR102" s="445"/>
      <c r="GUS102" s="414"/>
      <c r="GUV102" s="445"/>
      <c r="GUW102" s="414"/>
      <c r="GUZ102" s="445"/>
      <c r="GVA102" s="414"/>
      <c r="GVD102" s="445"/>
      <c r="GVE102" s="414"/>
      <c r="GVH102" s="445"/>
      <c r="GVI102" s="414"/>
      <c r="GVL102" s="445"/>
      <c r="GVM102" s="414"/>
      <c r="GVP102" s="445"/>
      <c r="GVQ102" s="414"/>
      <c r="GVT102" s="445"/>
      <c r="GVU102" s="414"/>
      <c r="GVX102" s="445"/>
      <c r="GVY102" s="414"/>
      <c r="GWB102" s="445"/>
      <c r="GWC102" s="414"/>
      <c r="GWF102" s="445"/>
      <c r="GWG102" s="414"/>
      <c r="GWJ102" s="445"/>
      <c r="GWK102" s="414"/>
      <c r="GWN102" s="445"/>
      <c r="GWO102" s="414"/>
      <c r="GWR102" s="445"/>
      <c r="GWS102" s="414"/>
      <c r="GWV102" s="445"/>
      <c r="GWW102" s="414"/>
      <c r="GWZ102" s="445"/>
      <c r="GXA102" s="414"/>
      <c r="GXD102" s="445"/>
      <c r="GXE102" s="414"/>
      <c r="GXH102" s="445"/>
      <c r="GXI102" s="414"/>
      <c r="GXL102" s="445"/>
      <c r="GXM102" s="414"/>
      <c r="GXP102" s="445"/>
      <c r="GXQ102" s="414"/>
      <c r="GXT102" s="445"/>
      <c r="GXU102" s="414"/>
      <c r="GXX102" s="445"/>
      <c r="GXY102" s="414"/>
      <c r="GYB102" s="445"/>
      <c r="GYC102" s="414"/>
      <c r="GYF102" s="445"/>
      <c r="GYG102" s="414"/>
      <c r="GYJ102" s="445"/>
      <c r="GYK102" s="414"/>
      <c r="GYN102" s="445"/>
      <c r="GYO102" s="414"/>
      <c r="GYR102" s="445"/>
      <c r="GYS102" s="414"/>
      <c r="GYV102" s="445"/>
      <c r="GYW102" s="414"/>
      <c r="GYZ102" s="445"/>
      <c r="GZA102" s="414"/>
      <c r="GZD102" s="445"/>
      <c r="GZE102" s="414"/>
      <c r="GZH102" s="445"/>
      <c r="GZI102" s="414"/>
      <c r="GZL102" s="445"/>
      <c r="GZM102" s="414"/>
      <c r="GZP102" s="445"/>
      <c r="GZQ102" s="414"/>
      <c r="GZT102" s="445"/>
      <c r="GZU102" s="414"/>
      <c r="GZX102" s="445"/>
      <c r="GZY102" s="414"/>
      <c r="HAB102" s="445"/>
      <c r="HAC102" s="414"/>
      <c r="HAF102" s="445"/>
      <c r="HAG102" s="414"/>
      <c r="HAJ102" s="445"/>
      <c r="HAK102" s="414"/>
      <c r="HAN102" s="445"/>
      <c r="HAO102" s="414"/>
      <c r="HAR102" s="445"/>
      <c r="HAS102" s="414"/>
      <c r="HAV102" s="445"/>
      <c r="HAW102" s="414"/>
      <c r="HAZ102" s="445"/>
      <c r="HBA102" s="414"/>
      <c r="HBD102" s="445"/>
      <c r="HBE102" s="414"/>
      <c r="HBH102" s="445"/>
      <c r="HBI102" s="414"/>
      <c r="HBL102" s="445"/>
      <c r="HBM102" s="414"/>
      <c r="HBP102" s="445"/>
      <c r="HBQ102" s="414"/>
      <c r="HBT102" s="445"/>
      <c r="HBU102" s="414"/>
      <c r="HBX102" s="445"/>
      <c r="HBY102" s="414"/>
      <c r="HCB102" s="445"/>
      <c r="HCC102" s="414"/>
      <c r="HCF102" s="445"/>
      <c r="HCG102" s="414"/>
      <c r="HCJ102" s="445"/>
      <c r="HCK102" s="414"/>
      <c r="HCN102" s="445"/>
      <c r="HCO102" s="414"/>
      <c r="HCR102" s="445"/>
      <c r="HCS102" s="414"/>
      <c r="HCV102" s="445"/>
      <c r="HCW102" s="414"/>
      <c r="HCZ102" s="445"/>
      <c r="HDA102" s="414"/>
      <c r="HDD102" s="445"/>
      <c r="HDE102" s="414"/>
      <c r="HDH102" s="445"/>
      <c r="HDI102" s="414"/>
      <c r="HDL102" s="445"/>
      <c r="HDM102" s="414"/>
      <c r="HDP102" s="445"/>
      <c r="HDQ102" s="414"/>
      <c r="HDT102" s="445"/>
      <c r="HDU102" s="414"/>
      <c r="HDX102" s="445"/>
      <c r="HDY102" s="414"/>
      <c r="HEB102" s="445"/>
      <c r="HEC102" s="414"/>
      <c r="HEF102" s="445"/>
      <c r="HEG102" s="414"/>
      <c r="HEJ102" s="445"/>
      <c r="HEK102" s="414"/>
      <c r="HEN102" s="445"/>
      <c r="HEO102" s="414"/>
      <c r="HER102" s="445"/>
      <c r="HES102" s="414"/>
      <c r="HEV102" s="445"/>
      <c r="HEW102" s="414"/>
      <c r="HEZ102" s="445"/>
      <c r="HFA102" s="414"/>
      <c r="HFD102" s="445"/>
      <c r="HFE102" s="414"/>
      <c r="HFH102" s="445"/>
      <c r="HFI102" s="414"/>
      <c r="HFL102" s="445"/>
      <c r="HFM102" s="414"/>
      <c r="HFP102" s="445"/>
      <c r="HFQ102" s="414"/>
      <c r="HFT102" s="445"/>
      <c r="HFU102" s="414"/>
      <c r="HFX102" s="445"/>
      <c r="HFY102" s="414"/>
      <c r="HGB102" s="445"/>
      <c r="HGC102" s="414"/>
      <c r="HGF102" s="445"/>
      <c r="HGG102" s="414"/>
      <c r="HGJ102" s="445"/>
      <c r="HGK102" s="414"/>
      <c r="HGN102" s="445"/>
      <c r="HGO102" s="414"/>
      <c r="HGR102" s="445"/>
      <c r="HGS102" s="414"/>
      <c r="HGV102" s="445"/>
      <c r="HGW102" s="414"/>
      <c r="HGZ102" s="445"/>
      <c r="HHA102" s="414"/>
      <c r="HHD102" s="445"/>
      <c r="HHE102" s="414"/>
      <c r="HHH102" s="445"/>
      <c r="HHI102" s="414"/>
      <c r="HHL102" s="445"/>
      <c r="HHM102" s="414"/>
      <c r="HHP102" s="445"/>
      <c r="HHQ102" s="414"/>
      <c r="HHT102" s="445"/>
      <c r="HHU102" s="414"/>
      <c r="HHX102" s="445"/>
      <c r="HHY102" s="414"/>
      <c r="HIB102" s="445"/>
      <c r="HIC102" s="414"/>
      <c r="HIF102" s="445"/>
      <c r="HIG102" s="414"/>
      <c r="HIJ102" s="445"/>
      <c r="HIK102" s="414"/>
      <c r="HIN102" s="445"/>
      <c r="HIO102" s="414"/>
      <c r="HIR102" s="445"/>
      <c r="HIS102" s="414"/>
      <c r="HIV102" s="445"/>
      <c r="HIW102" s="414"/>
      <c r="HIZ102" s="445"/>
      <c r="HJA102" s="414"/>
      <c r="HJD102" s="445"/>
      <c r="HJE102" s="414"/>
      <c r="HJH102" s="445"/>
      <c r="HJI102" s="414"/>
      <c r="HJL102" s="445"/>
      <c r="HJM102" s="414"/>
      <c r="HJP102" s="445"/>
      <c r="HJQ102" s="414"/>
      <c r="HJT102" s="445"/>
      <c r="HJU102" s="414"/>
      <c r="HJX102" s="445"/>
      <c r="HJY102" s="414"/>
      <c r="HKB102" s="445"/>
      <c r="HKC102" s="414"/>
      <c r="HKF102" s="445"/>
      <c r="HKG102" s="414"/>
      <c r="HKJ102" s="445"/>
      <c r="HKK102" s="414"/>
      <c r="HKN102" s="445"/>
      <c r="HKO102" s="414"/>
      <c r="HKR102" s="445"/>
      <c r="HKS102" s="414"/>
      <c r="HKV102" s="445"/>
      <c r="HKW102" s="414"/>
      <c r="HKZ102" s="445"/>
      <c r="HLA102" s="414"/>
      <c r="HLD102" s="445"/>
      <c r="HLE102" s="414"/>
      <c r="HLH102" s="445"/>
      <c r="HLI102" s="414"/>
      <c r="HLL102" s="445"/>
      <c r="HLM102" s="414"/>
      <c r="HLP102" s="445"/>
      <c r="HLQ102" s="414"/>
      <c r="HLT102" s="445"/>
      <c r="HLU102" s="414"/>
      <c r="HLX102" s="445"/>
      <c r="HLY102" s="414"/>
      <c r="HMB102" s="445"/>
      <c r="HMC102" s="414"/>
      <c r="HMF102" s="445"/>
      <c r="HMG102" s="414"/>
      <c r="HMJ102" s="445"/>
      <c r="HMK102" s="414"/>
      <c r="HMN102" s="445"/>
      <c r="HMO102" s="414"/>
      <c r="HMR102" s="445"/>
      <c r="HMS102" s="414"/>
      <c r="HMV102" s="445"/>
      <c r="HMW102" s="414"/>
      <c r="HMZ102" s="445"/>
      <c r="HNA102" s="414"/>
      <c r="HND102" s="445"/>
      <c r="HNE102" s="414"/>
      <c r="HNH102" s="445"/>
      <c r="HNI102" s="414"/>
      <c r="HNL102" s="445"/>
      <c r="HNM102" s="414"/>
      <c r="HNP102" s="445"/>
      <c r="HNQ102" s="414"/>
      <c r="HNT102" s="445"/>
      <c r="HNU102" s="414"/>
      <c r="HNX102" s="445"/>
      <c r="HNY102" s="414"/>
      <c r="HOB102" s="445"/>
      <c r="HOC102" s="414"/>
      <c r="HOF102" s="445"/>
      <c r="HOG102" s="414"/>
      <c r="HOJ102" s="445"/>
      <c r="HOK102" s="414"/>
      <c r="HON102" s="445"/>
      <c r="HOO102" s="414"/>
      <c r="HOR102" s="445"/>
      <c r="HOS102" s="414"/>
      <c r="HOV102" s="445"/>
      <c r="HOW102" s="414"/>
      <c r="HOZ102" s="445"/>
      <c r="HPA102" s="414"/>
      <c r="HPD102" s="445"/>
      <c r="HPE102" s="414"/>
      <c r="HPH102" s="445"/>
      <c r="HPI102" s="414"/>
      <c r="HPL102" s="445"/>
      <c r="HPM102" s="414"/>
      <c r="HPP102" s="445"/>
      <c r="HPQ102" s="414"/>
      <c r="HPT102" s="445"/>
      <c r="HPU102" s="414"/>
      <c r="HPX102" s="445"/>
      <c r="HPY102" s="414"/>
      <c r="HQB102" s="445"/>
      <c r="HQC102" s="414"/>
      <c r="HQF102" s="445"/>
      <c r="HQG102" s="414"/>
      <c r="HQJ102" s="445"/>
      <c r="HQK102" s="414"/>
      <c r="HQN102" s="445"/>
      <c r="HQO102" s="414"/>
      <c r="HQR102" s="445"/>
      <c r="HQS102" s="414"/>
      <c r="HQV102" s="445"/>
      <c r="HQW102" s="414"/>
      <c r="HQZ102" s="445"/>
      <c r="HRA102" s="414"/>
      <c r="HRD102" s="445"/>
      <c r="HRE102" s="414"/>
      <c r="HRH102" s="445"/>
      <c r="HRI102" s="414"/>
      <c r="HRL102" s="445"/>
      <c r="HRM102" s="414"/>
      <c r="HRP102" s="445"/>
      <c r="HRQ102" s="414"/>
      <c r="HRT102" s="445"/>
      <c r="HRU102" s="414"/>
      <c r="HRX102" s="445"/>
      <c r="HRY102" s="414"/>
      <c r="HSB102" s="445"/>
      <c r="HSC102" s="414"/>
      <c r="HSF102" s="445"/>
      <c r="HSG102" s="414"/>
      <c r="HSJ102" s="445"/>
      <c r="HSK102" s="414"/>
      <c r="HSN102" s="445"/>
      <c r="HSO102" s="414"/>
      <c r="HSR102" s="445"/>
      <c r="HSS102" s="414"/>
      <c r="HSV102" s="445"/>
      <c r="HSW102" s="414"/>
      <c r="HSZ102" s="445"/>
      <c r="HTA102" s="414"/>
      <c r="HTD102" s="445"/>
      <c r="HTE102" s="414"/>
      <c r="HTH102" s="445"/>
      <c r="HTI102" s="414"/>
      <c r="HTL102" s="445"/>
      <c r="HTM102" s="414"/>
      <c r="HTP102" s="445"/>
      <c r="HTQ102" s="414"/>
      <c r="HTT102" s="445"/>
      <c r="HTU102" s="414"/>
      <c r="HTX102" s="445"/>
      <c r="HTY102" s="414"/>
      <c r="HUB102" s="445"/>
      <c r="HUC102" s="414"/>
      <c r="HUF102" s="445"/>
      <c r="HUG102" s="414"/>
      <c r="HUJ102" s="445"/>
      <c r="HUK102" s="414"/>
      <c r="HUN102" s="445"/>
      <c r="HUO102" s="414"/>
      <c r="HUR102" s="445"/>
      <c r="HUS102" s="414"/>
      <c r="HUV102" s="445"/>
      <c r="HUW102" s="414"/>
      <c r="HUZ102" s="445"/>
      <c r="HVA102" s="414"/>
      <c r="HVD102" s="445"/>
      <c r="HVE102" s="414"/>
      <c r="HVH102" s="445"/>
      <c r="HVI102" s="414"/>
      <c r="HVL102" s="445"/>
      <c r="HVM102" s="414"/>
      <c r="HVP102" s="445"/>
      <c r="HVQ102" s="414"/>
      <c r="HVT102" s="445"/>
      <c r="HVU102" s="414"/>
      <c r="HVX102" s="445"/>
      <c r="HVY102" s="414"/>
      <c r="HWB102" s="445"/>
      <c r="HWC102" s="414"/>
      <c r="HWF102" s="445"/>
      <c r="HWG102" s="414"/>
      <c r="HWJ102" s="445"/>
      <c r="HWK102" s="414"/>
      <c r="HWN102" s="445"/>
      <c r="HWO102" s="414"/>
      <c r="HWR102" s="445"/>
      <c r="HWS102" s="414"/>
      <c r="HWV102" s="445"/>
      <c r="HWW102" s="414"/>
      <c r="HWZ102" s="445"/>
      <c r="HXA102" s="414"/>
      <c r="HXD102" s="445"/>
      <c r="HXE102" s="414"/>
      <c r="HXH102" s="445"/>
      <c r="HXI102" s="414"/>
      <c r="HXL102" s="445"/>
      <c r="HXM102" s="414"/>
      <c r="HXP102" s="445"/>
      <c r="HXQ102" s="414"/>
      <c r="HXT102" s="445"/>
      <c r="HXU102" s="414"/>
      <c r="HXX102" s="445"/>
      <c r="HXY102" s="414"/>
      <c r="HYB102" s="445"/>
      <c r="HYC102" s="414"/>
      <c r="HYF102" s="445"/>
      <c r="HYG102" s="414"/>
      <c r="HYJ102" s="445"/>
      <c r="HYK102" s="414"/>
      <c r="HYN102" s="445"/>
      <c r="HYO102" s="414"/>
      <c r="HYR102" s="445"/>
      <c r="HYS102" s="414"/>
      <c r="HYV102" s="445"/>
      <c r="HYW102" s="414"/>
      <c r="HYZ102" s="445"/>
      <c r="HZA102" s="414"/>
      <c r="HZD102" s="445"/>
      <c r="HZE102" s="414"/>
      <c r="HZH102" s="445"/>
      <c r="HZI102" s="414"/>
      <c r="HZL102" s="445"/>
      <c r="HZM102" s="414"/>
      <c r="HZP102" s="445"/>
      <c r="HZQ102" s="414"/>
      <c r="HZT102" s="445"/>
      <c r="HZU102" s="414"/>
      <c r="HZX102" s="445"/>
      <c r="HZY102" s="414"/>
      <c r="IAB102" s="445"/>
      <c r="IAC102" s="414"/>
      <c r="IAF102" s="445"/>
      <c r="IAG102" s="414"/>
      <c r="IAJ102" s="445"/>
      <c r="IAK102" s="414"/>
      <c r="IAN102" s="445"/>
      <c r="IAO102" s="414"/>
      <c r="IAR102" s="445"/>
      <c r="IAS102" s="414"/>
      <c r="IAV102" s="445"/>
      <c r="IAW102" s="414"/>
      <c r="IAZ102" s="445"/>
      <c r="IBA102" s="414"/>
      <c r="IBD102" s="445"/>
      <c r="IBE102" s="414"/>
      <c r="IBH102" s="445"/>
      <c r="IBI102" s="414"/>
      <c r="IBL102" s="445"/>
      <c r="IBM102" s="414"/>
      <c r="IBP102" s="445"/>
      <c r="IBQ102" s="414"/>
      <c r="IBT102" s="445"/>
      <c r="IBU102" s="414"/>
      <c r="IBX102" s="445"/>
      <c r="IBY102" s="414"/>
      <c r="ICB102" s="445"/>
      <c r="ICC102" s="414"/>
      <c r="ICF102" s="445"/>
      <c r="ICG102" s="414"/>
      <c r="ICJ102" s="445"/>
      <c r="ICK102" s="414"/>
      <c r="ICN102" s="445"/>
      <c r="ICO102" s="414"/>
      <c r="ICR102" s="445"/>
      <c r="ICS102" s="414"/>
      <c r="ICV102" s="445"/>
      <c r="ICW102" s="414"/>
      <c r="ICZ102" s="445"/>
      <c r="IDA102" s="414"/>
      <c r="IDD102" s="445"/>
      <c r="IDE102" s="414"/>
      <c r="IDH102" s="445"/>
      <c r="IDI102" s="414"/>
      <c r="IDL102" s="445"/>
      <c r="IDM102" s="414"/>
      <c r="IDP102" s="445"/>
      <c r="IDQ102" s="414"/>
      <c r="IDT102" s="445"/>
      <c r="IDU102" s="414"/>
      <c r="IDX102" s="445"/>
      <c r="IDY102" s="414"/>
      <c r="IEB102" s="445"/>
      <c r="IEC102" s="414"/>
      <c r="IEF102" s="445"/>
      <c r="IEG102" s="414"/>
      <c r="IEJ102" s="445"/>
      <c r="IEK102" s="414"/>
      <c r="IEN102" s="445"/>
      <c r="IEO102" s="414"/>
      <c r="IER102" s="445"/>
      <c r="IES102" s="414"/>
      <c r="IEV102" s="445"/>
      <c r="IEW102" s="414"/>
      <c r="IEZ102" s="445"/>
      <c r="IFA102" s="414"/>
      <c r="IFD102" s="445"/>
      <c r="IFE102" s="414"/>
      <c r="IFH102" s="445"/>
      <c r="IFI102" s="414"/>
      <c r="IFL102" s="445"/>
      <c r="IFM102" s="414"/>
      <c r="IFP102" s="445"/>
      <c r="IFQ102" s="414"/>
      <c r="IFT102" s="445"/>
      <c r="IFU102" s="414"/>
      <c r="IFX102" s="445"/>
      <c r="IFY102" s="414"/>
      <c r="IGB102" s="445"/>
      <c r="IGC102" s="414"/>
      <c r="IGF102" s="445"/>
      <c r="IGG102" s="414"/>
      <c r="IGJ102" s="445"/>
      <c r="IGK102" s="414"/>
      <c r="IGN102" s="445"/>
      <c r="IGO102" s="414"/>
      <c r="IGR102" s="445"/>
      <c r="IGS102" s="414"/>
      <c r="IGV102" s="445"/>
      <c r="IGW102" s="414"/>
      <c r="IGZ102" s="445"/>
      <c r="IHA102" s="414"/>
      <c r="IHD102" s="445"/>
      <c r="IHE102" s="414"/>
      <c r="IHH102" s="445"/>
      <c r="IHI102" s="414"/>
      <c r="IHL102" s="445"/>
      <c r="IHM102" s="414"/>
      <c r="IHP102" s="445"/>
      <c r="IHQ102" s="414"/>
      <c r="IHT102" s="445"/>
      <c r="IHU102" s="414"/>
      <c r="IHX102" s="445"/>
      <c r="IHY102" s="414"/>
      <c r="IIB102" s="445"/>
      <c r="IIC102" s="414"/>
      <c r="IIF102" s="445"/>
      <c r="IIG102" s="414"/>
      <c r="IIJ102" s="445"/>
      <c r="IIK102" s="414"/>
      <c r="IIN102" s="445"/>
      <c r="IIO102" s="414"/>
      <c r="IIR102" s="445"/>
      <c r="IIS102" s="414"/>
      <c r="IIV102" s="445"/>
      <c r="IIW102" s="414"/>
      <c r="IIZ102" s="445"/>
      <c r="IJA102" s="414"/>
      <c r="IJD102" s="445"/>
      <c r="IJE102" s="414"/>
      <c r="IJH102" s="445"/>
      <c r="IJI102" s="414"/>
      <c r="IJL102" s="445"/>
      <c r="IJM102" s="414"/>
      <c r="IJP102" s="445"/>
      <c r="IJQ102" s="414"/>
      <c r="IJT102" s="445"/>
      <c r="IJU102" s="414"/>
      <c r="IJX102" s="445"/>
      <c r="IJY102" s="414"/>
      <c r="IKB102" s="445"/>
      <c r="IKC102" s="414"/>
      <c r="IKF102" s="445"/>
      <c r="IKG102" s="414"/>
      <c r="IKJ102" s="445"/>
      <c r="IKK102" s="414"/>
      <c r="IKN102" s="445"/>
      <c r="IKO102" s="414"/>
      <c r="IKR102" s="445"/>
      <c r="IKS102" s="414"/>
      <c r="IKV102" s="445"/>
      <c r="IKW102" s="414"/>
      <c r="IKZ102" s="445"/>
      <c r="ILA102" s="414"/>
      <c r="ILD102" s="445"/>
      <c r="ILE102" s="414"/>
      <c r="ILH102" s="445"/>
      <c r="ILI102" s="414"/>
      <c r="ILL102" s="445"/>
      <c r="ILM102" s="414"/>
      <c r="ILP102" s="445"/>
      <c r="ILQ102" s="414"/>
      <c r="ILT102" s="445"/>
      <c r="ILU102" s="414"/>
      <c r="ILX102" s="445"/>
      <c r="ILY102" s="414"/>
      <c r="IMB102" s="445"/>
      <c r="IMC102" s="414"/>
      <c r="IMF102" s="445"/>
      <c r="IMG102" s="414"/>
      <c r="IMJ102" s="445"/>
      <c r="IMK102" s="414"/>
      <c r="IMN102" s="445"/>
      <c r="IMO102" s="414"/>
      <c r="IMR102" s="445"/>
      <c r="IMS102" s="414"/>
      <c r="IMV102" s="445"/>
      <c r="IMW102" s="414"/>
      <c r="IMZ102" s="445"/>
      <c r="INA102" s="414"/>
      <c r="IND102" s="445"/>
      <c r="INE102" s="414"/>
      <c r="INH102" s="445"/>
      <c r="INI102" s="414"/>
      <c r="INL102" s="445"/>
      <c r="INM102" s="414"/>
      <c r="INP102" s="445"/>
      <c r="INQ102" s="414"/>
      <c r="INT102" s="445"/>
      <c r="INU102" s="414"/>
      <c r="INX102" s="445"/>
      <c r="INY102" s="414"/>
      <c r="IOB102" s="445"/>
      <c r="IOC102" s="414"/>
      <c r="IOF102" s="445"/>
      <c r="IOG102" s="414"/>
      <c r="IOJ102" s="445"/>
      <c r="IOK102" s="414"/>
      <c r="ION102" s="445"/>
      <c r="IOO102" s="414"/>
      <c r="IOR102" s="445"/>
      <c r="IOS102" s="414"/>
      <c r="IOV102" s="445"/>
      <c r="IOW102" s="414"/>
      <c r="IOZ102" s="445"/>
      <c r="IPA102" s="414"/>
      <c r="IPD102" s="445"/>
      <c r="IPE102" s="414"/>
      <c r="IPH102" s="445"/>
      <c r="IPI102" s="414"/>
      <c r="IPL102" s="445"/>
      <c r="IPM102" s="414"/>
      <c r="IPP102" s="445"/>
      <c r="IPQ102" s="414"/>
      <c r="IPT102" s="445"/>
      <c r="IPU102" s="414"/>
      <c r="IPX102" s="445"/>
      <c r="IPY102" s="414"/>
      <c r="IQB102" s="445"/>
      <c r="IQC102" s="414"/>
      <c r="IQF102" s="445"/>
      <c r="IQG102" s="414"/>
      <c r="IQJ102" s="445"/>
      <c r="IQK102" s="414"/>
      <c r="IQN102" s="445"/>
      <c r="IQO102" s="414"/>
      <c r="IQR102" s="445"/>
      <c r="IQS102" s="414"/>
      <c r="IQV102" s="445"/>
      <c r="IQW102" s="414"/>
      <c r="IQZ102" s="445"/>
      <c r="IRA102" s="414"/>
      <c r="IRD102" s="445"/>
      <c r="IRE102" s="414"/>
      <c r="IRH102" s="445"/>
      <c r="IRI102" s="414"/>
      <c r="IRL102" s="445"/>
      <c r="IRM102" s="414"/>
      <c r="IRP102" s="445"/>
      <c r="IRQ102" s="414"/>
      <c r="IRT102" s="445"/>
      <c r="IRU102" s="414"/>
      <c r="IRX102" s="445"/>
      <c r="IRY102" s="414"/>
      <c r="ISB102" s="445"/>
      <c r="ISC102" s="414"/>
      <c r="ISF102" s="445"/>
      <c r="ISG102" s="414"/>
      <c r="ISJ102" s="445"/>
      <c r="ISK102" s="414"/>
      <c r="ISN102" s="445"/>
      <c r="ISO102" s="414"/>
      <c r="ISR102" s="445"/>
      <c r="ISS102" s="414"/>
      <c r="ISV102" s="445"/>
      <c r="ISW102" s="414"/>
      <c r="ISZ102" s="445"/>
      <c r="ITA102" s="414"/>
      <c r="ITD102" s="445"/>
      <c r="ITE102" s="414"/>
      <c r="ITH102" s="445"/>
      <c r="ITI102" s="414"/>
      <c r="ITL102" s="445"/>
      <c r="ITM102" s="414"/>
      <c r="ITP102" s="445"/>
      <c r="ITQ102" s="414"/>
      <c r="ITT102" s="445"/>
      <c r="ITU102" s="414"/>
      <c r="ITX102" s="445"/>
      <c r="ITY102" s="414"/>
      <c r="IUB102" s="445"/>
      <c r="IUC102" s="414"/>
      <c r="IUF102" s="445"/>
      <c r="IUG102" s="414"/>
      <c r="IUJ102" s="445"/>
      <c r="IUK102" s="414"/>
      <c r="IUN102" s="445"/>
      <c r="IUO102" s="414"/>
      <c r="IUR102" s="445"/>
      <c r="IUS102" s="414"/>
      <c r="IUV102" s="445"/>
      <c r="IUW102" s="414"/>
      <c r="IUZ102" s="445"/>
      <c r="IVA102" s="414"/>
      <c r="IVD102" s="445"/>
      <c r="IVE102" s="414"/>
      <c r="IVH102" s="445"/>
      <c r="IVI102" s="414"/>
      <c r="IVL102" s="445"/>
      <c r="IVM102" s="414"/>
      <c r="IVP102" s="445"/>
      <c r="IVQ102" s="414"/>
      <c r="IVT102" s="445"/>
      <c r="IVU102" s="414"/>
      <c r="IVX102" s="445"/>
      <c r="IVY102" s="414"/>
      <c r="IWB102" s="445"/>
      <c r="IWC102" s="414"/>
      <c r="IWF102" s="445"/>
      <c r="IWG102" s="414"/>
      <c r="IWJ102" s="445"/>
      <c r="IWK102" s="414"/>
      <c r="IWN102" s="445"/>
      <c r="IWO102" s="414"/>
      <c r="IWR102" s="445"/>
      <c r="IWS102" s="414"/>
      <c r="IWV102" s="445"/>
      <c r="IWW102" s="414"/>
      <c r="IWZ102" s="445"/>
      <c r="IXA102" s="414"/>
      <c r="IXD102" s="445"/>
      <c r="IXE102" s="414"/>
      <c r="IXH102" s="445"/>
      <c r="IXI102" s="414"/>
      <c r="IXL102" s="445"/>
      <c r="IXM102" s="414"/>
      <c r="IXP102" s="445"/>
      <c r="IXQ102" s="414"/>
      <c r="IXT102" s="445"/>
      <c r="IXU102" s="414"/>
      <c r="IXX102" s="445"/>
      <c r="IXY102" s="414"/>
      <c r="IYB102" s="445"/>
      <c r="IYC102" s="414"/>
      <c r="IYF102" s="445"/>
      <c r="IYG102" s="414"/>
      <c r="IYJ102" s="445"/>
      <c r="IYK102" s="414"/>
      <c r="IYN102" s="445"/>
      <c r="IYO102" s="414"/>
      <c r="IYR102" s="445"/>
      <c r="IYS102" s="414"/>
      <c r="IYV102" s="445"/>
      <c r="IYW102" s="414"/>
      <c r="IYZ102" s="445"/>
      <c r="IZA102" s="414"/>
      <c r="IZD102" s="445"/>
      <c r="IZE102" s="414"/>
      <c r="IZH102" s="445"/>
      <c r="IZI102" s="414"/>
      <c r="IZL102" s="445"/>
      <c r="IZM102" s="414"/>
      <c r="IZP102" s="445"/>
      <c r="IZQ102" s="414"/>
      <c r="IZT102" s="445"/>
      <c r="IZU102" s="414"/>
      <c r="IZX102" s="445"/>
      <c r="IZY102" s="414"/>
      <c r="JAB102" s="445"/>
      <c r="JAC102" s="414"/>
      <c r="JAF102" s="445"/>
      <c r="JAG102" s="414"/>
      <c r="JAJ102" s="445"/>
      <c r="JAK102" s="414"/>
      <c r="JAN102" s="445"/>
      <c r="JAO102" s="414"/>
      <c r="JAR102" s="445"/>
      <c r="JAS102" s="414"/>
      <c r="JAV102" s="445"/>
      <c r="JAW102" s="414"/>
      <c r="JAZ102" s="445"/>
      <c r="JBA102" s="414"/>
      <c r="JBD102" s="445"/>
      <c r="JBE102" s="414"/>
      <c r="JBH102" s="445"/>
      <c r="JBI102" s="414"/>
      <c r="JBL102" s="445"/>
      <c r="JBM102" s="414"/>
      <c r="JBP102" s="445"/>
      <c r="JBQ102" s="414"/>
      <c r="JBT102" s="445"/>
      <c r="JBU102" s="414"/>
      <c r="JBX102" s="445"/>
      <c r="JBY102" s="414"/>
      <c r="JCB102" s="445"/>
      <c r="JCC102" s="414"/>
      <c r="JCF102" s="445"/>
      <c r="JCG102" s="414"/>
      <c r="JCJ102" s="445"/>
      <c r="JCK102" s="414"/>
      <c r="JCN102" s="445"/>
      <c r="JCO102" s="414"/>
      <c r="JCR102" s="445"/>
      <c r="JCS102" s="414"/>
      <c r="JCV102" s="445"/>
      <c r="JCW102" s="414"/>
      <c r="JCZ102" s="445"/>
      <c r="JDA102" s="414"/>
      <c r="JDD102" s="445"/>
      <c r="JDE102" s="414"/>
      <c r="JDH102" s="445"/>
      <c r="JDI102" s="414"/>
      <c r="JDL102" s="445"/>
      <c r="JDM102" s="414"/>
      <c r="JDP102" s="445"/>
      <c r="JDQ102" s="414"/>
      <c r="JDT102" s="445"/>
      <c r="JDU102" s="414"/>
      <c r="JDX102" s="445"/>
      <c r="JDY102" s="414"/>
      <c r="JEB102" s="445"/>
      <c r="JEC102" s="414"/>
      <c r="JEF102" s="445"/>
      <c r="JEG102" s="414"/>
      <c r="JEJ102" s="445"/>
      <c r="JEK102" s="414"/>
      <c r="JEN102" s="445"/>
      <c r="JEO102" s="414"/>
      <c r="JER102" s="445"/>
      <c r="JES102" s="414"/>
      <c r="JEV102" s="445"/>
      <c r="JEW102" s="414"/>
      <c r="JEZ102" s="445"/>
      <c r="JFA102" s="414"/>
      <c r="JFD102" s="445"/>
      <c r="JFE102" s="414"/>
      <c r="JFH102" s="445"/>
      <c r="JFI102" s="414"/>
      <c r="JFL102" s="445"/>
      <c r="JFM102" s="414"/>
      <c r="JFP102" s="445"/>
      <c r="JFQ102" s="414"/>
      <c r="JFT102" s="445"/>
      <c r="JFU102" s="414"/>
      <c r="JFX102" s="445"/>
      <c r="JFY102" s="414"/>
      <c r="JGB102" s="445"/>
      <c r="JGC102" s="414"/>
      <c r="JGF102" s="445"/>
      <c r="JGG102" s="414"/>
      <c r="JGJ102" s="445"/>
      <c r="JGK102" s="414"/>
      <c r="JGN102" s="445"/>
      <c r="JGO102" s="414"/>
      <c r="JGR102" s="445"/>
      <c r="JGS102" s="414"/>
      <c r="JGV102" s="445"/>
      <c r="JGW102" s="414"/>
      <c r="JGZ102" s="445"/>
      <c r="JHA102" s="414"/>
      <c r="JHD102" s="445"/>
      <c r="JHE102" s="414"/>
      <c r="JHH102" s="445"/>
      <c r="JHI102" s="414"/>
      <c r="JHL102" s="445"/>
      <c r="JHM102" s="414"/>
      <c r="JHP102" s="445"/>
      <c r="JHQ102" s="414"/>
      <c r="JHT102" s="445"/>
      <c r="JHU102" s="414"/>
      <c r="JHX102" s="445"/>
      <c r="JHY102" s="414"/>
      <c r="JIB102" s="445"/>
      <c r="JIC102" s="414"/>
      <c r="JIF102" s="445"/>
      <c r="JIG102" s="414"/>
      <c r="JIJ102" s="445"/>
      <c r="JIK102" s="414"/>
      <c r="JIN102" s="445"/>
      <c r="JIO102" s="414"/>
      <c r="JIR102" s="445"/>
      <c r="JIS102" s="414"/>
      <c r="JIV102" s="445"/>
      <c r="JIW102" s="414"/>
      <c r="JIZ102" s="445"/>
      <c r="JJA102" s="414"/>
      <c r="JJD102" s="445"/>
      <c r="JJE102" s="414"/>
      <c r="JJH102" s="445"/>
      <c r="JJI102" s="414"/>
      <c r="JJL102" s="445"/>
      <c r="JJM102" s="414"/>
      <c r="JJP102" s="445"/>
      <c r="JJQ102" s="414"/>
      <c r="JJT102" s="445"/>
      <c r="JJU102" s="414"/>
      <c r="JJX102" s="445"/>
      <c r="JJY102" s="414"/>
      <c r="JKB102" s="445"/>
      <c r="JKC102" s="414"/>
      <c r="JKF102" s="445"/>
      <c r="JKG102" s="414"/>
      <c r="JKJ102" s="445"/>
      <c r="JKK102" s="414"/>
      <c r="JKN102" s="445"/>
      <c r="JKO102" s="414"/>
      <c r="JKR102" s="445"/>
      <c r="JKS102" s="414"/>
      <c r="JKV102" s="445"/>
      <c r="JKW102" s="414"/>
      <c r="JKZ102" s="445"/>
      <c r="JLA102" s="414"/>
      <c r="JLD102" s="445"/>
      <c r="JLE102" s="414"/>
      <c r="JLH102" s="445"/>
      <c r="JLI102" s="414"/>
      <c r="JLL102" s="445"/>
      <c r="JLM102" s="414"/>
      <c r="JLP102" s="445"/>
      <c r="JLQ102" s="414"/>
      <c r="JLT102" s="445"/>
      <c r="JLU102" s="414"/>
      <c r="JLX102" s="445"/>
      <c r="JLY102" s="414"/>
      <c r="JMB102" s="445"/>
      <c r="JMC102" s="414"/>
      <c r="JMF102" s="445"/>
      <c r="JMG102" s="414"/>
      <c r="JMJ102" s="445"/>
      <c r="JMK102" s="414"/>
      <c r="JMN102" s="445"/>
      <c r="JMO102" s="414"/>
      <c r="JMR102" s="445"/>
      <c r="JMS102" s="414"/>
      <c r="JMV102" s="445"/>
      <c r="JMW102" s="414"/>
      <c r="JMZ102" s="445"/>
      <c r="JNA102" s="414"/>
      <c r="JND102" s="445"/>
      <c r="JNE102" s="414"/>
      <c r="JNH102" s="445"/>
      <c r="JNI102" s="414"/>
      <c r="JNL102" s="445"/>
      <c r="JNM102" s="414"/>
      <c r="JNP102" s="445"/>
      <c r="JNQ102" s="414"/>
      <c r="JNT102" s="445"/>
      <c r="JNU102" s="414"/>
      <c r="JNX102" s="445"/>
      <c r="JNY102" s="414"/>
      <c r="JOB102" s="445"/>
      <c r="JOC102" s="414"/>
      <c r="JOF102" s="445"/>
      <c r="JOG102" s="414"/>
      <c r="JOJ102" s="445"/>
      <c r="JOK102" s="414"/>
      <c r="JON102" s="445"/>
      <c r="JOO102" s="414"/>
      <c r="JOR102" s="445"/>
      <c r="JOS102" s="414"/>
      <c r="JOV102" s="445"/>
      <c r="JOW102" s="414"/>
      <c r="JOZ102" s="445"/>
      <c r="JPA102" s="414"/>
      <c r="JPD102" s="445"/>
      <c r="JPE102" s="414"/>
      <c r="JPH102" s="445"/>
      <c r="JPI102" s="414"/>
      <c r="JPL102" s="445"/>
      <c r="JPM102" s="414"/>
      <c r="JPP102" s="445"/>
      <c r="JPQ102" s="414"/>
      <c r="JPT102" s="445"/>
      <c r="JPU102" s="414"/>
      <c r="JPX102" s="445"/>
      <c r="JPY102" s="414"/>
      <c r="JQB102" s="445"/>
      <c r="JQC102" s="414"/>
      <c r="JQF102" s="445"/>
      <c r="JQG102" s="414"/>
      <c r="JQJ102" s="445"/>
      <c r="JQK102" s="414"/>
      <c r="JQN102" s="445"/>
      <c r="JQO102" s="414"/>
      <c r="JQR102" s="445"/>
      <c r="JQS102" s="414"/>
      <c r="JQV102" s="445"/>
      <c r="JQW102" s="414"/>
      <c r="JQZ102" s="445"/>
      <c r="JRA102" s="414"/>
      <c r="JRD102" s="445"/>
      <c r="JRE102" s="414"/>
      <c r="JRH102" s="445"/>
      <c r="JRI102" s="414"/>
      <c r="JRL102" s="445"/>
      <c r="JRM102" s="414"/>
      <c r="JRP102" s="445"/>
      <c r="JRQ102" s="414"/>
      <c r="JRT102" s="445"/>
      <c r="JRU102" s="414"/>
      <c r="JRX102" s="445"/>
      <c r="JRY102" s="414"/>
      <c r="JSB102" s="445"/>
      <c r="JSC102" s="414"/>
      <c r="JSF102" s="445"/>
      <c r="JSG102" s="414"/>
      <c r="JSJ102" s="445"/>
      <c r="JSK102" s="414"/>
      <c r="JSN102" s="445"/>
      <c r="JSO102" s="414"/>
      <c r="JSR102" s="445"/>
      <c r="JSS102" s="414"/>
      <c r="JSV102" s="445"/>
      <c r="JSW102" s="414"/>
      <c r="JSZ102" s="445"/>
      <c r="JTA102" s="414"/>
      <c r="JTD102" s="445"/>
      <c r="JTE102" s="414"/>
      <c r="JTH102" s="445"/>
      <c r="JTI102" s="414"/>
      <c r="JTL102" s="445"/>
      <c r="JTM102" s="414"/>
      <c r="JTP102" s="445"/>
      <c r="JTQ102" s="414"/>
      <c r="JTT102" s="445"/>
      <c r="JTU102" s="414"/>
      <c r="JTX102" s="445"/>
      <c r="JTY102" s="414"/>
      <c r="JUB102" s="445"/>
      <c r="JUC102" s="414"/>
      <c r="JUF102" s="445"/>
      <c r="JUG102" s="414"/>
      <c r="JUJ102" s="445"/>
      <c r="JUK102" s="414"/>
      <c r="JUN102" s="445"/>
      <c r="JUO102" s="414"/>
      <c r="JUR102" s="445"/>
      <c r="JUS102" s="414"/>
      <c r="JUV102" s="445"/>
      <c r="JUW102" s="414"/>
      <c r="JUZ102" s="445"/>
      <c r="JVA102" s="414"/>
      <c r="JVD102" s="445"/>
      <c r="JVE102" s="414"/>
      <c r="JVH102" s="445"/>
      <c r="JVI102" s="414"/>
      <c r="JVL102" s="445"/>
      <c r="JVM102" s="414"/>
      <c r="JVP102" s="445"/>
      <c r="JVQ102" s="414"/>
      <c r="JVT102" s="445"/>
      <c r="JVU102" s="414"/>
      <c r="JVX102" s="445"/>
      <c r="JVY102" s="414"/>
      <c r="JWB102" s="445"/>
      <c r="JWC102" s="414"/>
      <c r="JWF102" s="445"/>
      <c r="JWG102" s="414"/>
      <c r="JWJ102" s="445"/>
      <c r="JWK102" s="414"/>
      <c r="JWN102" s="445"/>
      <c r="JWO102" s="414"/>
      <c r="JWR102" s="445"/>
      <c r="JWS102" s="414"/>
      <c r="JWV102" s="445"/>
      <c r="JWW102" s="414"/>
      <c r="JWZ102" s="445"/>
      <c r="JXA102" s="414"/>
      <c r="JXD102" s="445"/>
      <c r="JXE102" s="414"/>
      <c r="JXH102" s="445"/>
      <c r="JXI102" s="414"/>
      <c r="JXL102" s="445"/>
      <c r="JXM102" s="414"/>
      <c r="JXP102" s="445"/>
      <c r="JXQ102" s="414"/>
      <c r="JXT102" s="445"/>
      <c r="JXU102" s="414"/>
      <c r="JXX102" s="445"/>
      <c r="JXY102" s="414"/>
      <c r="JYB102" s="445"/>
      <c r="JYC102" s="414"/>
      <c r="JYF102" s="445"/>
      <c r="JYG102" s="414"/>
      <c r="JYJ102" s="445"/>
      <c r="JYK102" s="414"/>
      <c r="JYN102" s="445"/>
      <c r="JYO102" s="414"/>
      <c r="JYR102" s="445"/>
      <c r="JYS102" s="414"/>
      <c r="JYV102" s="445"/>
      <c r="JYW102" s="414"/>
      <c r="JYZ102" s="445"/>
      <c r="JZA102" s="414"/>
      <c r="JZD102" s="445"/>
      <c r="JZE102" s="414"/>
      <c r="JZH102" s="445"/>
      <c r="JZI102" s="414"/>
      <c r="JZL102" s="445"/>
      <c r="JZM102" s="414"/>
      <c r="JZP102" s="445"/>
      <c r="JZQ102" s="414"/>
      <c r="JZT102" s="445"/>
      <c r="JZU102" s="414"/>
      <c r="JZX102" s="445"/>
      <c r="JZY102" s="414"/>
      <c r="KAB102" s="445"/>
      <c r="KAC102" s="414"/>
      <c r="KAF102" s="445"/>
      <c r="KAG102" s="414"/>
      <c r="KAJ102" s="445"/>
      <c r="KAK102" s="414"/>
      <c r="KAN102" s="445"/>
      <c r="KAO102" s="414"/>
      <c r="KAR102" s="445"/>
      <c r="KAS102" s="414"/>
      <c r="KAV102" s="445"/>
      <c r="KAW102" s="414"/>
      <c r="KAZ102" s="445"/>
      <c r="KBA102" s="414"/>
      <c r="KBD102" s="445"/>
      <c r="KBE102" s="414"/>
      <c r="KBH102" s="445"/>
      <c r="KBI102" s="414"/>
      <c r="KBL102" s="445"/>
      <c r="KBM102" s="414"/>
      <c r="KBP102" s="445"/>
      <c r="KBQ102" s="414"/>
      <c r="KBT102" s="445"/>
      <c r="KBU102" s="414"/>
      <c r="KBX102" s="445"/>
      <c r="KBY102" s="414"/>
      <c r="KCB102" s="445"/>
      <c r="KCC102" s="414"/>
      <c r="KCF102" s="445"/>
      <c r="KCG102" s="414"/>
      <c r="KCJ102" s="445"/>
      <c r="KCK102" s="414"/>
      <c r="KCN102" s="445"/>
      <c r="KCO102" s="414"/>
      <c r="KCR102" s="445"/>
      <c r="KCS102" s="414"/>
      <c r="KCV102" s="445"/>
      <c r="KCW102" s="414"/>
      <c r="KCZ102" s="445"/>
      <c r="KDA102" s="414"/>
      <c r="KDD102" s="445"/>
      <c r="KDE102" s="414"/>
      <c r="KDH102" s="445"/>
      <c r="KDI102" s="414"/>
      <c r="KDL102" s="445"/>
      <c r="KDM102" s="414"/>
      <c r="KDP102" s="445"/>
      <c r="KDQ102" s="414"/>
      <c r="KDT102" s="445"/>
      <c r="KDU102" s="414"/>
      <c r="KDX102" s="445"/>
      <c r="KDY102" s="414"/>
      <c r="KEB102" s="445"/>
      <c r="KEC102" s="414"/>
      <c r="KEF102" s="445"/>
      <c r="KEG102" s="414"/>
      <c r="KEJ102" s="445"/>
      <c r="KEK102" s="414"/>
      <c r="KEN102" s="445"/>
      <c r="KEO102" s="414"/>
      <c r="KER102" s="445"/>
      <c r="KES102" s="414"/>
      <c r="KEV102" s="445"/>
      <c r="KEW102" s="414"/>
      <c r="KEZ102" s="445"/>
      <c r="KFA102" s="414"/>
      <c r="KFD102" s="445"/>
      <c r="KFE102" s="414"/>
      <c r="KFH102" s="445"/>
      <c r="KFI102" s="414"/>
      <c r="KFL102" s="445"/>
      <c r="KFM102" s="414"/>
      <c r="KFP102" s="445"/>
      <c r="KFQ102" s="414"/>
      <c r="KFT102" s="445"/>
      <c r="KFU102" s="414"/>
      <c r="KFX102" s="445"/>
      <c r="KFY102" s="414"/>
      <c r="KGB102" s="445"/>
      <c r="KGC102" s="414"/>
      <c r="KGF102" s="445"/>
      <c r="KGG102" s="414"/>
      <c r="KGJ102" s="445"/>
      <c r="KGK102" s="414"/>
      <c r="KGN102" s="445"/>
      <c r="KGO102" s="414"/>
      <c r="KGR102" s="445"/>
      <c r="KGS102" s="414"/>
      <c r="KGV102" s="445"/>
      <c r="KGW102" s="414"/>
      <c r="KGZ102" s="445"/>
      <c r="KHA102" s="414"/>
      <c r="KHD102" s="445"/>
      <c r="KHE102" s="414"/>
      <c r="KHH102" s="445"/>
      <c r="KHI102" s="414"/>
      <c r="KHL102" s="445"/>
      <c r="KHM102" s="414"/>
      <c r="KHP102" s="445"/>
      <c r="KHQ102" s="414"/>
      <c r="KHT102" s="445"/>
      <c r="KHU102" s="414"/>
      <c r="KHX102" s="445"/>
      <c r="KHY102" s="414"/>
      <c r="KIB102" s="445"/>
      <c r="KIC102" s="414"/>
      <c r="KIF102" s="445"/>
      <c r="KIG102" s="414"/>
      <c r="KIJ102" s="445"/>
      <c r="KIK102" s="414"/>
      <c r="KIN102" s="445"/>
      <c r="KIO102" s="414"/>
      <c r="KIR102" s="445"/>
      <c r="KIS102" s="414"/>
      <c r="KIV102" s="445"/>
      <c r="KIW102" s="414"/>
      <c r="KIZ102" s="445"/>
      <c r="KJA102" s="414"/>
      <c r="KJD102" s="445"/>
      <c r="KJE102" s="414"/>
      <c r="KJH102" s="445"/>
      <c r="KJI102" s="414"/>
      <c r="KJL102" s="445"/>
      <c r="KJM102" s="414"/>
      <c r="KJP102" s="445"/>
      <c r="KJQ102" s="414"/>
      <c r="KJT102" s="445"/>
      <c r="KJU102" s="414"/>
      <c r="KJX102" s="445"/>
      <c r="KJY102" s="414"/>
      <c r="KKB102" s="445"/>
      <c r="KKC102" s="414"/>
      <c r="KKF102" s="445"/>
      <c r="KKG102" s="414"/>
      <c r="KKJ102" s="445"/>
      <c r="KKK102" s="414"/>
      <c r="KKN102" s="445"/>
      <c r="KKO102" s="414"/>
      <c r="KKR102" s="445"/>
      <c r="KKS102" s="414"/>
      <c r="KKV102" s="445"/>
      <c r="KKW102" s="414"/>
      <c r="KKZ102" s="445"/>
      <c r="KLA102" s="414"/>
      <c r="KLD102" s="445"/>
      <c r="KLE102" s="414"/>
      <c r="KLH102" s="445"/>
      <c r="KLI102" s="414"/>
      <c r="KLL102" s="445"/>
      <c r="KLM102" s="414"/>
      <c r="KLP102" s="445"/>
      <c r="KLQ102" s="414"/>
      <c r="KLT102" s="445"/>
      <c r="KLU102" s="414"/>
      <c r="KLX102" s="445"/>
      <c r="KLY102" s="414"/>
      <c r="KMB102" s="445"/>
      <c r="KMC102" s="414"/>
      <c r="KMF102" s="445"/>
      <c r="KMG102" s="414"/>
      <c r="KMJ102" s="445"/>
      <c r="KMK102" s="414"/>
      <c r="KMN102" s="445"/>
      <c r="KMO102" s="414"/>
      <c r="KMR102" s="445"/>
      <c r="KMS102" s="414"/>
      <c r="KMV102" s="445"/>
      <c r="KMW102" s="414"/>
      <c r="KMZ102" s="445"/>
      <c r="KNA102" s="414"/>
      <c r="KND102" s="445"/>
      <c r="KNE102" s="414"/>
      <c r="KNH102" s="445"/>
      <c r="KNI102" s="414"/>
      <c r="KNL102" s="445"/>
      <c r="KNM102" s="414"/>
      <c r="KNP102" s="445"/>
      <c r="KNQ102" s="414"/>
      <c r="KNT102" s="445"/>
      <c r="KNU102" s="414"/>
      <c r="KNX102" s="445"/>
      <c r="KNY102" s="414"/>
      <c r="KOB102" s="445"/>
      <c r="KOC102" s="414"/>
      <c r="KOF102" s="445"/>
      <c r="KOG102" s="414"/>
      <c r="KOJ102" s="445"/>
      <c r="KOK102" s="414"/>
      <c r="KON102" s="445"/>
      <c r="KOO102" s="414"/>
      <c r="KOR102" s="445"/>
      <c r="KOS102" s="414"/>
      <c r="KOV102" s="445"/>
      <c r="KOW102" s="414"/>
      <c r="KOZ102" s="445"/>
      <c r="KPA102" s="414"/>
      <c r="KPD102" s="445"/>
      <c r="KPE102" s="414"/>
      <c r="KPH102" s="445"/>
      <c r="KPI102" s="414"/>
      <c r="KPL102" s="445"/>
      <c r="KPM102" s="414"/>
      <c r="KPP102" s="445"/>
      <c r="KPQ102" s="414"/>
      <c r="KPT102" s="445"/>
      <c r="KPU102" s="414"/>
      <c r="KPX102" s="445"/>
      <c r="KPY102" s="414"/>
      <c r="KQB102" s="445"/>
      <c r="KQC102" s="414"/>
      <c r="KQF102" s="445"/>
      <c r="KQG102" s="414"/>
      <c r="KQJ102" s="445"/>
      <c r="KQK102" s="414"/>
      <c r="KQN102" s="445"/>
      <c r="KQO102" s="414"/>
      <c r="KQR102" s="445"/>
      <c r="KQS102" s="414"/>
      <c r="KQV102" s="445"/>
      <c r="KQW102" s="414"/>
      <c r="KQZ102" s="445"/>
      <c r="KRA102" s="414"/>
      <c r="KRD102" s="445"/>
      <c r="KRE102" s="414"/>
      <c r="KRH102" s="445"/>
      <c r="KRI102" s="414"/>
      <c r="KRL102" s="445"/>
      <c r="KRM102" s="414"/>
      <c r="KRP102" s="445"/>
      <c r="KRQ102" s="414"/>
      <c r="KRT102" s="445"/>
      <c r="KRU102" s="414"/>
      <c r="KRX102" s="445"/>
      <c r="KRY102" s="414"/>
      <c r="KSB102" s="445"/>
      <c r="KSC102" s="414"/>
      <c r="KSF102" s="445"/>
      <c r="KSG102" s="414"/>
      <c r="KSJ102" s="445"/>
      <c r="KSK102" s="414"/>
      <c r="KSN102" s="445"/>
      <c r="KSO102" s="414"/>
      <c r="KSR102" s="445"/>
      <c r="KSS102" s="414"/>
      <c r="KSV102" s="445"/>
      <c r="KSW102" s="414"/>
      <c r="KSZ102" s="445"/>
      <c r="KTA102" s="414"/>
      <c r="KTD102" s="445"/>
      <c r="KTE102" s="414"/>
      <c r="KTH102" s="445"/>
      <c r="KTI102" s="414"/>
      <c r="KTL102" s="445"/>
      <c r="KTM102" s="414"/>
      <c r="KTP102" s="445"/>
      <c r="KTQ102" s="414"/>
      <c r="KTT102" s="445"/>
      <c r="KTU102" s="414"/>
      <c r="KTX102" s="445"/>
      <c r="KTY102" s="414"/>
      <c r="KUB102" s="445"/>
      <c r="KUC102" s="414"/>
      <c r="KUF102" s="445"/>
      <c r="KUG102" s="414"/>
      <c r="KUJ102" s="445"/>
      <c r="KUK102" s="414"/>
      <c r="KUN102" s="445"/>
      <c r="KUO102" s="414"/>
      <c r="KUR102" s="445"/>
      <c r="KUS102" s="414"/>
      <c r="KUV102" s="445"/>
      <c r="KUW102" s="414"/>
      <c r="KUZ102" s="445"/>
      <c r="KVA102" s="414"/>
      <c r="KVD102" s="445"/>
      <c r="KVE102" s="414"/>
      <c r="KVH102" s="445"/>
      <c r="KVI102" s="414"/>
      <c r="KVL102" s="445"/>
      <c r="KVM102" s="414"/>
      <c r="KVP102" s="445"/>
      <c r="KVQ102" s="414"/>
      <c r="KVT102" s="445"/>
      <c r="KVU102" s="414"/>
      <c r="KVX102" s="445"/>
      <c r="KVY102" s="414"/>
      <c r="KWB102" s="445"/>
      <c r="KWC102" s="414"/>
      <c r="KWF102" s="445"/>
      <c r="KWG102" s="414"/>
      <c r="KWJ102" s="445"/>
      <c r="KWK102" s="414"/>
      <c r="KWN102" s="445"/>
      <c r="KWO102" s="414"/>
      <c r="KWR102" s="445"/>
      <c r="KWS102" s="414"/>
      <c r="KWV102" s="445"/>
      <c r="KWW102" s="414"/>
      <c r="KWZ102" s="445"/>
      <c r="KXA102" s="414"/>
      <c r="KXD102" s="445"/>
      <c r="KXE102" s="414"/>
      <c r="KXH102" s="445"/>
      <c r="KXI102" s="414"/>
      <c r="KXL102" s="445"/>
      <c r="KXM102" s="414"/>
      <c r="KXP102" s="445"/>
      <c r="KXQ102" s="414"/>
      <c r="KXT102" s="445"/>
      <c r="KXU102" s="414"/>
      <c r="KXX102" s="445"/>
      <c r="KXY102" s="414"/>
      <c r="KYB102" s="445"/>
      <c r="KYC102" s="414"/>
      <c r="KYF102" s="445"/>
      <c r="KYG102" s="414"/>
      <c r="KYJ102" s="445"/>
      <c r="KYK102" s="414"/>
      <c r="KYN102" s="445"/>
      <c r="KYO102" s="414"/>
      <c r="KYR102" s="445"/>
      <c r="KYS102" s="414"/>
      <c r="KYV102" s="445"/>
      <c r="KYW102" s="414"/>
      <c r="KYZ102" s="445"/>
      <c r="KZA102" s="414"/>
      <c r="KZD102" s="445"/>
      <c r="KZE102" s="414"/>
      <c r="KZH102" s="445"/>
      <c r="KZI102" s="414"/>
      <c r="KZL102" s="445"/>
      <c r="KZM102" s="414"/>
      <c r="KZP102" s="445"/>
      <c r="KZQ102" s="414"/>
      <c r="KZT102" s="445"/>
      <c r="KZU102" s="414"/>
      <c r="KZX102" s="445"/>
      <c r="KZY102" s="414"/>
      <c r="LAB102" s="445"/>
      <c r="LAC102" s="414"/>
      <c r="LAF102" s="445"/>
      <c r="LAG102" s="414"/>
      <c r="LAJ102" s="445"/>
      <c r="LAK102" s="414"/>
      <c r="LAN102" s="445"/>
      <c r="LAO102" s="414"/>
      <c r="LAR102" s="445"/>
      <c r="LAS102" s="414"/>
      <c r="LAV102" s="445"/>
      <c r="LAW102" s="414"/>
      <c r="LAZ102" s="445"/>
      <c r="LBA102" s="414"/>
      <c r="LBD102" s="445"/>
      <c r="LBE102" s="414"/>
      <c r="LBH102" s="445"/>
      <c r="LBI102" s="414"/>
      <c r="LBL102" s="445"/>
      <c r="LBM102" s="414"/>
      <c r="LBP102" s="445"/>
      <c r="LBQ102" s="414"/>
      <c r="LBT102" s="445"/>
      <c r="LBU102" s="414"/>
      <c r="LBX102" s="445"/>
      <c r="LBY102" s="414"/>
      <c r="LCB102" s="445"/>
      <c r="LCC102" s="414"/>
      <c r="LCF102" s="445"/>
      <c r="LCG102" s="414"/>
      <c r="LCJ102" s="445"/>
      <c r="LCK102" s="414"/>
      <c r="LCN102" s="445"/>
      <c r="LCO102" s="414"/>
      <c r="LCR102" s="445"/>
      <c r="LCS102" s="414"/>
      <c r="LCV102" s="445"/>
      <c r="LCW102" s="414"/>
      <c r="LCZ102" s="445"/>
      <c r="LDA102" s="414"/>
      <c r="LDD102" s="445"/>
      <c r="LDE102" s="414"/>
      <c r="LDH102" s="445"/>
      <c r="LDI102" s="414"/>
      <c r="LDL102" s="445"/>
      <c r="LDM102" s="414"/>
      <c r="LDP102" s="445"/>
      <c r="LDQ102" s="414"/>
      <c r="LDT102" s="445"/>
      <c r="LDU102" s="414"/>
      <c r="LDX102" s="445"/>
      <c r="LDY102" s="414"/>
      <c r="LEB102" s="445"/>
      <c r="LEC102" s="414"/>
      <c r="LEF102" s="445"/>
      <c r="LEG102" s="414"/>
      <c r="LEJ102" s="445"/>
      <c r="LEK102" s="414"/>
      <c r="LEN102" s="445"/>
      <c r="LEO102" s="414"/>
      <c r="LER102" s="445"/>
      <c r="LES102" s="414"/>
      <c r="LEV102" s="445"/>
      <c r="LEW102" s="414"/>
      <c r="LEZ102" s="445"/>
      <c r="LFA102" s="414"/>
      <c r="LFD102" s="445"/>
      <c r="LFE102" s="414"/>
      <c r="LFH102" s="445"/>
      <c r="LFI102" s="414"/>
      <c r="LFL102" s="445"/>
      <c r="LFM102" s="414"/>
      <c r="LFP102" s="445"/>
      <c r="LFQ102" s="414"/>
      <c r="LFT102" s="445"/>
      <c r="LFU102" s="414"/>
      <c r="LFX102" s="445"/>
      <c r="LFY102" s="414"/>
      <c r="LGB102" s="445"/>
      <c r="LGC102" s="414"/>
      <c r="LGF102" s="445"/>
      <c r="LGG102" s="414"/>
      <c r="LGJ102" s="445"/>
      <c r="LGK102" s="414"/>
      <c r="LGN102" s="445"/>
      <c r="LGO102" s="414"/>
      <c r="LGR102" s="445"/>
      <c r="LGS102" s="414"/>
      <c r="LGV102" s="445"/>
      <c r="LGW102" s="414"/>
      <c r="LGZ102" s="445"/>
      <c r="LHA102" s="414"/>
      <c r="LHD102" s="445"/>
      <c r="LHE102" s="414"/>
      <c r="LHH102" s="445"/>
      <c r="LHI102" s="414"/>
      <c r="LHL102" s="445"/>
      <c r="LHM102" s="414"/>
      <c r="LHP102" s="445"/>
      <c r="LHQ102" s="414"/>
      <c r="LHT102" s="445"/>
      <c r="LHU102" s="414"/>
      <c r="LHX102" s="445"/>
      <c r="LHY102" s="414"/>
      <c r="LIB102" s="445"/>
      <c r="LIC102" s="414"/>
      <c r="LIF102" s="445"/>
      <c r="LIG102" s="414"/>
      <c r="LIJ102" s="445"/>
      <c r="LIK102" s="414"/>
      <c r="LIN102" s="445"/>
      <c r="LIO102" s="414"/>
      <c r="LIR102" s="445"/>
      <c r="LIS102" s="414"/>
      <c r="LIV102" s="445"/>
      <c r="LIW102" s="414"/>
      <c r="LIZ102" s="445"/>
      <c r="LJA102" s="414"/>
      <c r="LJD102" s="445"/>
      <c r="LJE102" s="414"/>
      <c r="LJH102" s="445"/>
      <c r="LJI102" s="414"/>
      <c r="LJL102" s="445"/>
      <c r="LJM102" s="414"/>
      <c r="LJP102" s="445"/>
      <c r="LJQ102" s="414"/>
      <c r="LJT102" s="445"/>
      <c r="LJU102" s="414"/>
      <c r="LJX102" s="445"/>
      <c r="LJY102" s="414"/>
      <c r="LKB102" s="445"/>
      <c r="LKC102" s="414"/>
      <c r="LKF102" s="445"/>
      <c r="LKG102" s="414"/>
      <c r="LKJ102" s="445"/>
      <c r="LKK102" s="414"/>
      <c r="LKN102" s="445"/>
      <c r="LKO102" s="414"/>
      <c r="LKR102" s="445"/>
      <c r="LKS102" s="414"/>
      <c r="LKV102" s="445"/>
      <c r="LKW102" s="414"/>
      <c r="LKZ102" s="445"/>
      <c r="LLA102" s="414"/>
      <c r="LLD102" s="445"/>
      <c r="LLE102" s="414"/>
      <c r="LLH102" s="445"/>
      <c r="LLI102" s="414"/>
      <c r="LLL102" s="445"/>
      <c r="LLM102" s="414"/>
      <c r="LLP102" s="445"/>
      <c r="LLQ102" s="414"/>
      <c r="LLT102" s="445"/>
      <c r="LLU102" s="414"/>
      <c r="LLX102" s="445"/>
      <c r="LLY102" s="414"/>
      <c r="LMB102" s="445"/>
      <c r="LMC102" s="414"/>
      <c r="LMF102" s="445"/>
      <c r="LMG102" s="414"/>
      <c r="LMJ102" s="445"/>
      <c r="LMK102" s="414"/>
      <c r="LMN102" s="445"/>
      <c r="LMO102" s="414"/>
      <c r="LMR102" s="445"/>
      <c r="LMS102" s="414"/>
      <c r="LMV102" s="445"/>
      <c r="LMW102" s="414"/>
      <c r="LMZ102" s="445"/>
      <c r="LNA102" s="414"/>
      <c r="LND102" s="445"/>
      <c r="LNE102" s="414"/>
      <c r="LNH102" s="445"/>
      <c r="LNI102" s="414"/>
      <c r="LNL102" s="445"/>
      <c r="LNM102" s="414"/>
      <c r="LNP102" s="445"/>
      <c r="LNQ102" s="414"/>
      <c r="LNT102" s="445"/>
      <c r="LNU102" s="414"/>
      <c r="LNX102" s="445"/>
      <c r="LNY102" s="414"/>
      <c r="LOB102" s="445"/>
      <c r="LOC102" s="414"/>
      <c r="LOF102" s="445"/>
      <c r="LOG102" s="414"/>
      <c r="LOJ102" s="445"/>
      <c r="LOK102" s="414"/>
      <c r="LON102" s="445"/>
      <c r="LOO102" s="414"/>
      <c r="LOR102" s="445"/>
      <c r="LOS102" s="414"/>
      <c r="LOV102" s="445"/>
      <c r="LOW102" s="414"/>
      <c r="LOZ102" s="445"/>
      <c r="LPA102" s="414"/>
      <c r="LPD102" s="445"/>
      <c r="LPE102" s="414"/>
      <c r="LPH102" s="445"/>
      <c r="LPI102" s="414"/>
      <c r="LPL102" s="445"/>
      <c r="LPM102" s="414"/>
      <c r="LPP102" s="445"/>
      <c r="LPQ102" s="414"/>
      <c r="LPT102" s="445"/>
      <c r="LPU102" s="414"/>
      <c r="LPX102" s="445"/>
      <c r="LPY102" s="414"/>
      <c r="LQB102" s="445"/>
      <c r="LQC102" s="414"/>
      <c r="LQF102" s="445"/>
      <c r="LQG102" s="414"/>
      <c r="LQJ102" s="445"/>
      <c r="LQK102" s="414"/>
      <c r="LQN102" s="445"/>
      <c r="LQO102" s="414"/>
      <c r="LQR102" s="445"/>
      <c r="LQS102" s="414"/>
      <c r="LQV102" s="445"/>
      <c r="LQW102" s="414"/>
      <c r="LQZ102" s="445"/>
      <c r="LRA102" s="414"/>
      <c r="LRD102" s="445"/>
      <c r="LRE102" s="414"/>
      <c r="LRH102" s="445"/>
      <c r="LRI102" s="414"/>
      <c r="LRL102" s="445"/>
      <c r="LRM102" s="414"/>
      <c r="LRP102" s="445"/>
      <c r="LRQ102" s="414"/>
      <c r="LRT102" s="445"/>
      <c r="LRU102" s="414"/>
      <c r="LRX102" s="445"/>
      <c r="LRY102" s="414"/>
      <c r="LSB102" s="445"/>
      <c r="LSC102" s="414"/>
      <c r="LSF102" s="445"/>
      <c r="LSG102" s="414"/>
      <c r="LSJ102" s="445"/>
      <c r="LSK102" s="414"/>
      <c r="LSN102" s="445"/>
      <c r="LSO102" s="414"/>
      <c r="LSR102" s="445"/>
      <c r="LSS102" s="414"/>
      <c r="LSV102" s="445"/>
      <c r="LSW102" s="414"/>
      <c r="LSZ102" s="445"/>
      <c r="LTA102" s="414"/>
      <c r="LTD102" s="445"/>
      <c r="LTE102" s="414"/>
      <c r="LTH102" s="445"/>
      <c r="LTI102" s="414"/>
      <c r="LTL102" s="445"/>
      <c r="LTM102" s="414"/>
      <c r="LTP102" s="445"/>
      <c r="LTQ102" s="414"/>
      <c r="LTT102" s="445"/>
      <c r="LTU102" s="414"/>
      <c r="LTX102" s="445"/>
      <c r="LTY102" s="414"/>
      <c r="LUB102" s="445"/>
      <c r="LUC102" s="414"/>
      <c r="LUF102" s="445"/>
      <c r="LUG102" s="414"/>
      <c r="LUJ102" s="445"/>
      <c r="LUK102" s="414"/>
      <c r="LUN102" s="445"/>
      <c r="LUO102" s="414"/>
      <c r="LUR102" s="445"/>
      <c r="LUS102" s="414"/>
      <c r="LUV102" s="445"/>
      <c r="LUW102" s="414"/>
      <c r="LUZ102" s="445"/>
      <c r="LVA102" s="414"/>
      <c r="LVD102" s="445"/>
      <c r="LVE102" s="414"/>
      <c r="LVH102" s="445"/>
      <c r="LVI102" s="414"/>
      <c r="LVL102" s="445"/>
      <c r="LVM102" s="414"/>
      <c r="LVP102" s="445"/>
      <c r="LVQ102" s="414"/>
      <c r="LVT102" s="445"/>
      <c r="LVU102" s="414"/>
      <c r="LVX102" s="445"/>
      <c r="LVY102" s="414"/>
      <c r="LWB102" s="445"/>
      <c r="LWC102" s="414"/>
      <c r="LWF102" s="445"/>
      <c r="LWG102" s="414"/>
      <c r="LWJ102" s="445"/>
      <c r="LWK102" s="414"/>
      <c r="LWN102" s="445"/>
      <c r="LWO102" s="414"/>
      <c r="LWR102" s="445"/>
      <c r="LWS102" s="414"/>
      <c r="LWV102" s="445"/>
      <c r="LWW102" s="414"/>
      <c r="LWZ102" s="445"/>
      <c r="LXA102" s="414"/>
      <c r="LXD102" s="445"/>
      <c r="LXE102" s="414"/>
      <c r="LXH102" s="445"/>
      <c r="LXI102" s="414"/>
      <c r="LXL102" s="445"/>
      <c r="LXM102" s="414"/>
      <c r="LXP102" s="445"/>
      <c r="LXQ102" s="414"/>
      <c r="LXT102" s="445"/>
      <c r="LXU102" s="414"/>
      <c r="LXX102" s="445"/>
      <c r="LXY102" s="414"/>
      <c r="LYB102" s="445"/>
      <c r="LYC102" s="414"/>
      <c r="LYF102" s="445"/>
      <c r="LYG102" s="414"/>
      <c r="LYJ102" s="445"/>
      <c r="LYK102" s="414"/>
      <c r="LYN102" s="445"/>
      <c r="LYO102" s="414"/>
      <c r="LYR102" s="445"/>
      <c r="LYS102" s="414"/>
      <c r="LYV102" s="445"/>
      <c r="LYW102" s="414"/>
      <c r="LYZ102" s="445"/>
      <c r="LZA102" s="414"/>
      <c r="LZD102" s="445"/>
      <c r="LZE102" s="414"/>
      <c r="LZH102" s="445"/>
      <c r="LZI102" s="414"/>
      <c r="LZL102" s="445"/>
      <c r="LZM102" s="414"/>
      <c r="LZP102" s="445"/>
      <c r="LZQ102" s="414"/>
      <c r="LZT102" s="445"/>
      <c r="LZU102" s="414"/>
      <c r="LZX102" s="445"/>
      <c r="LZY102" s="414"/>
      <c r="MAB102" s="445"/>
      <c r="MAC102" s="414"/>
      <c r="MAF102" s="445"/>
      <c r="MAG102" s="414"/>
      <c r="MAJ102" s="445"/>
      <c r="MAK102" s="414"/>
      <c r="MAN102" s="445"/>
      <c r="MAO102" s="414"/>
      <c r="MAR102" s="445"/>
      <c r="MAS102" s="414"/>
      <c r="MAV102" s="445"/>
      <c r="MAW102" s="414"/>
      <c r="MAZ102" s="445"/>
      <c r="MBA102" s="414"/>
      <c r="MBD102" s="445"/>
      <c r="MBE102" s="414"/>
      <c r="MBH102" s="445"/>
      <c r="MBI102" s="414"/>
      <c r="MBL102" s="445"/>
      <c r="MBM102" s="414"/>
      <c r="MBP102" s="445"/>
      <c r="MBQ102" s="414"/>
      <c r="MBT102" s="445"/>
      <c r="MBU102" s="414"/>
      <c r="MBX102" s="445"/>
      <c r="MBY102" s="414"/>
      <c r="MCB102" s="445"/>
      <c r="MCC102" s="414"/>
      <c r="MCF102" s="445"/>
      <c r="MCG102" s="414"/>
      <c r="MCJ102" s="445"/>
      <c r="MCK102" s="414"/>
      <c r="MCN102" s="445"/>
      <c r="MCO102" s="414"/>
      <c r="MCR102" s="445"/>
      <c r="MCS102" s="414"/>
      <c r="MCV102" s="445"/>
      <c r="MCW102" s="414"/>
      <c r="MCZ102" s="445"/>
      <c r="MDA102" s="414"/>
      <c r="MDD102" s="445"/>
      <c r="MDE102" s="414"/>
      <c r="MDH102" s="445"/>
      <c r="MDI102" s="414"/>
      <c r="MDL102" s="445"/>
      <c r="MDM102" s="414"/>
      <c r="MDP102" s="445"/>
      <c r="MDQ102" s="414"/>
      <c r="MDT102" s="445"/>
      <c r="MDU102" s="414"/>
      <c r="MDX102" s="445"/>
      <c r="MDY102" s="414"/>
      <c r="MEB102" s="445"/>
      <c r="MEC102" s="414"/>
      <c r="MEF102" s="445"/>
      <c r="MEG102" s="414"/>
      <c r="MEJ102" s="445"/>
      <c r="MEK102" s="414"/>
      <c r="MEN102" s="445"/>
      <c r="MEO102" s="414"/>
      <c r="MER102" s="445"/>
      <c r="MES102" s="414"/>
      <c r="MEV102" s="445"/>
      <c r="MEW102" s="414"/>
      <c r="MEZ102" s="445"/>
      <c r="MFA102" s="414"/>
      <c r="MFD102" s="445"/>
      <c r="MFE102" s="414"/>
      <c r="MFH102" s="445"/>
      <c r="MFI102" s="414"/>
      <c r="MFL102" s="445"/>
      <c r="MFM102" s="414"/>
      <c r="MFP102" s="445"/>
      <c r="MFQ102" s="414"/>
      <c r="MFT102" s="445"/>
      <c r="MFU102" s="414"/>
      <c r="MFX102" s="445"/>
      <c r="MFY102" s="414"/>
      <c r="MGB102" s="445"/>
      <c r="MGC102" s="414"/>
      <c r="MGF102" s="445"/>
      <c r="MGG102" s="414"/>
      <c r="MGJ102" s="445"/>
      <c r="MGK102" s="414"/>
      <c r="MGN102" s="445"/>
      <c r="MGO102" s="414"/>
      <c r="MGR102" s="445"/>
      <c r="MGS102" s="414"/>
      <c r="MGV102" s="445"/>
      <c r="MGW102" s="414"/>
      <c r="MGZ102" s="445"/>
      <c r="MHA102" s="414"/>
      <c r="MHD102" s="445"/>
      <c r="MHE102" s="414"/>
      <c r="MHH102" s="445"/>
      <c r="MHI102" s="414"/>
      <c r="MHL102" s="445"/>
      <c r="MHM102" s="414"/>
      <c r="MHP102" s="445"/>
      <c r="MHQ102" s="414"/>
      <c r="MHT102" s="445"/>
      <c r="MHU102" s="414"/>
      <c r="MHX102" s="445"/>
      <c r="MHY102" s="414"/>
      <c r="MIB102" s="445"/>
      <c r="MIC102" s="414"/>
      <c r="MIF102" s="445"/>
      <c r="MIG102" s="414"/>
      <c r="MIJ102" s="445"/>
      <c r="MIK102" s="414"/>
      <c r="MIN102" s="445"/>
      <c r="MIO102" s="414"/>
      <c r="MIR102" s="445"/>
      <c r="MIS102" s="414"/>
      <c r="MIV102" s="445"/>
      <c r="MIW102" s="414"/>
      <c r="MIZ102" s="445"/>
      <c r="MJA102" s="414"/>
      <c r="MJD102" s="445"/>
      <c r="MJE102" s="414"/>
      <c r="MJH102" s="445"/>
      <c r="MJI102" s="414"/>
      <c r="MJL102" s="445"/>
      <c r="MJM102" s="414"/>
      <c r="MJP102" s="445"/>
      <c r="MJQ102" s="414"/>
      <c r="MJT102" s="445"/>
      <c r="MJU102" s="414"/>
      <c r="MJX102" s="445"/>
      <c r="MJY102" s="414"/>
      <c r="MKB102" s="445"/>
      <c r="MKC102" s="414"/>
      <c r="MKF102" s="445"/>
      <c r="MKG102" s="414"/>
      <c r="MKJ102" s="445"/>
      <c r="MKK102" s="414"/>
      <c r="MKN102" s="445"/>
      <c r="MKO102" s="414"/>
      <c r="MKR102" s="445"/>
      <c r="MKS102" s="414"/>
      <c r="MKV102" s="445"/>
      <c r="MKW102" s="414"/>
      <c r="MKZ102" s="445"/>
      <c r="MLA102" s="414"/>
      <c r="MLD102" s="445"/>
      <c r="MLE102" s="414"/>
      <c r="MLH102" s="445"/>
      <c r="MLI102" s="414"/>
      <c r="MLL102" s="445"/>
      <c r="MLM102" s="414"/>
      <c r="MLP102" s="445"/>
      <c r="MLQ102" s="414"/>
      <c r="MLT102" s="445"/>
      <c r="MLU102" s="414"/>
      <c r="MLX102" s="445"/>
      <c r="MLY102" s="414"/>
      <c r="MMB102" s="445"/>
      <c r="MMC102" s="414"/>
      <c r="MMF102" s="445"/>
      <c r="MMG102" s="414"/>
      <c r="MMJ102" s="445"/>
      <c r="MMK102" s="414"/>
      <c r="MMN102" s="445"/>
      <c r="MMO102" s="414"/>
      <c r="MMR102" s="445"/>
      <c r="MMS102" s="414"/>
      <c r="MMV102" s="445"/>
      <c r="MMW102" s="414"/>
      <c r="MMZ102" s="445"/>
      <c r="MNA102" s="414"/>
      <c r="MND102" s="445"/>
      <c r="MNE102" s="414"/>
      <c r="MNH102" s="445"/>
      <c r="MNI102" s="414"/>
      <c r="MNL102" s="445"/>
      <c r="MNM102" s="414"/>
      <c r="MNP102" s="445"/>
      <c r="MNQ102" s="414"/>
      <c r="MNT102" s="445"/>
      <c r="MNU102" s="414"/>
      <c r="MNX102" s="445"/>
      <c r="MNY102" s="414"/>
      <c r="MOB102" s="445"/>
      <c r="MOC102" s="414"/>
      <c r="MOF102" s="445"/>
      <c r="MOG102" s="414"/>
      <c r="MOJ102" s="445"/>
      <c r="MOK102" s="414"/>
      <c r="MON102" s="445"/>
      <c r="MOO102" s="414"/>
      <c r="MOR102" s="445"/>
      <c r="MOS102" s="414"/>
      <c r="MOV102" s="445"/>
      <c r="MOW102" s="414"/>
      <c r="MOZ102" s="445"/>
      <c r="MPA102" s="414"/>
      <c r="MPD102" s="445"/>
      <c r="MPE102" s="414"/>
      <c r="MPH102" s="445"/>
      <c r="MPI102" s="414"/>
      <c r="MPL102" s="445"/>
      <c r="MPM102" s="414"/>
      <c r="MPP102" s="445"/>
      <c r="MPQ102" s="414"/>
      <c r="MPT102" s="445"/>
      <c r="MPU102" s="414"/>
      <c r="MPX102" s="445"/>
      <c r="MPY102" s="414"/>
      <c r="MQB102" s="445"/>
      <c r="MQC102" s="414"/>
      <c r="MQF102" s="445"/>
      <c r="MQG102" s="414"/>
      <c r="MQJ102" s="445"/>
      <c r="MQK102" s="414"/>
      <c r="MQN102" s="445"/>
      <c r="MQO102" s="414"/>
      <c r="MQR102" s="445"/>
      <c r="MQS102" s="414"/>
      <c r="MQV102" s="445"/>
      <c r="MQW102" s="414"/>
      <c r="MQZ102" s="445"/>
      <c r="MRA102" s="414"/>
      <c r="MRD102" s="445"/>
      <c r="MRE102" s="414"/>
      <c r="MRH102" s="445"/>
      <c r="MRI102" s="414"/>
      <c r="MRL102" s="445"/>
      <c r="MRM102" s="414"/>
      <c r="MRP102" s="445"/>
      <c r="MRQ102" s="414"/>
      <c r="MRT102" s="445"/>
      <c r="MRU102" s="414"/>
      <c r="MRX102" s="445"/>
      <c r="MRY102" s="414"/>
      <c r="MSB102" s="445"/>
      <c r="MSC102" s="414"/>
      <c r="MSF102" s="445"/>
      <c r="MSG102" s="414"/>
      <c r="MSJ102" s="445"/>
      <c r="MSK102" s="414"/>
      <c r="MSN102" s="445"/>
      <c r="MSO102" s="414"/>
      <c r="MSR102" s="445"/>
      <c r="MSS102" s="414"/>
      <c r="MSV102" s="445"/>
      <c r="MSW102" s="414"/>
      <c r="MSZ102" s="445"/>
      <c r="MTA102" s="414"/>
      <c r="MTD102" s="445"/>
      <c r="MTE102" s="414"/>
      <c r="MTH102" s="445"/>
      <c r="MTI102" s="414"/>
      <c r="MTL102" s="445"/>
      <c r="MTM102" s="414"/>
      <c r="MTP102" s="445"/>
      <c r="MTQ102" s="414"/>
      <c r="MTT102" s="445"/>
      <c r="MTU102" s="414"/>
      <c r="MTX102" s="445"/>
      <c r="MTY102" s="414"/>
      <c r="MUB102" s="445"/>
      <c r="MUC102" s="414"/>
      <c r="MUF102" s="445"/>
      <c r="MUG102" s="414"/>
      <c r="MUJ102" s="445"/>
      <c r="MUK102" s="414"/>
      <c r="MUN102" s="445"/>
      <c r="MUO102" s="414"/>
      <c r="MUR102" s="445"/>
      <c r="MUS102" s="414"/>
      <c r="MUV102" s="445"/>
      <c r="MUW102" s="414"/>
      <c r="MUZ102" s="445"/>
      <c r="MVA102" s="414"/>
      <c r="MVD102" s="445"/>
      <c r="MVE102" s="414"/>
      <c r="MVH102" s="445"/>
      <c r="MVI102" s="414"/>
      <c r="MVL102" s="445"/>
      <c r="MVM102" s="414"/>
      <c r="MVP102" s="445"/>
      <c r="MVQ102" s="414"/>
      <c r="MVT102" s="445"/>
      <c r="MVU102" s="414"/>
      <c r="MVX102" s="445"/>
      <c r="MVY102" s="414"/>
      <c r="MWB102" s="445"/>
      <c r="MWC102" s="414"/>
      <c r="MWF102" s="445"/>
      <c r="MWG102" s="414"/>
      <c r="MWJ102" s="445"/>
      <c r="MWK102" s="414"/>
      <c r="MWN102" s="445"/>
      <c r="MWO102" s="414"/>
      <c r="MWR102" s="445"/>
      <c r="MWS102" s="414"/>
      <c r="MWV102" s="445"/>
      <c r="MWW102" s="414"/>
      <c r="MWZ102" s="445"/>
      <c r="MXA102" s="414"/>
      <c r="MXD102" s="445"/>
      <c r="MXE102" s="414"/>
      <c r="MXH102" s="445"/>
      <c r="MXI102" s="414"/>
      <c r="MXL102" s="445"/>
      <c r="MXM102" s="414"/>
      <c r="MXP102" s="445"/>
      <c r="MXQ102" s="414"/>
      <c r="MXT102" s="445"/>
      <c r="MXU102" s="414"/>
      <c r="MXX102" s="445"/>
      <c r="MXY102" s="414"/>
      <c r="MYB102" s="445"/>
      <c r="MYC102" s="414"/>
      <c r="MYF102" s="445"/>
      <c r="MYG102" s="414"/>
      <c r="MYJ102" s="445"/>
      <c r="MYK102" s="414"/>
      <c r="MYN102" s="445"/>
      <c r="MYO102" s="414"/>
      <c r="MYR102" s="445"/>
      <c r="MYS102" s="414"/>
      <c r="MYV102" s="445"/>
      <c r="MYW102" s="414"/>
      <c r="MYZ102" s="445"/>
      <c r="MZA102" s="414"/>
      <c r="MZD102" s="445"/>
      <c r="MZE102" s="414"/>
      <c r="MZH102" s="445"/>
      <c r="MZI102" s="414"/>
      <c r="MZL102" s="445"/>
      <c r="MZM102" s="414"/>
      <c r="MZP102" s="445"/>
      <c r="MZQ102" s="414"/>
      <c r="MZT102" s="445"/>
      <c r="MZU102" s="414"/>
      <c r="MZX102" s="445"/>
      <c r="MZY102" s="414"/>
      <c r="NAB102" s="445"/>
      <c r="NAC102" s="414"/>
      <c r="NAF102" s="445"/>
      <c r="NAG102" s="414"/>
      <c r="NAJ102" s="445"/>
      <c r="NAK102" s="414"/>
      <c r="NAN102" s="445"/>
      <c r="NAO102" s="414"/>
      <c r="NAR102" s="445"/>
      <c r="NAS102" s="414"/>
      <c r="NAV102" s="445"/>
      <c r="NAW102" s="414"/>
      <c r="NAZ102" s="445"/>
      <c r="NBA102" s="414"/>
      <c r="NBD102" s="445"/>
      <c r="NBE102" s="414"/>
      <c r="NBH102" s="445"/>
      <c r="NBI102" s="414"/>
      <c r="NBL102" s="445"/>
      <c r="NBM102" s="414"/>
      <c r="NBP102" s="445"/>
      <c r="NBQ102" s="414"/>
      <c r="NBT102" s="445"/>
      <c r="NBU102" s="414"/>
      <c r="NBX102" s="445"/>
      <c r="NBY102" s="414"/>
      <c r="NCB102" s="445"/>
      <c r="NCC102" s="414"/>
      <c r="NCF102" s="445"/>
      <c r="NCG102" s="414"/>
      <c r="NCJ102" s="445"/>
      <c r="NCK102" s="414"/>
      <c r="NCN102" s="445"/>
      <c r="NCO102" s="414"/>
      <c r="NCR102" s="445"/>
      <c r="NCS102" s="414"/>
      <c r="NCV102" s="445"/>
      <c r="NCW102" s="414"/>
      <c r="NCZ102" s="445"/>
      <c r="NDA102" s="414"/>
      <c r="NDD102" s="445"/>
      <c r="NDE102" s="414"/>
      <c r="NDH102" s="445"/>
      <c r="NDI102" s="414"/>
      <c r="NDL102" s="445"/>
      <c r="NDM102" s="414"/>
      <c r="NDP102" s="445"/>
      <c r="NDQ102" s="414"/>
      <c r="NDT102" s="445"/>
      <c r="NDU102" s="414"/>
      <c r="NDX102" s="445"/>
      <c r="NDY102" s="414"/>
      <c r="NEB102" s="445"/>
      <c r="NEC102" s="414"/>
      <c r="NEF102" s="445"/>
      <c r="NEG102" s="414"/>
      <c r="NEJ102" s="445"/>
      <c r="NEK102" s="414"/>
      <c r="NEN102" s="445"/>
      <c r="NEO102" s="414"/>
      <c r="NER102" s="445"/>
      <c r="NES102" s="414"/>
      <c r="NEV102" s="445"/>
      <c r="NEW102" s="414"/>
      <c r="NEZ102" s="445"/>
      <c r="NFA102" s="414"/>
      <c r="NFD102" s="445"/>
      <c r="NFE102" s="414"/>
      <c r="NFH102" s="445"/>
      <c r="NFI102" s="414"/>
      <c r="NFL102" s="445"/>
      <c r="NFM102" s="414"/>
      <c r="NFP102" s="445"/>
      <c r="NFQ102" s="414"/>
      <c r="NFT102" s="445"/>
      <c r="NFU102" s="414"/>
      <c r="NFX102" s="445"/>
      <c r="NFY102" s="414"/>
      <c r="NGB102" s="445"/>
      <c r="NGC102" s="414"/>
      <c r="NGF102" s="445"/>
      <c r="NGG102" s="414"/>
      <c r="NGJ102" s="445"/>
      <c r="NGK102" s="414"/>
      <c r="NGN102" s="445"/>
      <c r="NGO102" s="414"/>
      <c r="NGR102" s="445"/>
      <c r="NGS102" s="414"/>
      <c r="NGV102" s="445"/>
      <c r="NGW102" s="414"/>
      <c r="NGZ102" s="445"/>
      <c r="NHA102" s="414"/>
      <c r="NHD102" s="445"/>
      <c r="NHE102" s="414"/>
      <c r="NHH102" s="445"/>
      <c r="NHI102" s="414"/>
      <c r="NHL102" s="445"/>
      <c r="NHM102" s="414"/>
      <c r="NHP102" s="445"/>
      <c r="NHQ102" s="414"/>
      <c r="NHT102" s="445"/>
      <c r="NHU102" s="414"/>
      <c r="NHX102" s="445"/>
      <c r="NHY102" s="414"/>
      <c r="NIB102" s="445"/>
      <c r="NIC102" s="414"/>
      <c r="NIF102" s="445"/>
      <c r="NIG102" s="414"/>
      <c r="NIJ102" s="445"/>
      <c r="NIK102" s="414"/>
      <c r="NIN102" s="445"/>
      <c r="NIO102" s="414"/>
      <c r="NIR102" s="445"/>
      <c r="NIS102" s="414"/>
      <c r="NIV102" s="445"/>
      <c r="NIW102" s="414"/>
      <c r="NIZ102" s="445"/>
      <c r="NJA102" s="414"/>
      <c r="NJD102" s="445"/>
      <c r="NJE102" s="414"/>
      <c r="NJH102" s="445"/>
      <c r="NJI102" s="414"/>
      <c r="NJL102" s="445"/>
      <c r="NJM102" s="414"/>
      <c r="NJP102" s="445"/>
      <c r="NJQ102" s="414"/>
      <c r="NJT102" s="445"/>
      <c r="NJU102" s="414"/>
      <c r="NJX102" s="445"/>
      <c r="NJY102" s="414"/>
      <c r="NKB102" s="445"/>
      <c r="NKC102" s="414"/>
      <c r="NKF102" s="445"/>
      <c r="NKG102" s="414"/>
      <c r="NKJ102" s="445"/>
      <c r="NKK102" s="414"/>
      <c r="NKN102" s="445"/>
      <c r="NKO102" s="414"/>
      <c r="NKR102" s="445"/>
      <c r="NKS102" s="414"/>
      <c r="NKV102" s="445"/>
      <c r="NKW102" s="414"/>
      <c r="NKZ102" s="445"/>
      <c r="NLA102" s="414"/>
      <c r="NLD102" s="445"/>
      <c r="NLE102" s="414"/>
      <c r="NLH102" s="445"/>
      <c r="NLI102" s="414"/>
      <c r="NLL102" s="445"/>
      <c r="NLM102" s="414"/>
      <c r="NLP102" s="445"/>
      <c r="NLQ102" s="414"/>
      <c r="NLT102" s="445"/>
      <c r="NLU102" s="414"/>
      <c r="NLX102" s="445"/>
      <c r="NLY102" s="414"/>
      <c r="NMB102" s="445"/>
      <c r="NMC102" s="414"/>
      <c r="NMF102" s="445"/>
      <c r="NMG102" s="414"/>
      <c r="NMJ102" s="445"/>
      <c r="NMK102" s="414"/>
      <c r="NMN102" s="445"/>
      <c r="NMO102" s="414"/>
      <c r="NMR102" s="445"/>
      <c r="NMS102" s="414"/>
      <c r="NMV102" s="445"/>
      <c r="NMW102" s="414"/>
      <c r="NMZ102" s="445"/>
      <c r="NNA102" s="414"/>
      <c r="NND102" s="445"/>
      <c r="NNE102" s="414"/>
      <c r="NNH102" s="445"/>
      <c r="NNI102" s="414"/>
      <c r="NNL102" s="445"/>
      <c r="NNM102" s="414"/>
      <c r="NNP102" s="445"/>
      <c r="NNQ102" s="414"/>
      <c r="NNT102" s="445"/>
      <c r="NNU102" s="414"/>
      <c r="NNX102" s="445"/>
      <c r="NNY102" s="414"/>
      <c r="NOB102" s="445"/>
      <c r="NOC102" s="414"/>
      <c r="NOF102" s="445"/>
      <c r="NOG102" s="414"/>
      <c r="NOJ102" s="445"/>
      <c r="NOK102" s="414"/>
      <c r="NON102" s="445"/>
      <c r="NOO102" s="414"/>
      <c r="NOR102" s="445"/>
      <c r="NOS102" s="414"/>
      <c r="NOV102" s="445"/>
      <c r="NOW102" s="414"/>
      <c r="NOZ102" s="445"/>
      <c r="NPA102" s="414"/>
      <c r="NPD102" s="445"/>
      <c r="NPE102" s="414"/>
      <c r="NPH102" s="445"/>
      <c r="NPI102" s="414"/>
      <c r="NPL102" s="445"/>
      <c r="NPM102" s="414"/>
      <c r="NPP102" s="445"/>
      <c r="NPQ102" s="414"/>
      <c r="NPT102" s="445"/>
      <c r="NPU102" s="414"/>
      <c r="NPX102" s="445"/>
      <c r="NPY102" s="414"/>
      <c r="NQB102" s="445"/>
      <c r="NQC102" s="414"/>
      <c r="NQF102" s="445"/>
      <c r="NQG102" s="414"/>
      <c r="NQJ102" s="445"/>
      <c r="NQK102" s="414"/>
      <c r="NQN102" s="445"/>
      <c r="NQO102" s="414"/>
      <c r="NQR102" s="445"/>
      <c r="NQS102" s="414"/>
      <c r="NQV102" s="445"/>
      <c r="NQW102" s="414"/>
      <c r="NQZ102" s="445"/>
      <c r="NRA102" s="414"/>
      <c r="NRD102" s="445"/>
      <c r="NRE102" s="414"/>
      <c r="NRH102" s="445"/>
      <c r="NRI102" s="414"/>
      <c r="NRL102" s="445"/>
      <c r="NRM102" s="414"/>
      <c r="NRP102" s="445"/>
      <c r="NRQ102" s="414"/>
      <c r="NRT102" s="445"/>
      <c r="NRU102" s="414"/>
      <c r="NRX102" s="445"/>
      <c r="NRY102" s="414"/>
      <c r="NSB102" s="445"/>
      <c r="NSC102" s="414"/>
      <c r="NSF102" s="445"/>
      <c r="NSG102" s="414"/>
      <c r="NSJ102" s="445"/>
      <c r="NSK102" s="414"/>
      <c r="NSN102" s="445"/>
      <c r="NSO102" s="414"/>
      <c r="NSR102" s="445"/>
      <c r="NSS102" s="414"/>
      <c r="NSV102" s="445"/>
      <c r="NSW102" s="414"/>
      <c r="NSZ102" s="445"/>
      <c r="NTA102" s="414"/>
      <c r="NTD102" s="445"/>
      <c r="NTE102" s="414"/>
      <c r="NTH102" s="445"/>
      <c r="NTI102" s="414"/>
      <c r="NTL102" s="445"/>
      <c r="NTM102" s="414"/>
      <c r="NTP102" s="445"/>
      <c r="NTQ102" s="414"/>
      <c r="NTT102" s="445"/>
      <c r="NTU102" s="414"/>
      <c r="NTX102" s="445"/>
      <c r="NTY102" s="414"/>
      <c r="NUB102" s="445"/>
      <c r="NUC102" s="414"/>
      <c r="NUF102" s="445"/>
      <c r="NUG102" s="414"/>
      <c r="NUJ102" s="445"/>
      <c r="NUK102" s="414"/>
      <c r="NUN102" s="445"/>
      <c r="NUO102" s="414"/>
      <c r="NUR102" s="445"/>
      <c r="NUS102" s="414"/>
      <c r="NUV102" s="445"/>
      <c r="NUW102" s="414"/>
      <c r="NUZ102" s="445"/>
      <c r="NVA102" s="414"/>
      <c r="NVD102" s="445"/>
      <c r="NVE102" s="414"/>
      <c r="NVH102" s="445"/>
      <c r="NVI102" s="414"/>
      <c r="NVL102" s="445"/>
      <c r="NVM102" s="414"/>
      <c r="NVP102" s="445"/>
      <c r="NVQ102" s="414"/>
      <c r="NVT102" s="445"/>
      <c r="NVU102" s="414"/>
      <c r="NVX102" s="445"/>
      <c r="NVY102" s="414"/>
      <c r="NWB102" s="445"/>
      <c r="NWC102" s="414"/>
      <c r="NWF102" s="445"/>
      <c r="NWG102" s="414"/>
      <c r="NWJ102" s="445"/>
      <c r="NWK102" s="414"/>
      <c r="NWN102" s="445"/>
      <c r="NWO102" s="414"/>
      <c r="NWR102" s="445"/>
      <c r="NWS102" s="414"/>
      <c r="NWV102" s="445"/>
      <c r="NWW102" s="414"/>
      <c r="NWZ102" s="445"/>
      <c r="NXA102" s="414"/>
      <c r="NXD102" s="445"/>
      <c r="NXE102" s="414"/>
      <c r="NXH102" s="445"/>
      <c r="NXI102" s="414"/>
      <c r="NXL102" s="445"/>
      <c r="NXM102" s="414"/>
      <c r="NXP102" s="445"/>
      <c r="NXQ102" s="414"/>
      <c r="NXT102" s="445"/>
      <c r="NXU102" s="414"/>
      <c r="NXX102" s="445"/>
      <c r="NXY102" s="414"/>
      <c r="NYB102" s="445"/>
      <c r="NYC102" s="414"/>
      <c r="NYF102" s="445"/>
      <c r="NYG102" s="414"/>
      <c r="NYJ102" s="445"/>
      <c r="NYK102" s="414"/>
      <c r="NYN102" s="445"/>
      <c r="NYO102" s="414"/>
      <c r="NYR102" s="445"/>
      <c r="NYS102" s="414"/>
      <c r="NYV102" s="445"/>
      <c r="NYW102" s="414"/>
      <c r="NYZ102" s="445"/>
      <c r="NZA102" s="414"/>
      <c r="NZD102" s="445"/>
      <c r="NZE102" s="414"/>
      <c r="NZH102" s="445"/>
      <c r="NZI102" s="414"/>
      <c r="NZL102" s="445"/>
      <c r="NZM102" s="414"/>
      <c r="NZP102" s="445"/>
      <c r="NZQ102" s="414"/>
      <c r="NZT102" s="445"/>
      <c r="NZU102" s="414"/>
      <c r="NZX102" s="445"/>
      <c r="NZY102" s="414"/>
      <c r="OAB102" s="445"/>
      <c r="OAC102" s="414"/>
      <c r="OAF102" s="445"/>
      <c r="OAG102" s="414"/>
      <c r="OAJ102" s="445"/>
      <c r="OAK102" s="414"/>
      <c r="OAN102" s="445"/>
      <c r="OAO102" s="414"/>
      <c r="OAR102" s="445"/>
      <c r="OAS102" s="414"/>
      <c r="OAV102" s="445"/>
      <c r="OAW102" s="414"/>
      <c r="OAZ102" s="445"/>
      <c r="OBA102" s="414"/>
      <c r="OBD102" s="445"/>
      <c r="OBE102" s="414"/>
      <c r="OBH102" s="445"/>
      <c r="OBI102" s="414"/>
      <c r="OBL102" s="445"/>
      <c r="OBM102" s="414"/>
      <c r="OBP102" s="445"/>
      <c r="OBQ102" s="414"/>
      <c r="OBT102" s="445"/>
      <c r="OBU102" s="414"/>
      <c r="OBX102" s="445"/>
      <c r="OBY102" s="414"/>
      <c r="OCB102" s="445"/>
      <c r="OCC102" s="414"/>
      <c r="OCF102" s="445"/>
      <c r="OCG102" s="414"/>
      <c r="OCJ102" s="445"/>
      <c r="OCK102" s="414"/>
      <c r="OCN102" s="445"/>
      <c r="OCO102" s="414"/>
      <c r="OCR102" s="445"/>
      <c r="OCS102" s="414"/>
      <c r="OCV102" s="445"/>
      <c r="OCW102" s="414"/>
      <c r="OCZ102" s="445"/>
      <c r="ODA102" s="414"/>
      <c r="ODD102" s="445"/>
      <c r="ODE102" s="414"/>
      <c r="ODH102" s="445"/>
      <c r="ODI102" s="414"/>
      <c r="ODL102" s="445"/>
      <c r="ODM102" s="414"/>
      <c r="ODP102" s="445"/>
      <c r="ODQ102" s="414"/>
      <c r="ODT102" s="445"/>
      <c r="ODU102" s="414"/>
      <c r="ODX102" s="445"/>
      <c r="ODY102" s="414"/>
      <c r="OEB102" s="445"/>
      <c r="OEC102" s="414"/>
      <c r="OEF102" s="445"/>
      <c r="OEG102" s="414"/>
      <c r="OEJ102" s="445"/>
      <c r="OEK102" s="414"/>
      <c r="OEN102" s="445"/>
      <c r="OEO102" s="414"/>
      <c r="OER102" s="445"/>
      <c r="OES102" s="414"/>
      <c r="OEV102" s="445"/>
      <c r="OEW102" s="414"/>
      <c r="OEZ102" s="445"/>
      <c r="OFA102" s="414"/>
      <c r="OFD102" s="445"/>
      <c r="OFE102" s="414"/>
      <c r="OFH102" s="445"/>
      <c r="OFI102" s="414"/>
      <c r="OFL102" s="445"/>
      <c r="OFM102" s="414"/>
      <c r="OFP102" s="445"/>
      <c r="OFQ102" s="414"/>
      <c r="OFT102" s="445"/>
      <c r="OFU102" s="414"/>
      <c r="OFX102" s="445"/>
      <c r="OFY102" s="414"/>
      <c r="OGB102" s="445"/>
      <c r="OGC102" s="414"/>
      <c r="OGF102" s="445"/>
      <c r="OGG102" s="414"/>
      <c r="OGJ102" s="445"/>
      <c r="OGK102" s="414"/>
      <c r="OGN102" s="445"/>
      <c r="OGO102" s="414"/>
      <c r="OGR102" s="445"/>
      <c r="OGS102" s="414"/>
      <c r="OGV102" s="445"/>
      <c r="OGW102" s="414"/>
      <c r="OGZ102" s="445"/>
      <c r="OHA102" s="414"/>
      <c r="OHD102" s="445"/>
      <c r="OHE102" s="414"/>
      <c r="OHH102" s="445"/>
      <c r="OHI102" s="414"/>
      <c r="OHL102" s="445"/>
      <c r="OHM102" s="414"/>
      <c r="OHP102" s="445"/>
      <c r="OHQ102" s="414"/>
      <c r="OHT102" s="445"/>
      <c r="OHU102" s="414"/>
      <c r="OHX102" s="445"/>
      <c r="OHY102" s="414"/>
      <c r="OIB102" s="445"/>
      <c r="OIC102" s="414"/>
      <c r="OIF102" s="445"/>
      <c r="OIG102" s="414"/>
      <c r="OIJ102" s="445"/>
      <c r="OIK102" s="414"/>
      <c r="OIN102" s="445"/>
      <c r="OIO102" s="414"/>
      <c r="OIR102" s="445"/>
      <c r="OIS102" s="414"/>
      <c r="OIV102" s="445"/>
      <c r="OIW102" s="414"/>
      <c r="OIZ102" s="445"/>
      <c r="OJA102" s="414"/>
      <c r="OJD102" s="445"/>
      <c r="OJE102" s="414"/>
      <c r="OJH102" s="445"/>
      <c r="OJI102" s="414"/>
      <c r="OJL102" s="445"/>
      <c r="OJM102" s="414"/>
      <c r="OJP102" s="445"/>
      <c r="OJQ102" s="414"/>
      <c r="OJT102" s="445"/>
      <c r="OJU102" s="414"/>
      <c r="OJX102" s="445"/>
      <c r="OJY102" s="414"/>
      <c r="OKB102" s="445"/>
      <c r="OKC102" s="414"/>
      <c r="OKF102" s="445"/>
      <c r="OKG102" s="414"/>
      <c r="OKJ102" s="445"/>
      <c r="OKK102" s="414"/>
      <c r="OKN102" s="445"/>
      <c r="OKO102" s="414"/>
      <c r="OKR102" s="445"/>
      <c r="OKS102" s="414"/>
      <c r="OKV102" s="445"/>
      <c r="OKW102" s="414"/>
      <c r="OKZ102" s="445"/>
      <c r="OLA102" s="414"/>
      <c r="OLD102" s="445"/>
      <c r="OLE102" s="414"/>
      <c r="OLH102" s="445"/>
      <c r="OLI102" s="414"/>
      <c r="OLL102" s="445"/>
      <c r="OLM102" s="414"/>
      <c r="OLP102" s="445"/>
      <c r="OLQ102" s="414"/>
      <c r="OLT102" s="445"/>
      <c r="OLU102" s="414"/>
      <c r="OLX102" s="445"/>
      <c r="OLY102" s="414"/>
      <c r="OMB102" s="445"/>
      <c r="OMC102" s="414"/>
      <c r="OMF102" s="445"/>
      <c r="OMG102" s="414"/>
      <c r="OMJ102" s="445"/>
      <c r="OMK102" s="414"/>
      <c r="OMN102" s="445"/>
      <c r="OMO102" s="414"/>
      <c r="OMR102" s="445"/>
      <c r="OMS102" s="414"/>
      <c r="OMV102" s="445"/>
      <c r="OMW102" s="414"/>
      <c r="OMZ102" s="445"/>
      <c r="ONA102" s="414"/>
      <c r="OND102" s="445"/>
      <c r="ONE102" s="414"/>
      <c r="ONH102" s="445"/>
      <c r="ONI102" s="414"/>
      <c r="ONL102" s="445"/>
      <c r="ONM102" s="414"/>
      <c r="ONP102" s="445"/>
      <c r="ONQ102" s="414"/>
      <c r="ONT102" s="445"/>
      <c r="ONU102" s="414"/>
      <c r="ONX102" s="445"/>
      <c r="ONY102" s="414"/>
      <c r="OOB102" s="445"/>
      <c r="OOC102" s="414"/>
      <c r="OOF102" s="445"/>
      <c r="OOG102" s="414"/>
      <c r="OOJ102" s="445"/>
      <c r="OOK102" s="414"/>
      <c r="OON102" s="445"/>
      <c r="OOO102" s="414"/>
      <c r="OOR102" s="445"/>
      <c r="OOS102" s="414"/>
      <c r="OOV102" s="445"/>
      <c r="OOW102" s="414"/>
      <c r="OOZ102" s="445"/>
      <c r="OPA102" s="414"/>
      <c r="OPD102" s="445"/>
      <c r="OPE102" s="414"/>
      <c r="OPH102" s="445"/>
      <c r="OPI102" s="414"/>
      <c r="OPL102" s="445"/>
      <c r="OPM102" s="414"/>
      <c r="OPP102" s="445"/>
      <c r="OPQ102" s="414"/>
      <c r="OPT102" s="445"/>
      <c r="OPU102" s="414"/>
      <c r="OPX102" s="445"/>
      <c r="OPY102" s="414"/>
      <c r="OQB102" s="445"/>
      <c r="OQC102" s="414"/>
      <c r="OQF102" s="445"/>
      <c r="OQG102" s="414"/>
      <c r="OQJ102" s="445"/>
      <c r="OQK102" s="414"/>
      <c r="OQN102" s="445"/>
      <c r="OQO102" s="414"/>
      <c r="OQR102" s="445"/>
      <c r="OQS102" s="414"/>
      <c r="OQV102" s="445"/>
      <c r="OQW102" s="414"/>
      <c r="OQZ102" s="445"/>
      <c r="ORA102" s="414"/>
      <c r="ORD102" s="445"/>
      <c r="ORE102" s="414"/>
      <c r="ORH102" s="445"/>
      <c r="ORI102" s="414"/>
      <c r="ORL102" s="445"/>
      <c r="ORM102" s="414"/>
      <c r="ORP102" s="445"/>
      <c r="ORQ102" s="414"/>
      <c r="ORT102" s="445"/>
      <c r="ORU102" s="414"/>
      <c r="ORX102" s="445"/>
      <c r="ORY102" s="414"/>
      <c r="OSB102" s="445"/>
      <c r="OSC102" s="414"/>
      <c r="OSF102" s="445"/>
      <c r="OSG102" s="414"/>
      <c r="OSJ102" s="445"/>
      <c r="OSK102" s="414"/>
      <c r="OSN102" s="445"/>
      <c r="OSO102" s="414"/>
      <c r="OSR102" s="445"/>
      <c r="OSS102" s="414"/>
      <c r="OSV102" s="445"/>
      <c r="OSW102" s="414"/>
      <c r="OSZ102" s="445"/>
      <c r="OTA102" s="414"/>
      <c r="OTD102" s="445"/>
      <c r="OTE102" s="414"/>
      <c r="OTH102" s="445"/>
      <c r="OTI102" s="414"/>
      <c r="OTL102" s="445"/>
      <c r="OTM102" s="414"/>
      <c r="OTP102" s="445"/>
      <c r="OTQ102" s="414"/>
      <c r="OTT102" s="445"/>
      <c r="OTU102" s="414"/>
      <c r="OTX102" s="445"/>
      <c r="OTY102" s="414"/>
      <c r="OUB102" s="445"/>
      <c r="OUC102" s="414"/>
      <c r="OUF102" s="445"/>
      <c r="OUG102" s="414"/>
      <c r="OUJ102" s="445"/>
      <c r="OUK102" s="414"/>
      <c r="OUN102" s="445"/>
      <c r="OUO102" s="414"/>
      <c r="OUR102" s="445"/>
      <c r="OUS102" s="414"/>
      <c r="OUV102" s="445"/>
      <c r="OUW102" s="414"/>
      <c r="OUZ102" s="445"/>
      <c r="OVA102" s="414"/>
      <c r="OVD102" s="445"/>
      <c r="OVE102" s="414"/>
      <c r="OVH102" s="445"/>
      <c r="OVI102" s="414"/>
      <c r="OVL102" s="445"/>
      <c r="OVM102" s="414"/>
      <c r="OVP102" s="445"/>
      <c r="OVQ102" s="414"/>
      <c r="OVT102" s="445"/>
      <c r="OVU102" s="414"/>
      <c r="OVX102" s="445"/>
      <c r="OVY102" s="414"/>
      <c r="OWB102" s="445"/>
      <c r="OWC102" s="414"/>
      <c r="OWF102" s="445"/>
      <c r="OWG102" s="414"/>
      <c r="OWJ102" s="445"/>
      <c r="OWK102" s="414"/>
      <c r="OWN102" s="445"/>
      <c r="OWO102" s="414"/>
      <c r="OWR102" s="445"/>
      <c r="OWS102" s="414"/>
      <c r="OWV102" s="445"/>
      <c r="OWW102" s="414"/>
      <c r="OWZ102" s="445"/>
      <c r="OXA102" s="414"/>
      <c r="OXD102" s="445"/>
      <c r="OXE102" s="414"/>
      <c r="OXH102" s="445"/>
      <c r="OXI102" s="414"/>
      <c r="OXL102" s="445"/>
      <c r="OXM102" s="414"/>
      <c r="OXP102" s="445"/>
      <c r="OXQ102" s="414"/>
      <c r="OXT102" s="445"/>
      <c r="OXU102" s="414"/>
      <c r="OXX102" s="445"/>
      <c r="OXY102" s="414"/>
      <c r="OYB102" s="445"/>
      <c r="OYC102" s="414"/>
      <c r="OYF102" s="445"/>
      <c r="OYG102" s="414"/>
      <c r="OYJ102" s="445"/>
      <c r="OYK102" s="414"/>
      <c r="OYN102" s="445"/>
      <c r="OYO102" s="414"/>
      <c r="OYR102" s="445"/>
      <c r="OYS102" s="414"/>
      <c r="OYV102" s="445"/>
      <c r="OYW102" s="414"/>
      <c r="OYZ102" s="445"/>
      <c r="OZA102" s="414"/>
      <c r="OZD102" s="445"/>
      <c r="OZE102" s="414"/>
      <c r="OZH102" s="445"/>
      <c r="OZI102" s="414"/>
      <c r="OZL102" s="445"/>
      <c r="OZM102" s="414"/>
      <c r="OZP102" s="445"/>
      <c r="OZQ102" s="414"/>
      <c r="OZT102" s="445"/>
      <c r="OZU102" s="414"/>
      <c r="OZX102" s="445"/>
      <c r="OZY102" s="414"/>
      <c r="PAB102" s="445"/>
      <c r="PAC102" s="414"/>
      <c r="PAF102" s="445"/>
      <c r="PAG102" s="414"/>
      <c r="PAJ102" s="445"/>
      <c r="PAK102" s="414"/>
      <c r="PAN102" s="445"/>
      <c r="PAO102" s="414"/>
      <c r="PAR102" s="445"/>
      <c r="PAS102" s="414"/>
      <c r="PAV102" s="445"/>
      <c r="PAW102" s="414"/>
      <c r="PAZ102" s="445"/>
      <c r="PBA102" s="414"/>
      <c r="PBD102" s="445"/>
      <c r="PBE102" s="414"/>
      <c r="PBH102" s="445"/>
      <c r="PBI102" s="414"/>
      <c r="PBL102" s="445"/>
      <c r="PBM102" s="414"/>
      <c r="PBP102" s="445"/>
      <c r="PBQ102" s="414"/>
      <c r="PBT102" s="445"/>
      <c r="PBU102" s="414"/>
      <c r="PBX102" s="445"/>
      <c r="PBY102" s="414"/>
      <c r="PCB102" s="445"/>
      <c r="PCC102" s="414"/>
      <c r="PCF102" s="445"/>
      <c r="PCG102" s="414"/>
      <c r="PCJ102" s="445"/>
      <c r="PCK102" s="414"/>
      <c r="PCN102" s="445"/>
      <c r="PCO102" s="414"/>
      <c r="PCR102" s="445"/>
      <c r="PCS102" s="414"/>
      <c r="PCV102" s="445"/>
      <c r="PCW102" s="414"/>
      <c r="PCZ102" s="445"/>
      <c r="PDA102" s="414"/>
      <c r="PDD102" s="445"/>
      <c r="PDE102" s="414"/>
      <c r="PDH102" s="445"/>
      <c r="PDI102" s="414"/>
      <c r="PDL102" s="445"/>
      <c r="PDM102" s="414"/>
      <c r="PDP102" s="445"/>
      <c r="PDQ102" s="414"/>
      <c r="PDT102" s="445"/>
      <c r="PDU102" s="414"/>
      <c r="PDX102" s="445"/>
      <c r="PDY102" s="414"/>
      <c r="PEB102" s="445"/>
      <c r="PEC102" s="414"/>
      <c r="PEF102" s="445"/>
      <c r="PEG102" s="414"/>
      <c r="PEJ102" s="445"/>
      <c r="PEK102" s="414"/>
      <c r="PEN102" s="445"/>
      <c r="PEO102" s="414"/>
      <c r="PER102" s="445"/>
      <c r="PES102" s="414"/>
      <c r="PEV102" s="445"/>
      <c r="PEW102" s="414"/>
      <c r="PEZ102" s="445"/>
      <c r="PFA102" s="414"/>
      <c r="PFD102" s="445"/>
      <c r="PFE102" s="414"/>
      <c r="PFH102" s="445"/>
      <c r="PFI102" s="414"/>
      <c r="PFL102" s="445"/>
      <c r="PFM102" s="414"/>
      <c r="PFP102" s="445"/>
      <c r="PFQ102" s="414"/>
      <c r="PFT102" s="445"/>
      <c r="PFU102" s="414"/>
      <c r="PFX102" s="445"/>
      <c r="PFY102" s="414"/>
      <c r="PGB102" s="445"/>
      <c r="PGC102" s="414"/>
      <c r="PGF102" s="445"/>
      <c r="PGG102" s="414"/>
      <c r="PGJ102" s="445"/>
      <c r="PGK102" s="414"/>
      <c r="PGN102" s="445"/>
      <c r="PGO102" s="414"/>
      <c r="PGR102" s="445"/>
      <c r="PGS102" s="414"/>
      <c r="PGV102" s="445"/>
      <c r="PGW102" s="414"/>
      <c r="PGZ102" s="445"/>
      <c r="PHA102" s="414"/>
      <c r="PHD102" s="445"/>
      <c r="PHE102" s="414"/>
      <c r="PHH102" s="445"/>
      <c r="PHI102" s="414"/>
      <c r="PHL102" s="445"/>
      <c r="PHM102" s="414"/>
      <c r="PHP102" s="445"/>
      <c r="PHQ102" s="414"/>
      <c r="PHT102" s="445"/>
      <c r="PHU102" s="414"/>
      <c r="PHX102" s="445"/>
      <c r="PHY102" s="414"/>
      <c r="PIB102" s="445"/>
      <c r="PIC102" s="414"/>
      <c r="PIF102" s="445"/>
      <c r="PIG102" s="414"/>
      <c r="PIJ102" s="445"/>
      <c r="PIK102" s="414"/>
      <c r="PIN102" s="445"/>
      <c r="PIO102" s="414"/>
      <c r="PIR102" s="445"/>
      <c r="PIS102" s="414"/>
      <c r="PIV102" s="445"/>
      <c r="PIW102" s="414"/>
      <c r="PIZ102" s="445"/>
      <c r="PJA102" s="414"/>
      <c r="PJD102" s="445"/>
      <c r="PJE102" s="414"/>
      <c r="PJH102" s="445"/>
      <c r="PJI102" s="414"/>
      <c r="PJL102" s="445"/>
      <c r="PJM102" s="414"/>
      <c r="PJP102" s="445"/>
      <c r="PJQ102" s="414"/>
      <c r="PJT102" s="445"/>
      <c r="PJU102" s="414"/>
      <c r="PJX102" s="445"/>
      <c r="PJY102" s="414"/>
      <c r="PKB102" s="445"/>
      <c r="PKC102" s="414"/>
      <c r="PKF102" s="445"/>
      <c r="PKG102" s="414"/>
      <c r="PKJ102" s="445"/>
      <c r="PKK102" s="414"/>
      <c r="PKN102" s="445"/>
      <c r="PKO102" s="414"/>
      <c r="PKR102" s="445"/>
      <c r="PKS102" s="414"/>
      <c r="PKV102" s="445"/>
      <c r="PKW102" s="414"/>
      <c r="PKZ102" s="445"/>
      <c r="PLA102" s="414"/>
      <c r="PLD102" s="445"/>
      <c r="PLE102" s="414"/>
      <c r="PLH102" s="445"/>
      <c r="PLI102" s="414"/>
      <c r="PLL102" s="445"/>
      <c r="PLM102" s="414"/>
      <c r="PLP102" s="445"/>
      <c r="PLQ102" s="414"/>
      <c r="PLT102" s="445"/>
      <c r="PLU102" s="414"/>
      <c r="PLX102" s="445"/>
      <c r="PLY102" s="414"/>
      <c r="PMB102" s="445"/>
      <c r="PMC102" s="414"/>
      <c r="PMF102" s="445"/>
      <c r="PMG102" s="414"/>
      <c r="PMJ102" s="445"/>
      <c r="PMK102" s="414"/>
      <c r="PMN102" s="445"/>
      <c r="PMO102" s="414"/>
      <c r="PMR102" s="445"/>
      <c r="PMS102" s="414"/>
      <c r="PMV102" s="445"/>
      <c r="PMW102" s="414"/>
      <c r="PMZ102" s="445"/>
      <c r="PNA102" s="414"/>
      <c r="PND102" s="445"/>
      <c r="PNE102" s="414"/>
      <c r="PNH102" s="445"/>
      <c r="PNI102" s="414"/>
      <c r="PNL102" s="445"/>
      <c r="PNM102" s="414"/>
      <c r="PNP102" s="445"/>
      <c r="PNQ102" s="414"/>
      <c r="PNT102" s="445"/>
      <c r="PNU102" s="414"/>
      <c r="PNX102" s="445"/>
      <c r="PNY102" s="414"/>
      <c r="POB102" s="445"/>
      <c r="POC102" s="414"/>
      <c r="POF102" s="445"/>
      <c r="POG102" s="414"/>
      <c r="POJ102" s="445"/>
      <c r="POK102" s="414"/>
      <c r="PON102" s="445"/>
      <c r="POO102" s="414"/>
      <c r="POR102" s="445"/>
      <c r="POS102" s="414"/>
      <c r="POV102" s="445"/>
      <c r="POW102" s="414"/>
      <c r="POZ102" s="445"/>
      <c r="PPA102" s="414"/>
      <c r="PPD102" s="445"/>
      <c r="PPE102" s="414"/>
      <c r="PPH102" s="445"/>
      <c r="PPI102" s="414"/>
      <c r="PPL102" s="445"/>
      <c r="PPM102" s="414"/>
      <c r="PPP102" s="445"/>
      <c r="PPQ102" s="414"/>
      <c r="PPT102" s="445"/>
      <c r="PPU102" s="414"/>
      <c r="PPX102" s="445"/>
      <c r="PPY102" s="414"/>
      <c r="PQB102" s="445"/>
      <c r="PQC102" s="414"/>
      <c r="PQF102" s="445"/>
      <c r="PQG102" s="414"/>
      <c r="PQJ102" s="445"/>
      <c r="PQK102" s="414"/>
      <c r="PQN102" s="445"/>
      <c r="PQO102" s="414"/>
      <c r="PQR102" s="445"/>
      <c r="PQS102" s="414"/>
      <c r="PQV102" s="445"/>
      <c r="PQW102" s="414"/>
      <c r="PQZ102" s="445"/>
      <c r="PRA102" s="414"/>
      <c r="PRD102" s="445"/>
      <c r="PRE102" s="414"/>
      <c r="PRH102" s="445"/>
      <c r="PRI102" s="414"/>
      <c r="PRL102" s="445"/>
      <c r="PRM102" s="414"/>
      <c r="PRP102" s="445"/>
      <c r="PRQ102" s="414"/>
      <c r="PRT102" s="445"/>
      <c r="PRU102" s="414"/>
      <c r="PRX102" s="445"/>
      <c r="PRY102" s="414"/>
      <c r="PSB102" s="445"/>
      <c r="PSC102" s="414"/>
      <c r="PSF102" s="445"/>
      <c r="PSG102" s="414"/>
      <c r="PSJ102" s="445"/>
      <c r="PSK102" s="414"/>
      <c r="PSN102" s="445"/>
      <c r="PSO102" s="414"/>
      <c r="PSR102" s="445"/>
      <c r="PSS102" s="414"/>
      <c r="PSV102" s="445"/>
      <c r="PSW102" s="414"/>
      <c r="PSZ102" s="445"/>
      <c r="PTA102" s="414"/>
      <c r="PTD102" s="445"/>
      <c r="PTE102" s="414"/>
      <c r="PTH102" s="445"/>
      <c r="PTI102" s="414"/>
      <c r="PTL102" s="445"/>
      <c r="PTM102" s="414"/>
      <c r="PTP102" s="445"/>
      <c r="PTQ102" s="414"/>
      <c r="PTT102" s="445"/>
      <c r="PTU102" s="414"/>
      <c r="PTX102" s="445"/>
      <c r="PTY102" s="414"/>
      <c r="PUB102" s="445"/>
      <c r="PUC102" s="414"/>
      <c r="PUF102" s="445"/>
      <c r="PUG102" s="414"/>
      <c r="PUJ102" s="445"/>
      <c r="PUK102" s="414"/>
      <c r="PUN102" s="445"/>
      <c r="PUO102" s="414"/>
      <c r="PUR102" s="445"/>
      <c r="PUS102" s="414"/>
      <c r="PUV102" s="445"/>
      <c r="PUW102" s="414"/>
      <c r="PUZ102" s="445"/>
      <c r="PVA102" s="414"/>
      <c r="PVD102" s="445"/>
      <c r="PVE102" s="414"/>
      <c r="PVH102" s="445"/>
      <c r="PVI102" s="414"/>
      <c r="PVL102" s="445"/>
      <c r="PVM102" s="414"/>
      <c r="PVP102" s="445"/>
      <c r="PVQ102" s="414"/>
      <c r="PVT102" s="445"/>
      <c r="PVU102" s="414"/>
      <c r="PVX102" s="445"/>
      <c r="PVY102" s="414"/>
      <c r="PWB102" s="445"/>
      <c r="PWC102" s="414"/>
      <c r="PWF102" s="445"/>
      <c r="PWG102" s="414"/>
      <c r="PWJ102" s="445"/>
      <c r="PWK102" s="414"/>
      <c r="PWN102" s="445"/>
      <c r="PWO102" s="414"/>
      <c r="PWR102" s="445"/>
      <c r="PWS102" s="414"/>
      <c r="PWV102" s="445"/>
      <c r="PWW102" s="414"/>
      <c r="PWZ102" s="445"/>
      <c r="PXA102" s="414"/>
      <c r="PXD102" s="445"/>
      <c r="PXE102" s="414"/>
      <c r="PXH102" s="445"/>
      <c r="PXI102" s="414"/>
      <c r="PXL102" s="445"/>
      <c r="PXM102" s="414"/>
      <c r="PXP102" s="445"/>
      <c r="PXQ102" s="414"/>
      <c r="PXT102" s="445"/>
      <c r="PXU102" s="414"/>
      <c r="PXX102" s="445"/>
      <c r="PXY102" s="414"/>
      <c r="PYB102" s="445"/>
      <c r="PYC102" s="414"/>
      <c r="PYF102" s="445"/>
      <c r="PYG102" s="414"/>
      <c r="PYJ102" s="445"/>
      <c r="PYK102" s="414"/>
      <c r="PYN102" s="445"/>
      <c r="PYO102" s="414"/>
      <c r="PYR102" s="445"/>
      <c r="PYS102" s="414"/>
      <c r="PYV102" s="445"/>
      <c r="PYW102" s="414"/>
      <c r="PYZ102" s="445"/>
      <c r="PZA102" s="414"/>
      <c r="PZD102" s="445"/>
      <c r="PZE102" s="414"/>
      <c r="PZH102" s="445"/>
      <c r="PZI102" s="414"/>
      <c r="PZL102" s="445"/>
      <c r="PZM102" s="414"/>
      <c r="PZP102" s="445"/>
      <c r="PZQ102" s="414"/>
      <c r="PZT102" s="445"/>
      <c r="PZU102" s="414"/>
      <c r="PZX102" s="445"/>
      <c r="PZY102" s="414"/>
      <c r="QAB102" s="445"/>
      <c r="QAC102" s="414"/>
      <c r="QAF102" s="445"/>
      <c r="QAG102" s="414"/>
      <c r="QAJ102" s="445"/>
      <c r="QAK102" s="414"/>
      <c r="QAN102" s="445"/>
      <c r="QAO102" s="414"/>
      <c r="QAR102" s="445"/>
      <c r="QAS102" s="414"/>
      <c r="QAV102" s="445"/>
      <c r="QAW102" s="414"/>
      <c r="QAZ102" s="445"/>
      <c r="QBA102" s="414"/>
      <c r="QBD102" s="445"/>
      <c r="QBE102" s="414"/>
      <c r="QBH102" s="445"/>
      <c r="QBI102" s="414"/>
      <c r="QBL102" s="445"/>
      <c r="QBM102" s="414"/>
      <c r="QBP102" s="445"/>
      <c r="QBQ102" s="414"/>
      <c r="QBT102" s="445"/>
      <c r="QBU102" s="414"/>
      <c r="QBX102" s="445"/>
      <c r="QBY102" s="414"/>
      <c r="QCB102" s="445"/>
      <c r="QCC102" s="414"/>
      <c r="QCF102" s="445"/>
      <c r="QCG102" s="414"/>
      <c r="QCJ102" s="445"/>
      <c r="QCK102" s="414"/>
      <c r="QCN102" s="445"/>
      <c r="QCO102" s="414"/>
      <c r="QCR102" s="445"/>
      <c r="QCS102" s="414"/>
      <c r="QCV102" s="445"/>
      <c r="QCW102" s="414"/>
      <c r="QCZ102" s="445"/>
      <c r="QDA102" s="414"/>
      <c r="QDD102" s="445"/>
      <c r="QDE102" s="414"/>
      <c r="QDH102" s="445"/>
      <c r="QDI102" s="414"/>
      <c r="QDL102" s="445"/>
      <c r="QDM102" s="414"/>
      <c r="QDP102" s="445"/>
      <c r="QDQ102" s="414"/>
      <c r="QDT102" s="445"/>
      <c r="QDU102" s="414"/>
      <c r="QDX102" s="445"/>
      <c r="QDY102" s="414"/>
      <c r="QEB102" s="445"/>
      <c r="QEC102" s="414"/>
      <c r="QEF102" s="445"/>
      <c r="QEG102" s="414"/>
      <c r="QEJ102" s="445"/>
      <c r="QEK102" s="414"/>
      <c r="QEN102" s="445"/>
      <c r="QEO102" s="414"/>
      <c r="QER102" s="445"/>
      <c r="QES102" s="414"/>
      <c r="QEV102" s="445"/>
      <c r="QEW102" s="414"/>
      <c r="QEZ102" s="445"/>
      <c r="QFA102" s="414"/>
      <c r="QFD102" s="445"/>
      <c r="QFE102" s="414"/>
      <c r="QFH102" s="445"/>
      <c r="QFI102" s="414"/>
      <c r="QFL102" s="445"/>
      <c r="QFM102" s="414"/>
      <c r="QFP102" s="445"/>
      <c r="QFQ102" s="414"/>
      <c r="QFT102" s="445"/>
      <c r="QFU102" s="414"/>
      <c r="QFX102" s="445"/>
      <c r="QFY102" s="414"/>
      <c r="QGB102" s="445"/>
      <c r="QGC102" s="414"/>
      <c r="QGF102" s="445"/>
      <c r="QGG102" s="414"/>
      <c r="QGJ102" s="445"/>
      <c r="QGK102" s="414"/>
      <c r="QGN102" s="445"/>
      <c r="QGO102" s="414"/>
      <c r="QGR102" s="445"/>
      <c r="QGS102" s="414"/>
      <c r="QGV102" s="445"/>
      <c r="QGW102" s="414"/>
      <c r="QGZ102" s="445"/>
      <c r="QHA102" s="414"/>
      <c r="QHD102" s="445"/>
      <c r="QHE102" s="414"/>
      <c r="QHH102" s="445"/>
      <c r="QHI102" s="414"/>
      <c r="QHL102" s="445"/>
      <c r="QHM102" s="414"/>
      <c r="QHP102" s="445"/>
      <c r="QHQ102" s="414"/>
      <c r="QHT102" s="445"/>
      <c r="QHU102" s="414"/>
      <c r="QHX102" s="445"/>
      <c r="QHY102" s="414"/>
      <c r="QIB102" s="445"/>
      <c r="QIC102" s="414"/>
      <c r="QIF102" s="445"/>
      <c r="QIG102" s="414"/>
      <c r="QIJ102" s="445"/>
      <c r="QIK102" s="414"/>
      <c r="QIN102" s="445"/>
      <c r="QIO102" s="414"/>
      <c r="QIR102" s="445"/>
      <c r="QIS102" s="414"/>
      <c r="QIV102" s="445"/>
      <c r="QIW102" s="414"/>
      <c r="QIZ102" s="445"/>
      <c r="QJA102" s="414"/>
      <c r="QJD102" s="445"/>
      <c r="QJE102" s="414"/>
      <c r="QJH102" s="445"/>
      <c r="QJI102" s="414"/>
      <c r="QJL102" s="445"/>
      <c r="QJM102" s="414"/>
      <c r="QJP102" s="445"/>
      <c r="QJQ102" s="414"/>
      <c r="QJT102" s="445"/>
      <c r="QJU102" s="414"/>
      <c r="QJX102" s="445"/>
      <c r="QJY102" s="414"/>
      <c r="QKB102" s="445"/>
      <c r="QKC102" s="414"/>
      <c r="QKF102" s="445"/>
      <c r="QKG102" s="414"/>
      <c r="QKJ102" s="445"/>
      <c r="QKK102" s="414"/>
      <c r="QKN102" s="445"/>
      <c r="QKO102" s="414"/>
      <c r="QKR102" s="445"/>
      <c r="QKS102" s="414"/>
      <c r="QKV102" s="445"/>
      <c r="QKW102" s="414"/>
      <c r="QKZ102" s="445"/>
      <c r="QLA102" s="414"/>
      <c r="QLD102" s="445"/>
      <c r="QLE102" s="414"/>
      <c r="QLH102" s="445"/>
      <c r="QLI102" s="414"/>
      <c r="QLL102" s="445"/>
      <c r="QLM102" s="414"/>
      <c r="QLP102" s="445"/>
      <c r="QLQ102" s="414"/>
      <c r="QLT102" s="445"/>
      <c r="QLU102" s="414"/>
      <c r="QLX102" s="445"/>
      <c r="QLY102" s="414"/>
      <c r="QMB102" s="445"/>
      <c r="QMC102" s="414"/>
      <c r="QMF102" s="445"/>
      <c r="QMG102" s="414"/>
      <c r="QMJ102" s="445"/>
      <c r="QMK102" s="414"/>
      <c r="QMN102" s="445"/>
      <c r="QMO102" s="414"/>
      <c r="QMR102" s="445"/>
      <c r="QMS102" s="414"/>
      <c r="QMV102" s="445"/>
      <c r="QMW102" s="414"/>
      <c r="QMZ102" s="445"/>
      <c r="QNA102" s="414"/>
      <c r="QND102" s="445"/>
      <c r="QNE102" s="414"/>
      <c r="QNH102" s="445"/>
      <c r="QNI102" s="414"/>
      <c r="QNL102" s="445"/>
      <c r="QNM102" s="414"/>
      <c r="QNP102" s="445"/>
      <c r="QNQ102" s="414"/>
      <c r="QNT102" s="445"/>
      <c r="QNU102" s="414"/>
      <c r="QNX102" s="445"/>
      <c r="QNY102" s="414"/>
      <c r="QOB102" s="445"/>
      <c r="QOC102" s="414"/>
      <c r="QOF102" s="445"/>
      <c r="QOG102" s="414"/>
      <c r="QOJ102" s="445"/>
      <c r="QOK102" s="414"/>
      <c r="QON102" s="445"/>
      <c r="QOO102" s="414"/>
      <c r="QOR102" s="445"/>
      <c r="QOS102" s="414"/>
      <c r="QOV102" s="445"/>
      <c r="QOW102" s="414"/>
      <c r="QOZ102" s="445"/>
      <c r="QPA102" s="414"/>
      <c r="QPD102" s="445"/>
      <c r="QPE102" s="414"/>
      <c r="QPH102" s="445"/>
      <c r="QPI102" s="414"/>
      <c r="QPL102" s="445"/>
      <c r="QPM102" s="414"/>
      <c r="QPP102" s="445"/>
      <c r="QPQ102" s="414"/>
      <c r="QPT102" s="445"/>
      <c r="QPU102" s="414"/>
      <c r="QPX102" s="445"/>
      <c r="QPY102" s="414"/>
      <c r="QQB102" s="445"/>
      <c r="QQC102" s="414"/>
      <c r="QQF102" s="445"/>
      <c r="QQG102" s="414"/>
      <c r="QQJ102" s="445"/>
      <c r="QQK102" s="414"/>
      <c r="QQN102" s="445"/>
      <c r="QQO102" s="414"/>
      <c r="QQR102" s="445"/>
      <c r="QQS102" s="414"/>
      <c r="QQV102" s="445"/>
      <c r="QQW102" s="414"/>
      <c r="QQZ102" s="445"/>
      <c r="QRA102" s="414"/>
      <c r="QRD102" s="445"/>
      <c r="QRE102" s="414"/>
      <c r="QRH102" s="445"/>
      <c r="QRI102" s="414"/>
      <c r="QRL102" s="445"/>
      <c r="QRM102" s="414"/>
      <c r="QRP102" s="445"/>
      <c r="QRQ102" s="414"/>
      <c r="QRT102" s="445"/>
      <c r="QRU102" s="414"/>
      <c r="QRX102" s="445"/>
      <c r="QRY102" s="414"/>
      <c r="QSB102" s="445"/>
      <c r="QSC102" s="414"/>
      <c r="QSF102" s="445"/>
      <c r="QSG102" s="414"/>
      <c r="QSJ102" s="445"/>
      <c r="QSK102" s="414"/>
      <c r="QSN102" s="445"/>
      <c r="QSO102" s="414"/>
      <c r="QSR102" s="445"/>
      <c r="QSS102" s="414"/>
      <c r="QSV102" s="445"/>
      <c r="QSW102" s="414"/>
      <c r="QSZ102" s="445"/>
      <c r="QTA102" s="414"/>
      <c r="QTD102" s="445"/>
      <c r="QTE102" s="414"/>
      <c r="QTH102" s="445"/>
      <c r="QTI102" s="414"/>
      <c r="QTL102" s="445"/>
      <c r="QTM102" s="414"/>
      <c r="QTP102" s="445"/>
      <c r="QTQ102" s="414"/>
      <c r="QTT102" s="445"/>
      <c r="QTU102" s="414"/>
      <c r="QTX102" s="445"/>
      <c r="QTY102" s="414"/>
      <c r="QUB102" s="445"/>
      <c r="QUC102" s="414"/>
      <c r="QUF102" s="445"/>
      <c r="QUG102" s="414"/>
      <c r="QUJ102" s="445"/>
      <c r="QUK102" s="414"/>
      <c r="QUN102" s="445"/>
      <c r="QUO102" s="414"/>
      <c r="QUR102" s="445"/>
      <c r="QUS102" s="414"/>
      <c r="QUV102" s="445"/>
      <c r="QUW102" s="414"/>
      <c r="QUZ102" s="445"/>
      <c r="QVA102" s="414"/>
      <c r="QVD102" s="445"/>
      <c r="QVE102" s="414"/>
      <c r="QVH102" s="445"/>
      <c r="QVI102" s="414"/>
      <c r="QVL102" s="445"/>
      <c r="QVM102" s="414"/>
      <c r="QVP102" s="445"/>
      <c r="QVQ102" s="414"/>
      <c r="QVT102" s="445"/>
      <c r="QVU102" s="414"/>
      <c r="QVX102" s="445"/>
      <c r="QVY102" s="414"/>
      <c r="QWB102" s="445"/>
      <c r="QWC102" s="414"/>
      <c r="QWF102" s="445"/>
      <c r="QWG102" s="414"/>
      <c r="QWJ102" s="445"/>
      <c r="QWK102" s="414"/>
      <c r="QWN102" s="445"/>
      <c r="QWO102" s="414"/>
      <c r="QWR102" s="445"/>
      <c r="QWS102" s="414"/>
      <c r="QWV102" s="445"/>
      <c r="QWW102" s="414"/>
      <c r="QWZ102" s="445"/>
      <c r="QXA102" s="414"/>
      <c r="QXD102" s="445"/>
      <c r="QXE102" s="414"/>
      <c r="QXH102" s="445"/>
      <c r="QXI102" s="414"/>
      <c r="QXL102" s="445"/>
      <c r="QXM102" s="414"/>
      <c r="QXP102" s="445"/>
      <c r="QXQ102" s="414"/>
      <c r="QXT102" s="445"/>
      <c r="QXU102" s="414"/>
      <c r="QXX102" s="445"/>
      <c r="QXY102" s="414"/>
      <c r="QYB102" s="445"/>
      <c r="QYC102" s="414"/>
      <c r="QYF102" s="445"/>
      <c r="QYG102" s="414"/>
      <c r="QYJ102" s="445"/>
      <c r="QYK102" s="414"/>
      <c r="QYN102" s="445"/>
      <c r="QYO102" s="414"/>
      <c r="QYR102" s="445"/>
      <c r="QYS102" s="414"/>
      <c r="QYV102" s="445"/>
      <c r="QYW102" s="414"/>
      <c r="QYZ102" s="445"/>
      <c r="QZA102" s="414"/>
      <c r="QZD102" s="445"/>
      <c r="QZE102" s="414"/>
      <c r="QZH102" s="445"/>
      <c r="QZI102" s="414"/>
      <c r="QZL102" s="445"/>
      <c r="QZM102" s="414"/>
      <c r="QZP102" s="445"/>
      <c r="QZQ102" s="414"/>
      <c r="QZT102" s="445"/>
      <c r="QZU102" s="414"/>
      <c r="QZX102" s="445"/>
      <c r="QZY102" s="414"/>
      <c r="RAB102" s="445"/>
      <c r="RAC102" s="414"/>
      <c r="RAF102" s="445"/>
      <c r="RAG102" s="414"/>
      <c r="RAJ102" s="445"/>
      <c r="RAK102" s="414"/>
      <c r="RAN102" s="445"/>
      <c r="RAO102" s="414"/>
      <c r="RAR102" s="445"/>
      <c r="RAS102" s="414"/>
      <c r="RAV102" s="445"/>
      <c r="RAW102" s="414"/>
      <c r="RAZ102" s="445"/>
      <c r="RBA102" s="414"/>
      <c r="RBD102" s="445"/>
      <c r="RBE102" s="414"/>
      <c r="RBH102" s="445"/>
      <c r="RBI102" s="414"/>
      <c r="RBL102" s="445"/>
      <c r="RBM102" s="414"/>
      <c r="RBP102" s="445"/>
      <c r="RBQ102" s="414"/>
      <c r="RBT102" s="445"/>
      <c r="RBU102" s="414"/>
      <c r="RBX102" s="445"/>
      <c r="RBY102" s="414"/>
      <c r="RCB102" s="445"/>
      <c r="RCC102" s="414"/>
      <c r="RCF102" s="445"/>
      <c r="RCG102" s="414"/>
      <c r="RCJ102" s="445"/>
      <c r="RCK102" s="414"/>
      <c r="RCN102" s="445"/>
      <c r="RCO102" s="414"/>
      <c r="RCR102" s="445"/>
      <c r="RCS102" s="414"/>
      <c r="RCV102" s="445"/>
      <c r="RCW102" s="414"/>
      <c r="RCZ102" s="445"/>
      <c r="RDA102" s="414"/>
      <c r="RDD102" s="445"/>
      <c r="RDE102" s="414"/>
      <c r="RDH102" s="445"/>
      <c r="RDI102" s="414"/>
      <c r="RDL102" s="445"/>
      <c r="RDM102" s="414"/>
      <c r="RDP102" s="445"/>
      <c r="RDQ102" s="414"/>
      <c r="RDT102" s="445"/>
      <c r="RDU102" s="414"/>
      <c r="RDX102" s="445"/>
      <c r="RDY102" s="414"/>
      <c r="REB102" s="445"/>
      <c r="REC102" s="414"/>
      <c r="REF102" s="445"/>
      <c r="REG102" s="414"/>
      <c r="REJ102" s="445"/>
      <c r="REK102" s="414"/>
      <c r="REN102" s="445"/>
      <c r="REO102" s="414"/>
      <c r="RER102" s="445"/>
      <c r="RES102" s="414"/>
      <c r="REV102" s="445"/>
      <c r="REW102" s="414"/>
      <c r="REZ102" s="445"/>
      <c r="RFA102" s="414"/>
      <c r="RFD102" s="445"/>
      <c r="RFE102" s="414"/>
      <c r="RFH102" s="445"/>
      <c r="RFI102" s="414"/>
      <c r="RFL102" s="445"/>
      <c r="RFM102" s="414"/>
      <c r="RFP102" s="445"/>
      <c r="RFQ102" s="414"/>
      <c r="RFT102" s="445"/>
      <c r="RFU102" s="414"/>
      <c r="RFX102" s="445"/>
      <c r="RFY102" s="414"/>
      <c r="RGB102" s="445"/>
      <c r="RGC102" s="414"/>
      <c r="RGF102" s="445"/>
      <c r="RGG102" s="414"/>
      <c r="RGJ102" s="445"/>
      <c r="RGK102" s="414"/>
      <c r="RGN102" s="445"/>
      <c r="RGO102" s="414"/>
      <c r="RGR102" s="445"/>
      <c r="RGS102" s="414"/>
      <c r="RGV102" s="445"/>
      <c r="RGW102" s="414"/>
      <c r="RGZ102" s="445"/>
      <c r="RHA102" s="414"/>
      <c r="RHD102" s="445"/>
      <c r="RHE102" s="414"/>
      <c r="RHH102" s="445"/>
      <c r="RHI102" s="414"/>
      <c r="RHL102" s="445"/>
      <c r="RHM102" s="414"/>
      <c r="RHP102" s="445"/>
      <c r="RHQ102" s="414"/>
      <c r="RHT102" s="445"/>
      <c r="RHU102" s="414"/>
      <c r="RHX102" s="445"/>
      <c r="RHY102" s="414"/>
      <c r="RIB102" s="445"/>
      <c r="RIC102" s="414"/>
      <c r="RIF102" s="445"/>
      <c r="RIG102" s="414"/>
      <c r="RIJ102" s="445"/>
      <c r="RIK102" s="414"/>
      <c r="RIN102" s="445"/>
      <c r="RIO102" s="414"/>
      <c r="RIR102" s="445"/>
      <c r="RIS102" s="414"/>
      <c r="RIV102" s="445"/>
      <c r="RIW102" s="414"/>
      <c r="RIZ102" s="445"/>
      <c r="RJA102" s="414"/>
      <c r="RJD102" s="445"/>
      <c r="RJE102" s="414"/>
      <c r="RJH102" s="445"/>
      <c r="RJI102" s="414"/>
      <c r="RJL102" s="445"/>
      <c r="RJM102" s="414"/>
      <c r="RJP102" s="445"/>
      <c r="RJQ102" s="414"/>
      <c r="RJT102" s="445"/>
      <c r="RJU102" s="414"/>
      <c r="RJX102" s="445"/>
      <c r="RJY102" s="414"/>
      <c r="RKB102" s="445"/>
      <c r="RKC102" s="414"/>
      <c r="RKF102" s="445"/>
      <c r="RKG102" s="414"/>
      <c r="RKJ102" s="445"/>
      <c r="RKK102" s="414"/>
      <c r="RKN102" s="445"/>
      <c r="RKO102" s="414"/>
      <c r="RKR102" s="445"/>
      <c r="RKS102" s="414"/>
      <c r="RKV102" s="445"/>
      <c r="RKW102" s="414"/>
      <c r="RKZ102" s="445"/>
      <c r="RLA102" s="414"/>
      <c r="RLD102" s="445"/>
      <c r="RLE102" s="414"/>
      <c r="RLH102" s="445"/>
      <c r="RLI102" s="414"/>
      <c r="RLL102" s="445"/>
      <c r="RLM102" s="414"/>
      <c r="RLP102" s="445"/>
      <c r="RLQ102" s="414"/>
      <c r="RLT102" s="445"/>
      <c r="RLU102" s="414"/>
      <c r="RLX102" s="445"/>
      <c r="RLY102" s="414"/>
      <c r="RMB102" s="445"/>
      <c r="RMC102" s="414"/>
      <c r="RMF102" s="445"/>
      <c r="RMG102" s="414"/>
      <c r="RMJ102" s="445"/>
      <c r="RMK102" s="414"/>
      <c r="RMN102" s="445"/>
      <c r="RMO102" s="414"/>
      <c r="RMR102" s="445"/>
      <c r="RMS102" s="414"/>
      <c r="RMV102" s="445"/>
      <c r="RMW102" s="414"/>
      <c r="RMZ102" s="445"/>
      <c r="RNA102" s="414"/>
      <c r="RND102" s="445"/>
      <c r="RNE102" s="414"/>
      <c r="RNH102" s="445"/>
      <c r="RNI102" s="414"/>
      <c r="RNL102" s="445"/>
      <c r="RNM102" s="414"/>
      <c r="RNP102" s="445"/>
      <c r="RNQ102" s="414"/>
      <c r="RNT102" s="445"/>
      <c r="RNU102" s="414"/>
      <c r="RNX102" s="445"/>
      <c r="RNY102" s="414"/>
      <c r="ROB102" s="445"/>
      <c r="ROC102" s="414"/>
      <c r="ROF102" s="445"/>
      <c r="ROG102" s="414"/>
      <c r="ROJ102" s="445"/>
      <c r="ROK102" s="414"/>
      <c r="RON102" s="445"/>
      <c r="ROO102" s="414"/>
      <c r="ROR102" s="445"/>
      <c r="ROS102" s="414"/>
      <c r="ROV102" s="445"/>
      <c r="ROW102" s="414"/>
      <c r="ROZ102" s="445"/>
      <c r="RPA102" s="414"/>
      <c r="RPD102" s="445"/>
      <c r="RPE102" s="414"/>
      <c r="RPH102" s="445"/>
      <c r="RPI102" s="414"/>
      <c r="RPL102" s="445"/>
      <c r="RPM102" s="414"/>
      <c r="RPP102" s="445"/>
      <c r="RPQ102" s="414"/>
      <c r="RPT102" s="445"/>
      <c r="RPU102" s="414"/>
      <c r="RPX102" s="445"/>
      <c r="RPY102" s="414"/>
      <c r="RQB102" s="445"/>
      <c r="RQC102" s="414"/>
      <c r="RQF102" s="445"/>
      <c r="RQG102" s="414"/>
      <c r="RQJ102" s="445"/>
      <c r="RQK102" s="414"/>
      <c r="RQN102" s="445"/>
      <c r="RQO102" s="414"/>
      <c r="RQR102" s="445"/>
      <c r="RQS102" s="414"/>
      <c r="RQV102" s="445"/>
      <c r="RQW102" s="414"/>
      <c r="RQZ102" s="445"/>
      <c r="RRA102" s="414"/>
      <c r="RRD102" s="445"/>
      <c r="RRE102" s="414"/>
      <c r="RRH102" s="445"/>
      <c r="RRI102" s="414"/>
      <c r="RRL102" s="445"/>
      <c r="RRM102" s="414"/>
      <c r="RRP102" s="445"/>
      <c r="RRQ102" s="414"/>
      <c r="RRT102" s="445"/>
      <c r="RRU102" s="414"/>
      <c r="RRX102" s="445"/>
      <c r="RRY102" s="414"/>
      <c r="RSB102" s="445"/>
      <c r="RSC102" s="414"/>
      <c r="RSF102" s="445"/>
      <c r="RSG102" s="414"/>
      <c r="RSJ102" s="445"/>
      <c r="RSK102" s="414"/>
      <c r="RSN102" s="445"/>
      <c r="RSO102" s="414"/>
      <c r="RSR102" s="445"/>
      <c r="RSS102" s="414"/>
      <c r="RSV102" s="445"/>
      <c r="RSW102" s="414"/>
      <c r="RSZ102" s="445"/>
      <c r="RTA102" s="414"/>
      <c r="RTD102" s="445"/>
      <c r="RTE102" s="414"/>
      <c r="RTH102" s="445"/>
      <c r="RTI102" s="414"/>
      <c r="RTL102" s="445"/>
      <c r="RTM102" s="414"/>
      <c r="RTP102" s="445"/>
      <c r="RTQ102" s="414"/>
      <c r="RTT102" s="445"/>
      <c r="RTU102" s="414"/>
      <c r="RTX102" s="445"/>
      <c r="RTY102" s="414"/>
      <c r="RUB102" s="445"/>
      <c r="RUC102" s="414"/>
      <c r="RUF102" s="445"/>
      <c r="RUG102" s="414"/>
      <c r="RUJ102" s="445"/>
      <c r="RUK102" s="414"/>
      <c r="RUN102" s="445"/>
      <c r="RUO102" s="414"/>
      <c r="RUR102" s="445"/>
      <c r="RUS102" s="414"/>
      <c r="RUV102" s="445"/>
      <c r="RUW102" s="414"/>
      <c r="RUZ102" s="445"/>
      <c r="RVA102" s="414"/>
      <c r="RVD102" s="445"/>
      <c r="RVE102" s="414"/>
      <c r="RVH102" s="445"/>
      <c r="RVI102" s="414"/>
      <c r="RVL102" s="445"/>
      <c r="RVM102" s="414"/>
      <c r="RVP102" s="445"/>
      <c r="RVQ102" s="414"/>
      <c r="RVT102" s="445"/>
      <c r="RVU102" s="414"/>
      <c r="RVX102" s="445"/>
      <c r="RVY102" s="414"/>
      <c r="RWB102" s="445"/>
      <c r="RWC102" s="414"/>
      <c r="RWF102" s="445"/>
      <c r="RWG102" s="414"/>
      <c r="RWJ102" s="445"/>
      <c r="RWK102" s="414"/>
      <c r="RWN102" s="445"/>
      <c r="RWO102" s="414"/>
      <c r="RWR102" s="445"/>
      <c r="RWS102" s="414"/>
      <c r="RWV102" s="445"/>
      <c r="RWW102" s="414"/>
      <c r="RWZ102" s="445"/>
      <c r="RXA102" s="414"/>
      <c r="RXD102" s="445"/>
      <c r="RXE102" s="414"/>
      <c r="RXH102" s="445"/>
      <c r="RXI102" s="414"/>
      <c r="RXL102" s="445"/>
      <c r="RXM102" s="414"/>
      <c r="RXP102" s="445"/>
      <c r="RXQ102" s="414"/>
      <c r="RXT102" s="445"/>
      <c r="RXU102" s="414"/>
      <c r="RXX102" s="445"/>
      <c r="RXY102" s="414"/>
      <c r="RYB102" s="445"/>
      <c r="RYC102" s="414"/>
      <c r="RYF102" s="445"/>
      <c r="RYG102" s="414"/>
      <c r="RYJ102" s="445"/>
      <c r="RYK102" s="414"/>
      <c r="RYN102" s="445"/>
      <c r="RYO102" s="414"/>
      <c r="RYR102" s="445"/>
      <c r="RYS102" s="414"/>
      <c r="RYV102" s="445"/>
      <c r="RYW102" s="414"/>
      <c r="RYZ102" s="445"/>
      <c r="RZA102" s="414"/>
      <c r="RZD102" s="445"/>
      <c r="RZE102" s="414"/>
      <c r="RZH102" s="445"/>
      <c r="RZI102" s="414"/>
      <c r="RZL102" s="445"/>
      <c r="RZM102" s="414"/>
      <c r="RZP102" s="445"/>
      <c r="RZQ102" s="414"/>
      <c r="RZT102" s="445"/>
      <c r="RZU102" s="414"/>
      <c r="RZX102" s="445"/>
      <c r="RZY102" s="414"/>
      <c r="SAB102" s="445"/>
      <c r="SAC102" s="414"/>
      <c r="SAF102" s="445"/>
      <c r="SAG102" s="414"/>
      <c r="SAJ102" s="445"/>
      <c r="SAK102" s="414"/>
      <c r="SAN102" s="445"/>
      <c r="SAO102" s="414"/>
      <c r="SAR102" s="445"/>
      <c r="SAS102" s="414"/>
      <c r="SAV102" s="445"/>
      <c r="SAW102" s="414"/>
      <c r="SAZ102" s="445"/>
      <c r="SBA102" s="414"/>
      <c r="SBD102" s="445"/>
      <c r="SBE102" s="414"/>
      <c r="SBH102" s="445"/>
      <c r="SBI102" s="414"/>
      <c r="SBL102" s="445"/>
      <c r="SBM102" s="414"/>
      <c r="SBP102" s="445"/>
      <c r="SBQ102" s="414"/>
      <c r="SBT102" s="445"/>
      <c r="SBU102" s="414"/>
      <c r="SBX102" s="445"/>
      <c r="SBY102" s="414"/>
      <c r="SCB102" s="445"/>
      <c r="SCC102" s="414"/>
      <c r="SCF102" s="445"/>
      <c r="SCG102" s="414"/>
      <c r="SCJ102" s="445"/>
      <c r="SCK102" s="414"/>
      <c r="SCN102" s="445"/>
      <c r="SCO102" s="414"/>
      <c r="SCR102" s="445"/>
      <c r="SCS102" s="414"/>
      <c r="SCV102" s="445"/>
      <c r="SCW102" s="414"/>
      <c r="SCZ102" s="445"/>
      <c r="SDA102" s="414"/>
      <c r="SDD102" s="445"/>
      <c r="SDE102" s="414"/>
      <c r="SDH102" s="445"/>
      <c r="SDI102" s="414"/>
      <c r="SDL102" s="445"/>
      <c r="SDM102" s="414"/>
      <c r="SDP102" s="445"/>
      <c r="SDQ102" s="414"/>
      <c r="SDT102" s="445"/>
      <c r="SDU102" s="414"/>
      <c r="SDX102" s="445"/>
      <c r="SDY102" s="414"/>
      <c r="SEB102" s="445"/>
      <c r="SEC102" s="414"/>
      <c r="SEF102" s="445"/>
      <c r="SEG102" s="414"/>
      <c r="SEJ102" s="445"/>
      <c r="SEK102" s="414"/>
      <c r="SEN102" s="445"/>
      <c r="SEO102" s="414"/>
      <c r="SER102" s="445"/>
      <c r="SES102" s="414"/>
      <c r="SEV102" s="445"/>
      <c r="SEW102" s="414"/>
      <c r="SEZ102" s="445"/>
      <c r="SFA102" s="414"/>
      <c r="SFD102" s="445"/>
      <c r="SFE102" s="414"/>
      <c r="SFH102" s="445"/>
      <c r="SFI102" s="414"/>
      <c r="SFL102" s="445"/>
      <c r="SFM102" s="414"/>
      <c r="SFP102" s="445"/>
      <c r="SFQ102" s="414"/>
      <c r="SFT102" s="445"/>
      <c r="SFU102" s="414"/>
      <c r="SFX102" s="445"/>
      <c r="SFY102" s="414"/>
      <c r="SGB102" s="445"/>
      <c r="SGC102" s="414"/>
      <c r="SGF102" s="445"/>
      <c r="SGG102" s="414"/>
      <c r="SGJ102" s="445"/>
      <c r="SGK102" s="414"/>
      <c r="SGN102" s="445"/>
      <c r="SGO102" s="414"/>
      <c r="SGR102" s="445"/>
      <c r="SGS102" s="414"/>
      <c r="SGV102" s="445"/>
      <c r="SGW102" s="414"/>
      <c r="SGZ102" s="445"/>
      <c r="SHA102" s="414"/>
      <c r="SHD102" s="445"/>
      <c r="SHE102" s="414"/>
      <c r="SHH102" s="445"/>
      <c r="SHI102" s="414"/>
      <c r="SHL102" s="445"/>
      <c r="SHM102" s="414"/>
      <c r="SHP102" s="445"/>
      <c r="SHQ102" s="414"/>
      <c r="SHT102" s="445"/>
      <c r="SHU102" s="414"/>
      <c r="SHX102" s="445"/>
      <c r="SHY102" s="414"/>
      <c r="SIB102" s="445"/>
      <c r="SIC102" s="414"/>
      <c r="SIF102" s="445"/>
      <c r="SIG102" s="414"/>
      <c r="SIJ102" s="445"/>
      <c r="SIK102" s="414"/>
      <c r="SIN102" s="445"/>
      <c r="SIO102" s="414"/>
      <c r="SIR102" s="445"/>
      <c r="SIS102" s="414"/>
      <c r="SIV102" s="445"/>
      <c r="SIW102" s="414"/>
      <c r="SIZ102" s="445"/>
      <c r="SJA102" s="414"/>
      <c r="SJD102" s="445"/>
      <c r="SJE102" s="414"/>
      <c r="SJH102" s="445"/>
      <c r="SJI102" s="414"/>
      <c r="SJL102" s="445"/>
      <c r="SJM102" s="414"/>
      <c r="SJP102" s="445"/>
      <c r="SJQ102" s="414"/>
      <c r="SJT102" s="445"/>
      <c r="SJU102" s="414"/>
      <c r="SJX102" s="445"/>
      <c r="SJY102" s="414"/>
      <c r="SKB102" s="445"/>
      <c r="SKC102" s="414"/>
      <c r="SKF102" s="445"/>
      <c r="SKG102" s="414"/>
      <c r="SKJ102" s="445"/>
      <c r="SKK102" s="414"/>
      <c r="SKN102" s="445"/>
      <c r="SKO102" s="414"/>
      <c r="SKR102" s="445"/>
      <c r="SKS102" s="414"/>
      <c r="SKV102" s="445"/>
      <c r="SKW102" s="414"/>
      <c r="SKZ102" s="445"/>
      <c r="SLA102" s="414"/>
      <c r="SLD102" s="445"/>
      <c r="SLE102" s="414"/>
      <c r="SLH102" s="445"/>
      <c r="SLI102" s="414"/>
      <c r="SLL102" s="445"/>
      <c r="SLM102" s="414"/>
      <c r="SLP102" s="445"/>
      <c r="SLQ102" s="414"/>
      <c r="SLT102" s="445"/>
      <c r="SLU102" s="414"/>
      <c r="SLX102" s="445"/>
      <c r="SLY102" s="414"/>
      <c r="SMB102" s="445"/>
      <c r="SMC102" s="414"/>
      <c r="SMF102" s="445"/>
      <c r="SMG102" s="414"/>
      <c r="SMJ102" s="445"/>
      <c r="SMK102" s="414"/>
      <c r="SMN102" s="445"/>
      <c r="SMO102" s="414"/>
      <c r="SMR102" s="445"/>
      <c r="SMS102" s="414"/>
      <c r="SMV102" s="445"/>
      <c r="SMW102" s="414"/>
      <c r="SMZ102" s="445"/>
      <c r="SNA102" s="414"/>
      <c r="SND102" s="445"/>
      <c r="SNE102" s="414"/>
      <c r="SNH102" s="445"/>
      <c r="SNI102" s="414"/>
      <c r="SNL102" s="445"/>
      <c r="SNM102" s="414"/>
      <c r="SNP102" s="445"/>
      <c r="SNQ102" s="414"/>
      <c r="SNT102" s="445"/>
      <c r="SNU102" s="414"/>
      <c r="SNX102" s="445"/>
      <c r="SNY102" s="414"/>
      <c r="SOB102" s="445"/>
      <c r="SOC102" s="414"/>
      <c r="SOF102" s="445"/>
      <c r="SOG102" s="414"/>
      <c r="SOJ102" s="445"/>
      <c r="SOK102" s="414"/>
      <c r="SON102" s="445"/>
      <c r="SOO102" s="414"/>
      <c r="SOR102" s="445"/>
      <c r="SOS102" s="414"/>
      <c r="SOV102" s="445"/>
      <c r="SOW102" s="414"/>
      <c r="SOZ102" s="445"/>
      <c r="SPA102" s="414"/>
      <c r="SPD102" s="445"/>
      <c r="SPE102" s="414"/>
      <c r="SPH102" s="445"/>
      <c r="SPI102" s="414"/>
      <c r="SPL102" s="445"/>
      <c r="SPM102" s="414"/>
      <c r="SPP102" s="445"/>
      <c r="SPQ102" s="414"/>
      <c r="SPT102" s="445"/>
      <c r="SPU102" s="414"/>
      <c r="SPX102" s="445"/>
      <c r="SPY102" s="414"/>
      <c r="SQB102" s="445"/>
      <c r="SQC102" s="414"/>
      <c r="SQF102" s="445"/>
      <c r="SQG102" s="414"/>
      <c r="SQJ102" s="445"/>
      <c r="SQK102" s="414"/>
      <c r="SQN102" s="445"/>
      <c r="SQO102" s="414"/>
      <c r="SQR102" s="445"/>
      <c r="SQS102" s="414"/>
      <c r="SQV102" s="445"/>
      <c r="SQW102" s="414"/>
      <c r="SQZ102" s="445"/>
      <c r="SRA102" s="414"/>
      <c r="SRD102" s="445"/>
      <c r="SRE102" s="414"/>
      <c r="SRH102" s="445"/>
      <c r="SRI102" s="414"/>
      <c r="SRL102" s="445"/>
      <c r="SRM102" s="414"/>
      <c r="SRP102" s="445"/>
      <c r="SRQ102" s="414"/>
      <c r="SRT102" s="445"/>
      <c r="SRU102" s="414"/>
      <c r="SRX102" s="445"/>
      <c r="SRY102" s="414"/>
      <c r="SSB102" s="445"/>
      <c r="SSC102" s="414"/>
      <c r="SSF102" s="445"/>
      <c r="SSG102" s="414"/>
      <c r="SSJ102" s="445"/>
      <c r="SSK102" s="414"/>
      <c r="SSN102" s="445"/>
      <c r="SSO102" s="414"/>
      <c r="SSR102" s="445"/>
      <c r="SSS102" s="414"/>
      <c r="SSV102" s="445"/>
      <c r="SSW102" s="414"/>
      <c r="SSZ102" s="445"/>
      <c r="STA102" s="414"/>
      <c r="STD102" s="445"/>
      <c r="STE102" s="414"/>
      <c r="STH102" s="445"/>
      <c r="STI102" s="414"/>
      <c r="STL102" s="445"/>
      <c r="STM102" s="414"/>
      <c r="STP102" s="445"/>
      <c r="STQ102" s="414"/>
      <c r="STT102" s="445"/>
      <c r="STU102" s="414"/>
      <c r="STX102" s="445"/>
      <c r="STY102" s="414"/>
      <c r="SUB102" s="445"/>
      <c r="SUC102" s="414"/>
      <c r="SUF102" s="445"/>
      <c r="SUG102" s="414"/>
      <c r="SUJ102" s="445"/>
      <c r="SUK102" s="414"/>
      <c r="SUN102" s="445"/>
      <c r="SUO102" s="414"/>
      <c r="SUR102" s="445"/>
      <c r="SUS102" s="414"/>
      <c r="SUV102" s="445"/>
      <c r="SUW102" s="414"/>
      <c r="SUZ102" s="445"/>
      <c r="SVA102" s="414"/>
      <c r="SVD102" s="445"/>
      <c r="SVE102" s="414"/>
      <c r="SVH102" s="445"/>
      <c r="SVI102" s="414"/>
      <c r="SVL102" s="445"/>
      <c r="SVM102" s="414"/>
      <c r="SVP102" s="445"/>
      <c r="SVQ102" s="414"/>
      <c r="SVT102" s="445"/>
      <c r="SVU102" s="414"/>
      <c r="SVX102" s="445"/>
      <c r="SVY102" s="414"/>
      <c r="SWB102" s="445"/>
      <c r="SWC102" s="414"/>
      <c r="SWF102" s="445"/>
      <c r="SWG102" s="414"/>
      <c r="SWJ102" s="445"/>
      <c r="SWK102" s="414"/>
      <c r="SWN102" s="445"/>
      <c r="SWO102" s="414"/>
      <c r="SWR102" s="445"/>
      <c r="SWS102" s="414"/>
      <c r="SWV102" s="445"/>
      <c r="SWW102" s="414"/>
      <c r="SWZ102" s="445"/>
      <c r="SXA102" s="414"/>
      <c r="SXD102" s="445"/>
      <c r="SXE102" s="414"/>
      <c r="SXH102" s="445"/>
      <c r="SXI102" s="414"/>
      <c r="SXL102" s="445"/>
      <c r="SXM102" s="414"/>
      <c r="SXP102" s="445"/>
      <c r="SXQ102" s="414"/>
      <c r="SXT102" s="445"/>
      <c r="SXU102" s="414"/>
      <c r="SXX102" s="445"/>
      <c r="SXY102" s="414"/>
      <c r="SYB102" s="445"/>
      <c r="SYC102" s="414"/>
      <c r="SYF102" s="445"/>
      <c r="SYG102" s="414"/>
      <c r="SYJ102" s="445"/>
      <c r="SYK102" s="414"/>
      <c r="SYN102" s="445"/>
      <c r="SYO102" s="414"/>
      <c r="SYR102" s="445"/>
      <c r="SYS102" s="414"/>
      <c r="SYV102" s="445"/>
      <c r="SYW102" s="414"/>
      <c r="SYZ102" s="445"/>
      <c r="SZA102" s="414"/>
      <c r="SZD102" s="445"/>
      <c r="SZE102" s="414"/>
      <c r="SZH102" s="445"/>
      <c r="SZI102" s="414"/>
      <c r="SZL102" s="445"/>
      <c r="SZM102" s="414"/>
      <c r="SZP102" s="445"/>
      <c r="SZQ102" s="414"/>
      <c r="SZT102" s="445"/>
      <c r="SZU102" s="414"/>
      <c r="SZX102" s="445"/>
      <c r="SZY102" s="414"/>
      <c r="TAB102" s="445"/>
      <c r="TAC102" s="414"/>
      <c r="TAF102" s="445"/>
      <c r="TAG102" s="414"/>
      <c r="TAJ102" s="445"/>
      <c r="TAK102" s="414"/>
      <c r="TAN102" s="445"/>
      <c r="TAO102" s="414"/>
      <c r="TAR102" s="445"/>
      <c r="TAS102" s="414"/>
      <c r="TAV102" s="445"/>
      <c r="TAW102" s="414"/>
      <c r="TAZ102" s="445"/>
      <c r="TBA102" s="414"/>
      <c r="TBD102" s="445"/>
      <c r="TBE102" s="414"/>
      <c r="TBH102" s="445"/>
      <c r="TBI102" s="414"/>
      <c r="TBL102" s="445"/>
      <c r="TBM102" s="414"/>
      <c r="TBP102" s="445"/>
      <c r="TBQ102" s="414"/>
      <c r="TBT102" s="445"/>
      <c r="TBU102" s="414"/>
      <c r="TBX102" s="445"/>
      <c r="TBY102" s="414"/>
      <c r="TCB102" s="445"/>
      <c r="TCC102" s="414"/>
      <c r="TCF102" s="445"/>
      <c r="TCG102" s="414"/>
      <c r="TCJ102" s="445"/>
      <c r="TCK102" s="414"/>
      <c r="TCN102" s="445"/>
      <c r="TCO102" s="414"/>
      <c r="TCR102" s="445"/>
      <c r="TCS102" s="414"/>
      <c r="TCV102" s="445"/>
      <c r="TCW102" s="414"/>
      <c r="TCZ102" s="445"/>
      <c r="TDA102" s="414"/>
      <c r="TDD102" s="445"/>
      <c r="TDE102" s="414"/>
      <c r="TDH102" s="445"/>
      <c r="TDI102" s="414"/>
      <c r="TDL102" s="445"/>
      <c r="TDM102" s="414"/>
      <c r="TDP102" s="445"/>
      <c r="TDQ102" s="414"/>
      <c r="TDT102" s="445"/>
      <c r="TDU102" s="414"/>
      <c r="TDX102" s="445"/>
      <c r="TDY102" s="414"/>
      <c r="TEB102" s="445"/>
      <c r="TEC102" s="414"/>
      <c r="TEF102" s="445"/>
      <c r="TEG102" s="414"/>
      <c r="TEJ102" s="445"/>
      <c r="TEK102" s="414"/>
      <c r="TEN102" s="445"/>
      <c r="TEO102" s="414"/>
      <c r="TER102" s="445"/>
      <c r="TES102" s="414"/>
      <c r="TEV102" s="445"/>
      <c r="TEW102" s="414"/>
      <c r="TEZ102" s="445"/>
      <c r="TFA102" s="414"/>
      <c r="TFD102" s="445"/>
      <c r="TFE102" s="414"/>
      <c r="TFH102" s="445"/>
      <c r="TFI102" s="414"/>
      <c r="TFL102" s="445"/>
      <c r="TFM102" s="414"/>
      <c r="TFP102" s="445"/>
      <c r="TFQ102" s="414"/>
      <c r="TFT102" s="445"/>
      <c r="TFU102" s="414"/>
      <c r="TFX102" s="445"/>
      <c r="TFY102" s="414"/>
      <c r="TGB102" s="445"/>
      <c r="TGC102" s="414"/>
      <c r="TGF102" s="445"/>
      <c r="TGG102" s="414"/>
      <c r="TGJ102" s="445"/>
      <c r="TGK102" s="414"/>
      <c r="TGN102" s="445"/>
      <c r="TGO102" s="414"/>
      <c r="TGR102" s="445"/>
      <c r="TGS102" s="414"/>
      <c r="TGV102" s="445"/>
      <c r="TGW102" s="414"/>
      <c r="TGZ102" s="445"/>
      <c r="THA102" s="414"/>
      <c r="THD102" s="445"/>
      <c r="THE102" s="414"/>
      <c r="THH102" s="445"/>
      <c r="THI102" s="414"/>
      <c r="THL102" s="445"/>
      <c r="THM102" s="414"/>
      <c r="THP102" s="445"/>
      <c r="THQ102" s="414"/>
      <c r="THT102" s="445"/>
      <c r="THU102" s="414"/>
      <c r="THX102" s="445"/>
      <c r="THY102" s="414"/>
      <c r="TIB102" s="445"/>
      <c r="TIC102" s="414"/>
      <c r="TIF102" s="445"/>
      <c r="TIG102" s="414"/>
      <c r="TIJ102" s="445"/>
      <c r="TIK102" s="414"/>
      <c r="TIN102" s="445"/>
      <c r="TIO102" s="414"/>
      <c r="TIR102" s="445"/>
      <c r="TIS102" s="414"/>
      <c r="TIV102" s="445"/>
      <c r="TIW102" s="414"/>
      <c r="TIZ102" s="445"/>
      <c r="TJA102" s="414"/>
      <c r="TJD102" s="445"/>
      <c r="TJE102" s="414"/>
      <c r="TJH102" s="445"/>
      <c r="TJI102" s="414"/>
      <c r="TJL102" s="445"/>
      <c r="TJM102" s="414"/>
      <c r="TJP102" s="445"/>
      <c r="TJQ102" s="414"/>
      <c r="TJT102" s="445"/>
      <c r="TJU102" s="414"/>
      <c r="TJX102" s="445"/>
      <c r="TJY102" s="414"/>
      <c r="TKB102" s="445"/>
      <c r="TKC102" s="414"/>
      <c r="TKF102" s="445"/>
      <c r="TKG102" s="414"/>
      <c r="TKJ102" s="445"/>
      <c r="TKK102" s="414"/>
      <c r="TKN102" s="445"/>
      <c r="TKO102" s="414"/>
      <c r="TKR102" s="445"/>
      <c r="TKS102" s="414"/>
      <c r="TKV102" s="445"/>
      <c r="TKW102" s="414"/>
      <c r="TKZ102" s="445"/>
      <c r="TLA102" s="414"/>
      <c r="TLD102" s="445"/>
      <c r="TLE102" s="414"/>
      <c r="TLH102" s="445"/>
      <c r="TLI102" s="414"/>
      <c r="TLL102" s="445"/>
      <c r="TLM102" s="414"/>
      <c r="TLP102" s="445"/>
      <c r="TLQ102" s="414"/>
      <c r="TLT102" s="445"/>
      <c r="TLU102" s="414"/>
      <c r="TLX102" s="445"/>
      <c r="TLY102" s="414"/>
      <c r="TMB102" s="445"/>
      <c r="TMC102" s="414"/>
      <c r="TMF102" s="445"/>
      <c r="TMG102" s="414"/>
      <c r="TMJ102" s="445"/>
      <c r="TMK102" s="414"/>
      <c r="TMN102" s="445"/>
      <c r="TMO102" s="414"/>
      <c r="TMR102" s="445"/>
      <c r="TMS102" s="414"/>
      <c r="TMV102" s="445"/>
      <c r="TMW102" s="414"/>
      <c r="TMZ102" s="445"/>
      <c r="TNA102" s="414"/>
      <c r="TND102" s="445"/>
      <c r="TNE102" s="414"/>
      <c r="TNH102" s="445"/>
      <c r="TNI102" s="414"/>
      <c r="TNL102" s="445"/>
      <c r="TNM102" s="414"/>
      <c r="TNP102" s="445"/>
      <c r="TNQ102" s="414"/>
      <c r="TNT102" s="445"/>
      <c r="TNU102" s="414"/>
      <c r="TNX102" s="445"/>
      <c r="TNY102" s="414"/>
      <c r="TOB102" s="445"/>
      <c r="TOC102" s="414"/>
      <c r="TOF102" s="445"/>
      <c r="TOG102" s="414"/>
      <c r="TOJ102" s="445"/>
      <c r="TOK102" s="414"/>
      <c r="TON102" s="445"/>
      <c r="TOO102" s="414"/>
      <c r="TOR102" s="445"/>
      <c r="TOS102" s="414"/>
      <c r="TOV102" s="445"/>
      <c r="TOW102" s="414"/>
      <c r="TOZ102" s="445"/>
      <c r="TPA102" s="414"/>
      <c r="TPD102" s="445"/>
      <c r="TPE102" s="414"/>
      <c r="TPH102" s="445"/>
      <c r="TPI102" s="414"/>
      <c r="TPL102" s="445"/>
      <c r="TPM102" s="414"/>
      <c r="TPP102" s="445"/>
      <c r="TPQ102" s="414"/>
      <c r="TPT102" s="445"/>
      <c r="TPU102" s="414"/>
      <c r="TPX102" s="445"/>
      <c r="TPY102" s="414"/>
      <c r="TQB102" s="445"/>
      <c r="TQC102" s="414"/>
      <c r="TQF102" s="445"/>
      <c r="TQG102" s="414"/>
      <c r="TQJ102" s="445"/>
      <c r="TQK102" s="414"/>
      <c r="TQN102" s="445"/>
      <c r="TQO102" s="414"/>
      <c r="TQR102" s="445"/>
      <c r="TQS102" s="414"/>
      <c r="TQV102" s="445"/>
      <c r="TQW102" s="414"/>
      <c r="TQZ102" s="445"/>
      <c r="TRA102" s="414"/>
      <c r="TRD102" s="445"/>
      <c r="TRE102" s="414"/>
      <c r="TRH102" s="445"/>
      <c r="TRI102" s="414"/>
      <c r="TRL102" s="445"/>
      <c r="TRM102" s="414"/>
      <c r="TRP102" s="445"/>
      <c r="TRQ102" s="414"/>
      <c r="TRT102" s="445"/>
      <c r="TRU102" s="414"/>
      <c r="TRX102" s="445"/>
      <c r="TRY102" s="414"/>
      <c r="TSB102" s="445"/>
      <c r="TSC102" s="414"/>
      <c r="TSF102" s="445"/>
      <c r="TSG102" s="414"/>
      <c r="TSJ102" s="445"/>
      <c r="TSK102" s="414"/>
      <c r="TSN102" s="445"/>
      <c r="TSO102" s="414"/>
      <c r="TSR102" s="445"/>
      <c r="TSS102" s="414"/>
      <c r="TSV102" s="445"/>
      <c r="TSW102" s="414"/>
      <c r="TSZ102" s="445"/>
      <c r="TTA102" s="414"/>
      <c r="TTD102" s="445"/>
      <c r="TTE102" s="414"/>
      <c r="TTH102" s="445"/>
      <c r="TTI102" s="414"/>
      <c r="TTL102" s="445"/>
      <c r="TTM102" s="414"/>
      <c r="TTP102" s="445"/>
      <c r="TTQ102" s="414"/>
      <c r="TTT102" s="445"/>
      <c r="TTU102" s="414"/>
      <c r="TTX102" s="445"/>
      <c r="TTY102" s="414"/>
      <c r="TUB102" s="445"/>
      <c r="TUC102" s="414"/>
      <c r="TUF102" s="445"/>
      <c r="TUG102" s="414"/>
      <c r="TUJ102" s="445"/>
      <c r="TUK102" s="414"/>
      <c r="TUN102" s="445"/>
      <c r="TUO102" s="414"/>
      <c r="TUR102" s="445"/>
      <c r="TUS102" s="414"/>
      <c r="TUV102" s="445"/>
      <c r="TUW102" s="414"/>
      <c r="TUZ102" s="445"/>
      <c r="TVA102" s="414"/>
      <c r="TVD102" s="445"/>
      <c r="TVE102" s="414"/>
      <c r="TVH102" s="445"/>
      <c r="TVI102" s="414"/>
      <c r="TVL102" s="445"/>
      <c r="TVM102" s="414"/>
      <c r="TVP102" s="445"/>
      <c r="TVQ102" s="414"/>
      <c r="TVT102" s="445"/>
      <c r="TVU102" s="414"/>
      <c r="TVX102" s="445"/>
      <c r="TVY102" s="414"/>
      <c r="TWB102" s="445"/>
      <c r="TWC102" s="414"/>
      <c r="TWF102" s="445"/>
      <c r="TWG102" s="414"/>
      <c r="TWJ102" s="445"/>
      <c r="TWK102" s="414"/>
      <c r="TWN102" s="445"/>
      <c r="TWO102" s="414"/>
      <c r="TWR102" s="445"/>
      <c r="TWS102" s="414"/>
      <c r="TWV102" s="445"/>
      <c r="TWW102" s="414"/>
      <c r="TWZ102" s="445"/>
      <c r="TXA102" s="414"/>
      <c r="TXD102" s="445"/>
      <c r="TXE102" s="414"/>
      <c r="TXH102" s="445"/>
      <c r="TXI102" s="414"/>
      <c r="TXL102" s="445"/>
      <c r="TXM102" s="414"/>
      <c r="TXP102" s="445"/>
      <c r="TXQ102" s="414"/>
      <c r="TXT102" s="445"/>
      <c r="TXU102" s="414"/>
      <c r="TXX102" s="445"/>
      <c r="TXY102" s="414"/>
      <c r="TYB102" s="445"/>
      <c r="TYC102" s="414"/>
      <c r="TYF102" s="445"/>
      <c r="TYG102" s="414"/>
      <c r="TYJ102" s="445"/>
      <c r="TYK102" s="414"/>
      <c r="TYN102" s="445"/>
      <c r="TYO102" s="414"/>
      <c r="TYR102" s="445"/>
      <c r="TYS102" s="414"/>
      <c r="TYV102" s="445"/>
      <c r="TYW102" s="414"/>
      <c r="TYZ102" s="445"/>
      <c r="TZA102" s="414"/>
      <c r="TZD102" s="445"/>
      <c r="TZE102" s="414"/>
      <c r="TZH102" s="445"/>
      <c r="TZI102" s="414"/>
      <c r="TZL102" s="445"/>
      <c r="TZM102" s="414"/>
      <c r="TZP102" s="445"/>
      <c r="TZQ102" s="414"/>
      <c r="TZT102" s="445"/>
      <c r="TZU102" s="414"/>
      <c r="TZX102" s="445"/>
      <c r="TZY102" s="414"/>
      <c r="UAB102" s="445"/>
      <c r="UAC102" s="414"/>
      <c r="UAF102" s="445"/>
      <c r="UAG102" s="414"/>
      <c r="UAJ102" s="445"/>
      <c r="UAK102" s="414"/>
      <c r="UAN102" s="445"/>
      <c r="UAO102" s="414"/>
      <c r="UAR102" s="445"/>
      <c r="UAS102" s="414"/>
      <c r="UAV102" s="445"/>
      <c r="UAW102" s="414"/>
      <c r="UAZ102" s="445"/>
      <c r="UBA102" s="414"/>
      <c r="UBD102" s="445"/>
      <c r="UBE102" s="414"/>
      <c r="UBH102" s="445"/>
      <c r="UBI102" s="414"/>
      <c r="UBL102" s="445"/>
      <c r="UBM102" s="414"/>
      <c r="UBP102" s="445"/>
      <c r="UBQ102" s="414"/>
      <c r="UBT102" s="445"/>
      <c r="UBU102" s="414"/>
      <c r="UBX102" s="445"/>
      <c r="UBY102" s="414"/>
      <c r="UCB102" s="445"/>
      <c r="UCC102" s="414"/>
      <c r="UCF102" s="445"/>
      <c r="UCG102" s="414"/>
      <c r="UCJ102" s="445"/>
      <c r="UCK102" s="414"/>
      <c r="UCN102" s="445"/>
      <c r="UCO102" s="414"/>
      <c r="UCR102" s="445"/>
      <c r="UCS102" s="414"/>
      <c r="UCV102" s="445"/>
      <c r="UCW102" s="414"/>
      <c r="UCZ102" s="445"/>
      <c r="UDA102" s="414"/>
      <c r="UDD102" s="445"/>
      <c r="UDE102" s="414"/>
      <c r="UDH102" s="445"/>
      <c r="UDI102" s="414"/>
      <c r="UDL102" s="445"/>
      <c r="UDM102" s="414"/>
      <c r="UDP102" s="445"/>
      <c r="UDQ102" s="414"/>
      <c r="UDT102" s="445"/>
      <c r="UDU102" s="414"/>
      <c r="UDX102" s="445"/>
      <c r="UDY102" s="414"/>
      <c r="UEB102" s="445"/>
      <c r="UEC102" s="414"/>
      <c r="UEF102" s="445"/>
      <c r="UEG102" s="414"/>
      <c r="UEJ102" s="445"/>
      <c r="UEK102" s="414"/>
      <c r="UEN102" s="445"/>
      <c r="UEO102" s="414"/>
      <c r="UER102" s="445"/>
      <c r="UES102" s="414"/>
      <c r="UEV102" s="445"/>
      <c r="UEW102" s="414"/>
      <c r="UEZ102" s="445"/>
      <c r="UFA102" s="414"/>
      <c r="UFD102" s="445"/>
      <c r="UFE102" s="414"/>
      <c r="UFH102" s="445"/>
      <c r="UFI102" s="414"/>
      <c r="UFL102" s="445"/>
      <c r="UFM102" s="414"/>
      <c r="UFP102" s="445"/>
      <c r="UFQ102" s="414"/>
      <c r="UFT102" s="445"/>
      <c r="UFU102" s="414"/>
      <c r="UFX102" s="445"/>
      <c r="UFY102" s="414"/>
      <c r="UGB102" s="445"/>
      <c r="UGC102" s="414"/>
      <c r="UGF102" s="445"/>
      <c r="UGG102" s="414"/>
      <c r="UGJ102" s="445"/>
      <c r="UGK102" s="414"/>
      <c r="UGN102" s="445"/>
      <c r="UGO102" s="414"/>
      <c r="UGR102" s="445"/>
      <c r="UGS102" s="414"/>
      <c r="UGV102" s="445"/>
      <c r="UGW102" s="414"/>
      <c r="UGZ102" s="445"/>
      <c r="UHA102" s="414"/>
      <c r="UHD102" s="445"/>
      <c r="UHE102" s="414"/>
      <c r="UHH102" s="445"/>
      <c r="UHI102" s="414"/>
      <c r="UHL102" s="445"/>
      <c r="UHM102" s="414"/>
      <c r="UHP102" s="445"/>
      <c r="UHQ102" s="414"/>
      <c r="UHT102" s="445"/>
      <c r="UHU102" s="414"/>
      <c r="UHX102" s="445"/>
      <c r="UHY102" s="414"/>
      <c r="UIB102" s="445"/>
      <c r="UIC102" s="414"/>
      <c r="UIF102" s="445"/>
      <c r="UIG102" s="414"/>
      <c r="UIJ102" s="445"/>
      <c r="UIK102" s="414"/>
      <c r="UIN102" s="445"/>
      <c r="UIO102" s="414"/>
      <c r="UIR102" s="445"/>
      <c r="UIS102" s="414"/>
      <c r="UIV102" s="445"/>
      <c r="UIW102" s="414"/>
      <c r="UIZ102" s="445"/>
      <c r="UJA102" s="414"/>
      <c r="UJD102" s="445"/>
      <c r="UJE102" s="414"/>
      <c r="UJH102" s="445"/>
      <c r="UJI102" s="414"/>
      <c r="UJL102" s="445"/>
      <c r="UJM102" s="414"/>
      <c r="UJP102" s="445"/>
      <c r="UJQ102" s="414"/>
      <c r="UJT102" s="445"/>
      <c r="UJU102" s="414"/>
      <c r="UJX102" s="445"/>
      <c r="UJY102" s="414"/>
      <c r="UKB102" s="445"/>
      <c r="UKC102" s="414"/>
      <c r="UKF102" s="445"/>
      <c r="UKG102" s="414"/>
      <c r="UKJ102" s="445"/>
      <c r="UKK102" s="414"/>
      <c r="UKN102" s="445"/>
      <c r="UKO102" s="414"/>
      <c r="UKR102" s="445"/>
      <c r="UKS102" s="414"/>
      <c r="UKV102" s="445"/>
      <c r="UKW102" s="414"/>
      <c r="UKZ102" s="445"/>
      <c r="ULA102" s="414"/>
      <c r="ULD102" s="445"/>
      <c r="ULE102" s="414"/>
      <c r="ULH102" s="445"/>
      <c r="ULI102" s="414"/>
      <c r="ULL102" s="445"/>
      <c r="ULM102" s="414"/>
      <c r="ULP102" s="445"/>
      <c r="ULQ102" s="414"/>
      <c r="ULT102" s="445"/>
      <c r="ULU102" s="414"/>
      <c r="ULX102" s="445"/>
      <c r="ULY102" s="414"/>
      <c r="UMB102" s="445"/>
      <c r="UMC102" s="414"/>
      <c r="UMF102" s="445"/>
      <c r="UMG102" s="414"/>
      <c r="UMJ102" s="445"/>
      <c r="UMK102" s="414"/>
      <c r="UMN102" s="445"/>
      <c r="UMO102" s="414"/>
      <c r="UMR102" s="445"/>
      <c r="UMS102" s="414"/>
      <c r="UMV102" s="445"/>
      <c r="UMW102" s="414"/>
      <c r="UMZ102" s="445"/>
      <c r="UNA102" s="414"/>
      <c r="UND102" s="445"/>
      <c r="UNE102" s="414"/>
      <c r="UNH102" s="445"/>
      <c r="UNI102" s="414"/>
      <c r="UNL102" s="445"/>
      <c r="UNM102" s="414"/>
      <c r="UNP102" s="445"/>
      <c r="UNQ102" s="414"/>
      <c r="UNT102" s="445"/>
      <c r="UNU102" s="414"/>
      <c r="UNX102" s="445"/>
      <c r="UNY102" s="414"/>
      <c r="UOB102" s="445"/>
      <c r="UOC102" s="414"/>
      <c r="UOF102" s="445"/>
      <c r="UOG102" s="414"/>
      <c r="UOJ102" s="445"/>
      <c r="UOK102" s="414"/>
      <c r="UON102" s="445"/>
      <c r="UOO102" s="414"/>
      <c r="UOR102" s="445"/>
      <c r="UOS102" s="414"/>
      <c r="UOV102" s="445"/>
      <c r="UOW102" s="414"/>
      <c r="UOZ102" s="445"/>
      <c r="UPA102" s="414"/>
      <c r="UPD102" s="445"/>
      <c r="UPE102" s="414"/>
      <c r="UPH102" s="445"/>
      <c r="UPI102" s="414"/>
      <c r="UPL102" s="445"/>
      <c r="UPM102" s="414"/>
      <c r="UPP102" s="445"/>
      <c r="UPQ102" s="414"/>
      <c r="UPT102" s="445"/>
      <c r="UPU102" s="414"/>
      <c r="UPX102" s="445"/>
      <c r="UPY102" s="414"/>
      <c r="UQB102" s="445"/>
      <c r="UQC102" s="414"/>
      <c r="UQF102" s="445"/>
      <c r="UQG102" s="414"/>
      <c r="UQJ102" s="445"/>
      <c r="UQK102" s="414"/>
      <c r="UQN102" s="445"/>
      <c r="UQO102" s="414"/>
      <c r="UQR102" s="445"/>
      <c r="UQS102" s="414"/>
      <c r="UQV102" s="445"/>
      <c r="UQW102" s="414"/>
      <c r="UQZ102" s="445"/>
      <c r="URA102" s="414"/>
      <c r="URD102" s="445"/>
      <c r="URE102" s="414"/>
      <c r="URH102" s="445"/>
      <c r="URI102" s="414"/>
      <c r="URL102" s="445"/>
      <c r="URM102" s="414"/>
      <c r="URP102" s="445"/>
      <c r="URQ102" s="414"/>
      <c r="URT102" s="445"/>
      <c r="URU102" s="414"/>
      <c r="URX102" s="445"/>
      <c r="URY102" s="414"/>
      <c r="USB102" s="445"/>
      <c r="USC102" s="414"/>
      <c r="USF102" s="445"/>
      <c r="USG102" s="414"/>
      <c r="USJ102" s="445"/>
      <c r="USK102" s="414"/>
      <c r="USN102" s="445"/>
      <c r="USO102" s="414"/>
      <c r="USR102" s="445"/>
      <c r="USS102" s="414"/>
      <c r="USV102" s="445"/>
      <c r="USW102" s="414"/>
      <c r="USZ102" s="445"/>
      <c r="UTA102" s="414"/>
      <c r="UTD102" s="445"/>
      <c r="UTE102" s="414"/>
      <c r="UTH102" s="445"/>
      <c r="UTI102" s="414"/>
      <c r="UTL102" s="445"/>
      <c r="UTM102" s="414"/>
      <c r="UTP102" s="445"/>
      <c r="UTQ102" s="414"/>
      <c r="UTT102" s="445"/>
      <c r="UTU102" s="414"/>
      <c r="UTX102" s="445"/>
      <c r="UTY102" s="414"/>
      <c r="UUB102" s="445"/>
      <c r="UUC102" s="414"/>
      <c r="UUF102" s="445"/>
      <c r="UUG102" s="414"/>
      <c r="UUJ102" s="445"/>
      <c r="UUK102" s="414"/>
      <c r="UUN102" s="445"/>
      <c r="UUO102" s="414"/>
      <c r="UUR102" s="445"/>
      <c r="UUS102" s="414"/>
      <c r="UUV102" s="445"/>
      <c r="UUW102" s="414"/>
      <c r="UUZ102" s="445"/>
      <c r="UVA102" s="414"/>
      <c r="UVD102" s="445"/>
      <c r="UVE102" s="414"/>
      <c r="UVH102" s="445"/>
      <c r="UVI102" s="414"/>
      <c r="UVL102" s="445"/>
      <c r="UVM102" s="414"/>
      <c r="UVP102" s="445"/>
      <c r="UVQ102" s="414"/>
      <c r="UVT102" s="445"/>
      <c r="UVU102" s="414"/>
      <c r="UVX102" s="445"/>
      <c r="UVY102" s="414"/>
      <c r="UWB102" s="445"/>
      <c r="UWC102" s="414"/>
      <c r="UWF102" s="445"/>
      <c r="UWG102" s="414"/>
      <c r="UWJ102" s="445"/>
      <c r="UWK102" s="414"/>
      <c r="UWN102" s="445"/>
      <c r="UWO102" s="414"/>
      <c r="UWR102" s="445"/>
      <c r="UWS102" s="414"/>
      <c r="UWV102" s="445"/>
      <c r="UWW102" s="414"/>
      <c r="UWZ102" s="445"/>
      <c r="UXA102" s="414"/>
      <c r="UXD102" s="445"/>
      <c r="UXE102" s="414"/>
      <c r="UXH102" s="445"/>
      <c r="UXI102" s="414"/>
      <c r="UXL102" s="445"/>
      <c r="UXM102" s="414"/>
      <c r="UXP102" s="445"/>
      <c r="UXQ102" s="414"/>
      <c r="UXT102" s="445"/>
      <c r="UXU102" s="414"/>
      <c r="UXX102" s="445"/>
      <c r="UXY102" s="414"/>
      <c r="UYB102" s="445"/>
      <c r="UYC102" s="414"/>
      <c r="UYF102" s="445"/>
      <c r="UYG102" s="414"/>
      <c r="UYJ102" s="445"/>
      <c r="UYK102" s="414"/>
      <c r="UYN102" s="445"/>
      <c r="UYO102" s="414"/>
      <c r="UYR102" s="445"/>
      <c r="UYS102" s="414"/>
      <c r="UYV102" s="445"/>
      <c r="UYW102" s="414"/>
      <c r="UYZ102" s="445"/>
      <c r="UZA102" s="414"/>
      <c r="UZD102" s="445"/>
      <c r="UZE102" s="414"/>
      <c r="UZH102" s="445"/>
      <c r="UZI102" s="414"/>
      <c r="UZL102" s="445"/>
      <c r="UZM102" s="414"/>
      <c r="UZP102" s="445"/>
      <c r="UZQ102" s="414"/>
      <c r="UZT102" s="445"/>
      <c r="UZU102" s="414"/>
      <c r="UZX102" s="445"/>
      <c r="UZY102" s="414"/>
      <c r="VAB102" s="445"/>
      <c r="VAC102" s="414"/>
      <c r="VAF102" s="445"/>
      <c r="VAG102" s="414"/>
      <c r="VAJ102" s="445"/>
      <c r="VAK102" s="414"/>
      <c r="VAN102" s="445"/>
      <c r="VAO102" s="414"/>
      <c r="VAR102" s="445"/>
      <c r="VAS102" s="414"/>
      <c r="VAV102" s="445"/>
      <c r="VAW102" s="414"/>
      <c r="VAZ102" s="445"/>
      <c r="VBA102" s="414"/>
      <c r="VBD102" s="445"/>
      <c r="VBE102" s="414"/>
      <c r="VBH102" s="445"/>
      <c r="VBI102" s="414"/>
      <c r="VBL102" s="445"/>
      <c r="VBM102" s="414"/>
      <c r="VBP102" s="445"/>
      <c r="VBQ102" s="414"/>
      <c r="VBT102" s="445"/>
      <c r="VBU102" s="414"/>
      <c r="VBX102" s="445"/>
      <c r="VBY102" s="414"/>
      <c r="VCB102" s="445"/>
      <c r="VCC102" s="414"/>
      <c r="VCF102" s="445"/>
      <c r="VCG102" s="414"/>
      <c r="VCJ102" s="445"/>
      <c r="VCK102" s="414"/>
      <c r="VCN102" s="445"/>
      <c r="VCO102" s="414"/>
      <c r="VCR102" s="445"/>
      <c r="VCS102" s="414"/>
      <c r="VCV102" s="445"/>
      <c r="VCW102" s="414"/>
      <c r="VCZ102" s="445"/>
      <c r="VDA102" s="414"/>
      <c r="VDD102" s="445"/>
      <c r="VDE102" s="414"/>
      <c r="VDH102" s="445"/>
      <c r="VDI102" s="414"/>
      <c r="VDL102" s="445"/>
      <c r="VDM102" s="414"/>
      <c r="VDP102" s="445"/>
      <c r="VDQ102" s="414"/>
      <c r="VDT102" s="445"/>
      <c r="VDU102" s="414"/>
      <c r="VDX102" s="445"/>
      <c r="VDY102" s="414"/>
      <c r="VEB102" s="445"/>
      <c r="VEC102" s="414"/>
      <c r="VEF102" s="445"/>
      <c r="VEG102" s="414"/>
      <c r="VEJ102" s="445"/>
      <c r="VEK102" s="414"/>
      <c r="VEN102" s="445"/>
      <c r="VEO102" s="414"/>
      <c r="VER102" s="445"/>
      <c r="VES102" s="414"/>
      <c r="VEV102" s="445"/>
      <c r="VEW102" s="414"/>
      <c r="VEZ102" s="445"/>
      <c r="VFA102" s="414"/>
      <c r="VFD102" s="445"/>
      <c r="VFE102" s="414"/>
      <c r="VFH102" s="445"/>
      <c r="VFI102" s="414"/>
      <c r="VFL102" s="445"/>
      <c r="VFM102" s="414"/>
      <c r="VFP102" s="445"/>
      <c r="VFQ102" s="414"/>
      <c r="VFT102" s="445"/>
      <c r="VFU102" s="414"/>
      <c r="VFX102" s="445"/>
      <c r="VFY102" s="414"/>
      <c r="VGB102" s="445"/>
      <c r="VGC102" s="414"/>
      <c r="VGF102" s="445"/>
      <c r="VGG102" s="414"/>
      <c r="VGJ102" s="445"/>
      <c r="VGK102" s="414"/>
      <c r="VGN102" s="445"/>
      <c r="VGO102" s="414"/>
      <c r="VGR102" s="445"/>
      <c r="VGS102" s="414"/>
      <c r="VGV102" s="445"/>
      <c r="VGW102" s="414"/>
      <c r="VGZ102" s="445"/>
      <c r="VHA102" s="414"/>
      <c r="VHD102" s="445"/>
      <c r="VHE102" s="414"/>
      <c r="VHH102" s="445"/>
      <c r="VHI102" s="414"/>
      <c r="VHL102" s="445"/>
      <c r="VHM102" s="414"/>
      <c r="VHP102" s="445"/>
      <c r="VHQ102" s="414"/>
      <c r="VHT102" s="445"/>
      <c r="VHU102" s="414"/>
      <c r="VHX102" s="445"/>
      <c r="VHY102" s="414"/>
      <c r="VIB102" s="445"/>
      <c r="VIC102" s="414"/>
      <c r="VIF102" s="445"/>
      <c r="VIG102" s="414"/>
      <c r="VIJ102" s="445"/>
      <c r="VIK102" s="414"/>
      <c r="VIN102" s="445"/>
      <c r="VIO102" s="414"/>
      <c r="VIR102" s="445"/>
      <c r="VIS102" s="414"/>
      <c r="VIV102" s="445"/>
      <c r="VIW102" s="414"/>
      <c r="VIZ102" s="445"/>
      <c r="VJA102" s="414"/>
      <c r="VJD102" s="445"/>
      <c r="VJE102" s="414"/>
      <c r="VJH102" s="445"/>
      <c r="VJI102" s="414"/>
      <c r="VJL102" s="445"/>
      <c r="VJM102" s="414"/>
      <c r="VJP102" s="445"/>
      <c r="VJQ102" s="414"/>
      <c r="VJT102" s="445"/>
      <c r="VJU102" s="414"/>
      <c r="VJX102" s="445"/>
      <c r="VJY102" s="414"/>
      <c r="VKB102" s="445"/>
      <c r="VKC102" s="414"/>
      <c r="VKF102" s="445"/>
      <c r="VKG102" s="414"/>
      <c r="VKJ102" s="445"/>
      <c r="VKK102" s="414"/>
      <c r="VKN102" s="445"/>
      <c r="VKO102" s="414"/>
      <c r="VKR102" s="445"/>
      <c r="VKS102" s="414"/>
      <c r="VKV102" s="445"/>
      <c r="VKW102" s="414"/>
      <c r="VKZ102" s="445"/>
      <c r="VLA102" s="414"/>
      <c r="VLD102" s="445"/>
      <c r="VLE102" s="414"/>
      <c r="VLH102" s="445"/>
      <c r="VLI102" s="414"/>
      <c r="VLL102" s="445"/>
      <c r="VLM102" s="414"/>
      <c r="VLP102" s="445"/>
      <c r="VLQ102" s="414"/>
      <c r="VLT102" s="445"/>
      <c r="VLU102" s="414"/>
      <c r="VLX102" s="445"/>
      <c r="VLY102" s="414"/>
      <c r="VMB102" s="445"/>
      <c r="VMC102" s="414"/>
      <c r="VMF102" s="445"/>
      <c r="VMG102" s="414"/>
      <c r="VMJ102" s="445"/>
      <c r="VMK102" s="414"/>
      <c r="VMN102" s="445"/>
      <c r="VMO102" s="414"/>
      <c r="VMR102" s="445"/>
      <c r="VMS102" s="414"/>
      <c r="VMV102" s="445"/>
      <c r="VMW102" s="414"/>
      <c r="VMZ102" s="445"/>
      <c r="VNA102" s="414"/>
      <c r="VND102" s="445"/>
      <c r="VNE102" s="414"/>
      <c r="VNH102" s="445"/>
      <c r="VNI102" s="414"/>
      <c r="VNL102" s="445"/>
      <c r="VNM102" s="414"/>
      <c r="VNP102" s="445"/>
      <c r="VNQ102" s="414"/>
      <c r="VNT102" s="445"/>
      <c r="VNU102" s="414"/>
      <c r="VNX102" s="445"/>
      <c r="VNY102" s="414"/>
      <c r="VOB102" s="445"/>
      <c r="VOC102" s="414"/>
      <c r="VOF102" s="445"/>
      <c r="VOG102" s="414"/>
      <c r="VOJ102" s="445"/>
      <c r="VOK102" s="414"/>
      <c r="VON102" s="445"/>
      <c r="VOO102" s="414"/>
      <c r="VOR102" s="445"/>
      <c r="VOS102" s="414"/>
      <c r="VOV102" s="445"/>
      <c r="VOW102" s="414"/>
      <c r="VOZ102" s="445"/>
      <c r="VPA102" s="414"/>
      <c r="VPD102" s="445"/>
      <c r="VPE102" s="414"/>
      <c r="VPH102" s="445"/>
      <c r="VPI102" s="414"/>
      <c r="VPL102" s="445"/>
      <c r="VPM102" s="414"/>
      <c r="VPP102" s="445"/>
      <c r="VPQ102" s="414"/>
      <c r="VPT102" s="445"/>
      <c r="VPU102" s="414"/>
      <c r="VPX102" s="445"/>
      <c r="VPY102" s="414"/>
      <c r="VQB102" s="445"/>
      <c r="VQC102" s="414"/>
      <c r="VQF102" s="445"/>
      <c r="VQG102" s="414"/>
      <c r="VQJ102" s="445"/>
      <c r="VQK102" s="414"/>
      <c r="VQN102" s="445"/>
      <c r="VQO102" s="414"/>
      <c r="VQR102" s="445"/>
      <c r="VQS102" s="414"/>
      <c r="VQV102" s="445"/>
      <c r="VQW102" s="414"/>
      <c r="VQZ102" s="445"/>
      <c r="VRA102" s="414"/>
      <c r="VRD102" s="445"/>
      <c r="VRE102" s="414"/>
      <c r="VRH102" s="445"/>
      <c r="VRI102" s="414"/>
      <c r="VRL102" s="445"/>
      <c r="VRM102" s="414"/>
      <c r="VRP102" s="445"/>
      <c r="VRQ102" s="414"/>
      <c r="VRT102" s="445"/>
      <c r="VRU102" s="414"/>
      <c r="VRX102" s="445"/>
      <c r="VRY102" s="414"/>
      <c r="VSB102" s="445"/>
      <c r="VSC102" s="414"/>
      <c r="VSF102" s="445"/>
      <c r="VSG102" s="414"/>
      <c r="VSJ102" s="445"/>
      <c r="VSK102" s="414"/>
      <c r="VSN102" s="445"/>
      <c r="VSO102" s="414"/>
      <c r="VSR102" s="445"/>
      <c r="VSS102" s="414"/>
      <c r="VSV102" s="445"/>
      <c r="VSW102" s="414"/>
      <c r="VSZ102" s="445"/>
      <c r="VTA102" s="414"/>
      <c r="VTD102" s="445"/>
      <c r="VTE102" s="414"/>
      <c r="VTH102" s="445"/>
      <c r="VTI102" s="414"/>
      <c r="VTL102" s="445"/>
      <c r="VTM102" s="414"/>
      <c r="VTP102" s="445"/>
      <c r="VTQ102" s="414"/>
      <c r="VTT102" s="445"/>
      <c r="VTU102" s="414"/>
      <c r="VTX102" s="445"/>
      <c r="VTY102" s="414"/>
      <c r="VUB102" s="445"/>
      <c r="VUC102" s="414"/>
      <c r="VUF102" s="445"/>
      <c r="VUG102" s="414"/>
      <c r="VUJ102" s="445"/>
      <c r="VUK102" s="414"/>
      <c r="VUN102" s="445"/>
      <c r="VUO102" s="414"/>
      <c r="VUR102" s="445"/>
      <c r="VUS102" s="414"/>
      <c r="VUV102" s="445"/>
      <c r="VUW102" s="414"/>
      <c r="VUZ102" s="445"/>
      <c r="VVA102" s="414"/>
      <c r="VVD102" s="445"/>
      <c r="VVE102" s="414"/>
      <c r="VVH102" s="445"/>
      <c r="VVI102" s="414"/>
      <c r="VVL102" s="445"/>
      <c r="VVM102" s="414"/>
      <c r="VVP102" s="445"/>
      <c r="VVQ102" s="414"/>
      <c r="VVT102" s="445"/>
      <c r="VVU102" s="414"/>
      <c r="VVX102" s="445"/>
      <c r="VVY102" s="414"/>
      <c r="VWB102" s="445"/>
      <c r="VWC102" s="414"/>
      <c r="VWF102" s="445"/>
      <c r="VWG102" s="414"/>
      <c r="VWJ102" s="445"/>
      <c r="VWK102" s="414"/>
      <c r="VWN102" s="445"/>
      <c r="VWO102" s="414"/>
      <c r="VWR102" s="445"/>
      <c r="VWS102" s="414"/>
      <c r="VWV102" s="445"/>
      <c r="VWW102" s="414"/>
      <c r="VWZ102" s="445"/>
      <c r="VXA102" s="414"/>
      <c r="VXD102" s="445"/>
      <c r="VXE102" s="414"/>
      <c r="VXH102" s="445"/>
      <c r="VXI102" s="414"/>
      <c r="VXL102" s="445"/>
      <c r="VXM102" s="414"/>
      <c r="VXP102" s="445"/>
      <c r="VXQ102" s="414"/>
      <c r="VXT102" s="445"/>
      <c r="VXU102" s="414"/>
      <c r="VXX102" s="445"/>
      <c r="VXY102" s="414"/>
      <c r="VYB102" s="445"/>
      <c r="VYC102" s="414"/>
      <c r="VYF102" s="445"/>
      <c r="VYG102" s="414"/>
      <c r="VYJ102" s="445"/>
      <c r="VYK102" s="414"/>
      <c r="VYN102" s="445"/>
      <c r="VYO102" s="414"/>
      <c r="VYR102" s="445"/>
      <c r="VYS102" s="414"/>
      <c r="VYV102" s="445"/>
      <c r="VYW102" s="414"/>
      <c r="VYZ102" s="445"/>
      <c r="VZA102" s="414"/>
      <c r="VZD102" s="445"/>
      <c r="VZE102" s="414"/>
      <c r="VZH102" s="445"/>
      <c r="VZI102" s="414"/>
      <c r="VZL102" s="445"/>
      <c r="VZM102" s="414"/>
      <c r="VZP102" s="445"/>
      <c r="VZQ102" s="414"/>
      <c r="VZT102" s="445"/>
      <c r="VZU102" s="414"/>
      <c r="VZX102" s="445"/>
      <c r="VZY102" s="414"/>
      <c r="WAB102" s="445"/>
      <c r="WAC102" s="414"/>
      <c r="WAF102" s="445"/>
      <c r="WAG102" s="414"/>
      <c r="WAJ102" s="445"/>
      <c r="WAK102" s="414"/>
      <c r="WAN102" s="445"/>
      <c r="WAO102" s="414"/>
      <c r="WAR102" s="445"/>
      <c r="WAS102" s="414"/>
      <c r="WAV102" s="445"/>
      <c r="WAW102" s="414"/>
      <c r="WAZ102" s="445"/>
      <c r="WBA102" s="414"/>
      <c r="WBD102" s="445"/>
      <c r="WBE102" s="414"/>
      <c r="WBH102" s="445"/>
      <c r="WBI102" s="414"/>
      <c r="WBL102" s="445"/>
      <c r="WBM102" s="414"/>
      <c r="WBP102" s="445"/>
      <c r="WBQ102" s="414"/>
      <c r="WBT102" s="445"/>
      <c r="WBU102" s="414"/>
      <c r="WBX102" s="445"/>
      <c r="WBY102" s="414"/>
      <c r="WCB102" s="445"/>
      <c r="WCC102" s="414"/>
      <c r="WCF102" s="445"/>
      <c r="WCG102" s="414"/>
      <c r="WCJ102" s="445"/>
      <c r="WCK102" s="414"/>
      <c r="WCN102" s="445"/>
      <c r="WCO102" s="414"/>
      <c r="WCR102" s="445"/>
      <c r="WCS102" s="414"/>
      <c r="WCV102" s="445"/>
      <c r="WCW102" s="414"/>
      <c r="WCZ102" s="445"/>
      <c r="WDA102" s="414"/>
      <c r="WDD102" s="445"/>
      <c r="WDE102" s="414"/>
      <c r="WDH102" s="445"/>
      <c r="WDI102" s="414"/>
      <c r="WDL102" s="445"/>
      <c r="WDM102" s="414"/>
      <c r="WDP102" s="445"/>
      <c r="WDQ102" s="414"/>
      <c r="WDT102" s="445"/>
      <c r="WDU102" s="414"/>
      <c r="WDX102" s="445"/>
      <c r="WDY102" s="414"/>
      <c r="WEB102" s="445"/>
      <c r="WEC102" s="414"/>
      <c r="WEF102" s="445"/>
      <c r="WEG102" s="414"/>
      <c r="WEJ102" s="445"/>
      <c r="WEK102" s="414"/>
      <c r="WEN102" s="445"/>
      <c r="WEO102" s="414"/>
      <c r="WER102" s="445"/>
      <c r="WES102" s="414"/>
      <c r="WEV102" s="445"/>
      <c r="WEW102" s="414"/>
      <c r="WEZ102" s="445"/>
      <c r="WFA102" s="414"/>
      <c r="WFD102" s="445"/>
      <c r="WFE102" s="414"/>
      <c r="WFH102" s="445"/>
      <c r="WFI102" s="414"/>
      <c r="WFL102" s="445"/>
      <c r="WFM102" s="414"/>
      <c r="WFP102" s="445"/>
      <c r="WFQ102" s="414"/>
      <c r="WFT102" s="445"/>
      <c r="WFU102" s="414"/>
      <c r="WFX102" s="445"/>
      <c r="WFY102" s="414"/>
      <c r="WGB102" s="445"/>
      <c r="WGC102" s="414"/>
      <c r="WGF102" s="445"/>
      <c r="WGG102" s="414"/>
      <c r="WGJ102" s="445"/>
      <c r="WGK102" s="414"/>
      <c r="WGN102" s="445"/>
      <c r="WGO102" s="414"/>
      <c r="WGR102" s="445"/>
      <c r="WGS102" s="414"/>
      <c r="WGV102" s="445"/>
      <c r="WGW102" s="414"/>
      <c r="WGZ102" s="445"/>
      <c r="WHA102" s="414"/>
      <c r="WHD102" s="445"/>
      <c r="WHE102" s="414"/>
      <c r="WHH102" s="445"/>
      <c r="WHI102" s="414"/>
      <c r="WHL102" s="445"/>
      <c r="WHM102" s="414"/>
      <c r="WHP102" s="445"/>
      <c r="WHQ102" s="414"/>
      <c r="WHT102" s="445"/>
      <c r="WHU102" s="414"/>
      <c r="WHX102" s="445"/>
      <c r="WHY102" s="414"/>
      <c r="WIB102" s="445"/>
      <c r="WIC102" s="414"/>
      <c r="WIF102" s="445"/>
      <c r="WIG102" s="414"/>
      <c r="WIJ102" s="445"/>
      <c r="WIK102" s="414"/>
      <c r="WIN102" s="445"/>
      <c r="WIO102" s="414"/>
      <c r="WIR102" s="445"/>
      <c r="WIS102" s="414"/>
      <c r="WIV102" s="445"/>
      <c r="WIW102" s="414"/>
      <c r="WIZ102" s="445"/>
      <c r="WJA102" s="414"/>
      <c r="WJD102" s="445"/>
      <c r="WJE102" s="414"/>
      <c r="WJH102" s="445"/>
      <c r="WJI102" s="414"/>
      <c r="WJL102" s="445"/>
      <c r="WJM102" s="414"/>
      <c r="WJP102" s="445"/>
      <c r="WJQ102" s="414"/>
      <c r="WJT102" s="445"/>
      <c r="WJU102" s="414"/>
      <c r="WJX102" s="445"/>
      <c r="WJY102" s="414"/>
      <c r="WKB102" s="445"/>
      <c r="WKC102" s="414"/>
      <c r="WKF102" s="445"/>
      <c r="WKG102" s="414"/>
      <c r="WKJ102" s="445"/>
      <c r="WKK102" s="414"/>
      <c r="WKN102" s="445"/>
      <c r="WKO102" s="414"/>
      <c r="WKR102" s="445"/>
      <c r="WKS102" s="414"/>
      <c r="WKV102" s="445"/>
      <c r="WKW102" s="414"/>
      <c r="WKZ102" s="445"/>
      <c r="WLA102" s="414"/>
      <c r="WLD102" s="445"/>
      <c r="WLE102" s="414"/>
      <c r="WLH102" s="445"/>
      <c r="WLI102" s="414"/>
      <c r="WLL102" s="445"/>
      <c r="WLM102" s="414"/>
      <c r="WLP102" s="445"/>
      <c r="WLQ102" s="414"/>
      <c r="WLT102" s="445"/>
      <c r="WLU102" s="414"/>
      <c r="WLX102" s="445"/>
      <c r="WLY102" s="414"/>
      <c r="WMB102" s="445"/>
      <c r="WMC102" s="414"/>
      <c r="WMF102" s="445"/>
      <c r="WMG102" s="414"/>
      <c r="WMJ102" s="445"/>
      <c r="WMK102" s="414"/>
      <c r="WMN102" s="445"/>
      <c r="WMO102" s="414"/>
      <c r="WMR102" s="445"/>
      <c r="WMS102" s="414"/>
      <c r="WMV102" s="445"/>
      <c r="WMW102" s="414"/>
      <c r="WMZ102" s="445"/>
      <c r="WNA102" s="414"/>
      <c r="WND102" s="445"/>
      <c r="WNE102" s="414"/>
      <c r="WNH102" s="445"/>
      <c r="WNI102" s="414"/>
      <c r="WNL102" s="445"/>
      <c r="WNM102" s="414"/>
      <c r="WNP102" s="445"/>
      <c r="WNQ102" s="414"/>
      <c r="WNT102" s="445"/>
      <c r="WNU102" s="414"/>
      <c r="WNX102" s="445"/>
      <c r="WNY102" s="414"/>
      <c r="WOB102" s="445"/>
      <c r="WOC102" s="414"/>
      <c r="WOF102" s="445"/>
      <c r="WOG102" s="414"/>
      <c r="WOJ102" s="445"/>
      <c r="WOK102" s="414"/>
      <c r="WON102" s="445"/>
      <c r="WOO102" s="414"/>
      <c r="WOR102" s="445"/>
      <c r="WOS102" s="414"/>
      <c r="WOV102" s="445"/>
      <c r="WOW102" s="414"/>
      <c r="WOZ102" s="445"/>
      <c r="WPA102" s="414"/>
      <c r="WPD102" s="445"/>
      <c r="WPE102" s="414"/>
      <c r="WPH102" s="445"/>
      <c r="WPI102" s="414"/>
      <c r="WPL102" s="445"/>
      <c r="WPM102" s="414"/>
      <c r="WPP102" s="445"/>
      <c r="WPQ102" s="414"/>
      <c r="WPT102" s="445"/>
      <c r="WPU102" s="414"/>
      <c r="WPX102" s="445"/>
      <c r="WPY102" s="414"/>
      <c r="WQB102" s="445"/>
      <c r="WQC102" s="414"/>
      <c r="WQF102" s="445"/>
      <c r="WQG102" s="414"/>
      <c r="WQJ102" s="445"/>
      <c r="WQK102" s="414"/>
      <c r="WQN102" s="445"/>
      <c r="WQO102" s="414"/>
      <c r="WQR102" s="445"/>
      <c r="WQS102" s="414"/>
      <c r="WQV102" s="445"/>
      <c r="WQW102" s="414"/>
      <c r="WQZ102" s="445"/>
      <c r="WRA102" s="414"/>
      <c r="WRD102" s="445"/>
      <c r="WRE102" s="414"/>
      <c r="WRH102" s="445"/>
      <c r="WRI102" s="414"/>
      <c r="WRL102" s="445"/>
      <c r="WRM102" s="414"/>
      <c r="WRP102" s="445"/>
      <c r="WRQ102" s="414"/>
      <c r="WRT102" s="445"/>
      <c r="WRU102" s="414"/>
      <c r="WRX102" s="445"/>
      <c r="WRY102" s="414"/>
      <c r="WSB102" s="445"/>
      <c r="WSC102" s="414"/>
      <c r="WSF102" s="445"/>
      <c r="WSG102" s="414"/>
      <c r="WSJ102" s="445"/>
      <c r="WSK102" s="414"/>
      <c r="WSN102" s="445"/>
      <c r="WSO102" s="414"/>
      <c r="WSR102" s="445"/>
      <c r="WSS102" s="414"/>
      <c r="WSV102" s="445"/>
      <c r="WSW102" s="414"/>
      <c r="WSZ102" s="445"/>
      <c r="WTA102" s="414"/>
      <c r="WTD102" s="445"/>
      <c r="WTE102" s="414"/>
      <c r="WTH102" s="445"/>
      <c r="WTI102" s="414"/>
      <c r="WTL102" s="445"/>
      <c r="WTM102" s="414"/>
      <c r="WTP102" s="445"/>
      <c r="WTQ102" s="414"/>
      <c r="WTT102" s="445"/>
      <c r="WTU102" s="414"/>
      <c r="WTX102" s="445"/>
      <c r="WTY102" s="414"/>
      <c r="WUB102" s="445"/>
      <c r="WUC102" s="414"/>
      <c r="WUF102" s="445"/>
      <c r="WUG102" s="414"/>
      <c r="WUJ102" s="445"/>
      <c r="WUK102" s="414"/>
      <c r="WUN102" s="445"/>
      <c r="WUO102" s="414"/>
      <c r="WUR102" s="445"/>
      <c r="WUS102" s="414"/>
      <c r="WUV102" s="445"/>
      <c r="WUW102" s="414"/>
      <c r="WUZ102" s="445"/>
      <c r="WVA102" s="414"/>
      <c r="WVD102" s="445"/>
      <c r="WVE102" s="414"/>
      <c r="WVH102" s="445"/>
      <c r="WVI102" s="414"/>
      <c r="WVL102" s="445"/>
      <c r="WVM102" s="414"/>
      <c r="WVP102" s="445"/>
      <c r="WVQ102" s="414"/>
      <c r="WVT102" s="445"/>
      <c r="WVU102" s="414"/>
      <c r="WVX102" s="445"/>
      <c r="WVY102" s="414"/>
      <c r="WWB102" s="445"/>
      <c r="WWC102" s="414"/>
      <c r="WWF102" s="445"/>
      <c r="WWG102" s="414"/>
      <c r="WWJ102" s="445"/>
      <c r="WWK102" s="414"/>
      <c r="WWN102" s="445"/>
      <c r="WWO102" s="414"/>
      <c r="WWR102" s="445"/>
      <c r="WWS102" s="414"/>
      <c r="WWV102" s="445"/>
      <c r="WWW102" s="414"/>
      <c r="WWZ102" s="445"/>
      <c r="WXA102" s="414"/>
      <c r="WXD102" s="445"/>
      <c r="WXE102" s="414"/>
      <c r="WXH102" s="445"/>
      <c r="WXI102" s="414"/>
      <c r="WXL102" s="445"/>
      <c r="WXM102" s="414"/>
      <c r="WXP102" s="445"/>
      <c r="WXQ102" s="414"/>
      <c r="WXT102" s="445"/>
      <c r="WXU102" s="414"/>
      <c r="WXX102" s="445"/>
      <c r="WXY102" s="414"/>
      <c r="WYB102" s="445"/>
      <c r="WYC102" s="414"/>
      <c r="WYF102" s="445"/>
      <c r="WYG102" s="414"/>
      <c r="WYJ102" s="445"/>
      <c r="WYK102" s="414"/>
      <c r="WYN102" s="445"/>
      <c r="WYO102" s="414"/>
      <c r="WYR102" s="445"/>
      <c r="WYS102" s="414"/>
      <c r="WYV102" s="445"/>
      <c r="WYW102" s="414"/>
      <c r="WYZ102" s="445"/>
      <c r="WZA102" s="414"/>
      <c r="WZD102" s="445"/>
      <c r="WZE102" s="414"/>
      <c r="WZH102" s="445"/>
      <c r="WZI102" s="414"/>
      <c r="WZL102" s="445"/>
      <c r="WZM102" s="414"/>
      <c r="WZP102" s="445"/>
      <c r="WZQ102" s="414"/>
      <c r="WZT102" s="445"/>
      <c r="WZU102" s="414"/>
      <c r="WZX102" s="445"/>
      <c r="WZY102" s="414"/>
      <c r="XAB102" s="445"/>
      <c r="XAC102" s="414"/>
      <c r="XAF102" s="445"/>
      <c r="XAG102" s="414"/>
      <c r="XAJ102" s="445"/>
      <c r="XAK102" s="414"/>
      <c r="XAN102" s="445"/>
      <c r="XAO102" s="414"/>
      <c r="XAR102" s="445"/>
      <c r="XAS102" s="414"/>
      <c r="XAV102" s="445"/>
      <c r="XAW102" s="414"/>
      <c r="XAZ102" s="445"/>
      <c r="XBA102" s="414"/>
      <c r="XBD102" s="445"/>
      <c r="XBE102" s="414"/>
      <c r="XBH102" s="445"/>
      <c r="XBI102" s="414"/>
      <c r="XBL102" s="445"/>
      <c r="XBM102" s="414"/>
      <c r="XBP102" s="445"/>
      <c r="XBQ102" s="414"/>
      <c r="XBT102" s="445"/>
      <c r="XBU102" s="414"/>
      <c r="XBX102" s="445"/>
      <c r="XBY102" s="414"/>
      <c r="XCB102" s="445"/>
      <c r="XCC102" s="414"/>
      <c r="XCF102" s="445"/>
      <c r="XCG102" s="414"/>
      <c r="XCJ102" s="445"/>
      <c r="XCK102" s="414"/>
      <c r="XCN102" s="445"/>
      <c r="XCO102" s="414"/>
      <c r="XCR102" s="445"/>
      <c r="XCS102" s="414"/>
      <c r="XCV102" s="445"/>
      <c r="XCW102" s="414"/>
      <c r="XCZ102" s="445"/>
      <c r="XDA102" s="414"/>
      <c r="XDD102" s="445"/>
      <c r="XDE102" s="414"/>
      <c r="XDH102" s="445"/>
      <c r="XDI102" s="414"/>
      <c r="XDL102" s="445"/>
      <c r="XDM102" s="414"/>
      <c r="XDP102" s="445"/>
      <c r="XDQ102" s="414"/>
      <c r="XDT102" s="445"/>
      <c r="XDU102" s="414"/>
      <c r="XDX102" s="445"/>
      <c r="XDY102" s="414"/>
      <c r="XEB102" s="445"/>
      <c r="XEC102" s="414"/>
      <c r="XEF102" s="445"/>
      <c r="XEG102" s="414"/>
      <c r="XEJ102" s="445"/>
      <c r="XEK102" s="414"/>
      <c r="XEN102" s="445"/>
      <c r="XEO102" s="414"/>
      <c r="XER102" s="445"/>
      <c r="XES102" s="414"/>
      <c r="XEV102" s="445"/>
      <c r="XEW102" s="414"/>
      <c r="XEZ102" s="445"/>
    </row>
    <row r="103" spans="1:16380" s="436" customFormat="1" ht="12.75">
      <c r="A103" s="445"/>
      <c r="B103" s="443">
        <v>102</v>
      </c>
      <c r="C103" s="447"/>
      <c r="D103" s="618" t="s">
        <v>2135</v>
      </c>
      <c r="E103" s="447" t="s">
        <v>2001</v>
      </c>
      <c r="F103" s="444" t="s">
        <v>133</v>
      </c>
      <c r="G103" s="416"/>
      <c r="H103" s="443"/>
      <c r="I103" s="444"/>
      <c r="AP103" s="414"/>
      <c r="AV103" s="445"/>
      <c r="AW103" s="414"/>
      <c r="AZ103" s="445"/>
      <c r="BA103" s="414"/>
      <c r="BD103" s="445"/>
      <c r="BE103" s="414"/>
      <c r="BH103" s="445"/>
      <c r="BI103" s="414"/>
      <c r="BL103" s="445"/>
      <c r="BM103" s="414"/>
      <c r="BP103" s="445"/>
      <c r="BQ103" s="414"/>
      <c r="BT103" s="445"/>
      <c r="BU103" s="414"/>
      <c r="BX103" s="445"/>
      <c r="BY103" s="414"/>
      <c r="CB103" s="445"/>
      <c r="CC103" s="414"/>
      <c r="CF103" s="445"/>
      <c r="CG103" s="414"/>
      <c r="CJ103" s="445"/>
      <c r="CK103" s="414"/>
      <c r="CN103" s="445"/>
      <c r="CO103" s="414"/>
      <c r="CR103" s="445"/>
      <c r="CS103" s="414"/>
      <c r="CV103" s="445"/>
      <c r="CW103" s="414"/>
      <c r="CZ103" s="445"/>
      <c r="DA103" s="414"/>
      <c r="DD103" s="445"/>
      <c r="DE103" s="414"/>
      <c r="DH103" s="445"/>
      <c r="DI103" s="414"/>
      <c r="DL103" s="445"/>
      <c r="DM103" s="414"/>
      <c r="DP103" s="445"/>
      <c r="DQ103" s="414"/>
      <c r="DT103" s="445"/>
      <c r="DU103" s="414"/>
      <c r="DX103" s="445"/>
      <c r="DY103" s="414"/>
      <c r="EB103" s="445"/>
      <c r="EC103" s="414"/>
      <c r="EF103" s="445"/>
      <c r="EG103" s="414"/>
      <c r="EJ103" s="445"/>
      <c r="EK103" s="414"/>
      <c r="EN103" s="445"/>
      <c r="EO103" s="414"/>
      <c r="ER103" s="445"/>
      <c r="ES103" s="414"/>
      <c r="EV103" s="445"/>
      <c r="EW103" s="414"/>
      <c r="EZ103" s="445"/>
      <c r="FA103" s="414"/>
      <c r="FD103" s="445"/>
      <c r="FE103" s="414"/>
      <c r="FH103" s="445"/>
      <c r="FI103" s="414"/>
      <c r="FL103" s="445"/>
      <c r="FM103" s="414"/>
      <c r="FP103" s="445"/>
      <c r="FQ103" s="414"/>
      <c r="FT103" s="445"/>
      <c r="FU103" s="414"/>
      <c r="FX103" s="445"/>
      <c r="FY103" s="414"/>
      <c r="GB103" s="445"/>
      <c r="GC103" s="414"/>
      <c r="GF103" s="445"/>
      <c r="GG103" s="414"/>
      <c r="GJ103" s="445"/>
      <c r="GK103" s="414"/>
      <c r="GN103" s="445"/>
      <c r="GO103" s="414"/>
      <c r="GR103" s="445"/>
      <c r="GS103" s="414"/>
      <c r="GV103" s="445"/>
      <c r="GW103" s="414"/>
      <c r="GZ103" s="445"/>
      <c r="HA103" s="414"/>
      <c r="HD103" s="445"/>
      <c r="HE103" s="414"/>
      <c r="HH103" s="445"/>
      <c r="HI103" s="414"/>
      <c r="HL103" s="445"/>
      <c r="HM103" s="414"/>
      <c r="HP103" s="445"/>
      <c r="HQ103" s="414"/>
      <c r="HT103" s="445"/>
      <c r="HU103" s="414"/>
      <c r="HX103" s="445"/>
      <c r="HY103" s="414"/>
      <c r="IB103" s="445"/>
      <c r="IC103" s="414"/>
      <c r="IF103" s="445"/>
      <c r="IG103" s="414"/>
      <c r="IJ103" s="445"/>
      <c r="IK103" s="414"/>
      <c r="IN103" s="445"/>
      <c r="IO103" s="414"/>
      <c r="IR103" s="445"/>
      <c r="IS103" s="414"/>
      <c r="IV103" s="445"/>
      <c r="IW103" s="414"/>
      <c r="IZ103" s="445"/>
      <c r="JA103" s="414"/>
      <c r="JD103" s="445"/>
      <c r="JE103" s="414"/>
      <c r="JH103" s="445"/>
      <c r="JI103" s="414"/>
      <c r="JL103" s="445"/>
      <c r="JM103" s="414"/>
      <c r="JP103" s="445"/>
      <c r="JQ103" s="414"/>
      <c r="JT103" s="445"/>
      <c r="JU103" s="414"/>
      <c r="JX103" s="445"/>
      <c r="JY103" s="414"/>
      <c r="KB103" s="445"/>
      <c r="KC103" s="414"/>
      <c r="KF103" s="445"/>
      <c r="KG103" s="414"/>
      <c r="KJ103" s="445"/>
      <c r="KK103" s="414"/>
      <c r="KN103" s="445"/>
      <c r="KO103" s="414"/>
      <c r="KR103" s="445"/>
      <c r="KS103" s="414"/>
      <c r="KV103" s="445"/>
      <c r="KW103" s="414"/>
      <c r="KZ103" s="445"/>
      <c r="LA103" s="414"/>
      <c r="LD103" s="445"/>
      <c r="LE103" s="414"/>
      <c r="LH103" s="445"/>
      <c r="LI103" s="414"/>
      <c r="LL103" s="445"/>
      <c r="LM103" s="414"/>
      <c r="LP103" s="445"/>
      <c r="LQ103" s="414"/>
      <c r="LT103" s="445"/>
      <c r="LU103" s="414"/>
      <c r="LX103" s="445"/>
      <c r="LY103" s="414"/>
      <c r="MB103" s="445"/>
      <c r="MC103" s="414"/>
      <c r="MF103" s="445"/>
      <c r="MG103" s="414"/>
      <c r="MJ103" s="445"/>
      <c r="MK103" s="414"/>
      <c r="MN103" s="445"/>
      <c r="MO103" s="414"/>
      <c r="MR103" s="445"/>
      <c r="MS103" s="414"/>
      <c r="MV103" s="445"/>
      <c r="MW103" s="414"/>
      <c r="MZ103" s="445"/>
      <c r="NA103" s="414"/>
      <c r="ND103" s="445"/>
      <c r="NE103" s="414"/>
      <c r="NH103" s="445"/>
      <c r="NI103" s="414"/>
      <c r="NL103" s="445"/>
      <c r="NM103" s="414"/>
      <c r="NP103" s="445"/>
      <c r="NQ103" s="414"/>
      <c r="NT103" s="445"/>
      <c r="NU103" s="414"/>
      <c r="NX103" s="445"/>
      <c r="NY103" s="414"/>
      <c r="OB103" s="445"/>
      <c r="OC103" s="414"/>
      <c r="OF103" s="445"/>
      <c r="OG103" s="414"/>
      <c r="OJ103" s="445"/>
      <c r="OK103" s="414"/>
      <c r="ON103" s="445"/>
      <c r="OO103" s="414"/>
      <c r="OR103" s="445"/>
      <c r="OS103" s="414"/>
      <c r="OV103" s="445"/>
      <c r="OW103" s="414"/>
      <c r="OZ103" s="445"/>
      <c r="PA103" s="414"/>
      <c r="PD103" s="445"/>
      <c r="PE103" s="414"/>
      <c r="PH103" s="445"/>
      <c r="PI103" s="414"/>
      <c r="PL103" s="445"/>
      <c r="PM103" s="414"/>
      <c r="PP103" s="445"/>
      <c r="PQ103" s="414"/>
      <c r="PT103" s="445"/>
      <c r="PU103" s="414"/>
      <c r="PX103" s="445"/>
      <c r="PY103" s="414"/>
      <c r="QB103" s="445"/>
      <c r="QC103" s="414"/>
      <c r="QF103" s="445"/>
      <c r="QG103" s="414"/>
      <c r="QJ103" s="445"/>
      <c r="QK103" s="414"/>
      <c r="QN103" s="445"/>
      <c r="QO103" s="414"/>
      <c r="QR103" s="445"/>
      <c r="QS103" s="414"/>
      <c r="QV103" s="445"/>
      <c r="QW103" s="414"/>
      <c r="QZ103" s="445"/>
      <c r="RA103" s="414"/>
      <c r="RD103" s="445"/>
      <c r="RE103" s="414"/>
      <c r="RH103" s="445"/>
      <c r="RI103" s="414"/>
      <c r="RL103" s="445"/>
      <c r="RM103" s="414"/>
      <c r="RP103" s="445"/>
      <c r="RQ103" s="414"/>
      <c r="RT103" s="445"/>
      <c r="RU103" s="414"/>
      <c r="RX103" s="445"/>
      <c r="RY103" s="414"/>
      <c r="SB103" s="445"/>
      <c r="SC103" s="414"/>
      <c r="SF103" s="445"/>
      <c r="SG103" s="414"/>
      <c r="SJ103" s="445"/>
      <c r="SK103" s="414"/>
      <c r="SN103" s="445"/>
      <c r="SO103" s="414"/>
      <c r="SR103" s="445"/>
      <c r="SS103" s="414"/>
      <c r="SV103" s="445"/>
      <c r="SW103" s="414"/>
      <c r="SZ103" s="445"/>
      <c r="TA103" s="414"/>
      <c r="TD103" s="445"/>
      <c r="TE103" s="414"/>
      <c r="TH103" s="445"/>
      <c r="TI103" s="414"/>
      <c r="TL103" s="445"/>
      <c r="TM103" s="414"/>
      <c r="TP103" s="445"/>
      <c r="TQ103" s="414"/>
      <c r="TT103" s="445"/>
      <c r="TU103" s="414"/>
      <c r="TX103" s="445"/>
      <c r="TY103" s="414"/>
      <c r="UB103" s="445"/>
      <c r="UC103" s="414"/>
      <c r="UF103" s="445"/>
      <c r="UG103" s="414"/>
      <c r="UJ103" s="445"/>
      <c r="UK103" s="414"/>
      <c r="UN103" s="445"/>
      <c r="UO103" s="414"/>
      <c r="UR103" s="445"/>
      <c r="US103" s="414"/>
      <c r="UV103" s="445"/>
      <c r="UW103" s="414"/>
      <c r="UZ103" s="445"/>
      <c r="VA103" s="414"/>
      <c r="VD103" s="445"/>
      <c r="VE103" s="414"/>
      <c r="VH103" s="445"/>
      <c r="VI103" s="414"/>
      <c r="VL103" s="445"/>
      <c r="VM103" s="414"/>
      <c r="VP103" s="445"/>
      <c r="VQ103" s="414"/>
      <c r="VT103" s="445"/>
      <c r="VU103" s="414"/>
      <c r="VX103" s="445"/>
      <c r="VY103" s="414"/>
      <c r="WB103" s="445"/>
      <c r="WC103" s="414"/>
      <c r="WF103" s="445"/>
      <c r="WG103" s="414"/>
      <c r="WJ103" s="445"/>
      <c r="WK103" s="414"/>
      <c r="WN103" s="445"/>
      <c r="WO103" s="414"/>
      <c r="WR103" s="445"/>
      <c r="WS103" s="414"/>
      <c r="WV103" s="445"/>
      <c r="WW103" s="414"/>
      <c r="WZ103" s="445"/>
      <c r="XA103" s="414"/>
      <c r="XD103" s="445"/>
      <c r="XE103" s="414"/>
      <c r="XH103" s="445"/>
      <c r="XI103" s="414"/>
      <c r="XL103" s="445"/>
      <c r="XM103" s="414"/>
      <c r="XP103" s="445"/>
      <c r="XQ103" s="414"/>
      <c r="XT103" s="445"/>
      <c r="XU103" s="414"/>
      <c r="XX103" s="445"/>
      <c r="XY103" s="414"/>
      <c r="YB103" s="445"/>
      <c r="YC103" s="414"/>
      <c r="YF103" s="445"/>
      <c r="YG103" s="414"/>
      <c r="YJ103" s="445"/>
      <c r="YK103" s="414"/>
      <c r="YN103" s="445"/>
      <c r="YO103" s="414"/>
      <c r="YR103" s="445"/>
      <c r="YS103" s="414"/>
      <c r="YV103" s="445"/>
      <c r="YW103" s="414"/>
      <c r="YZ103" s="445"/>
      <c r="ZA103" s="414"/>
      <c r="ZD103" s="445"/>
      <c r="ZE103" s="414"/>
      <c r="ZH103" s="445"/>
      <c r="ZI103" s="414"/>
      <c r="ZL103" s="445"/>
      <c r="ZM103" s="414"/>
      <c r="ZP103" s="445"/>
      <c r="ZQ103" s="414"/>
      <c r="ZT103" s="445"/>
      <c r="ZU103" s="414"/>
      <c r="ZX103" s="445"/>
      <c r="ZY103" s="414"/>
      <c r="AAB103" s="445"/>
      <c r="AAC103" s="414"/>
      <c r="AAF103" s="445"/>
      <c r="AAG103" s="414"/>
      <c r="AAJ103" s="445"/>
      <c r="AAK103" s="414"/>
      <c r="AAN103" s="445"/>
      <c r="AAO103" s="414"/>
      <c r="AAR103" s="445"/>
      <c r="AAS103" s="414"/>
      <c r="AAV103" s="445"/>
      <c r="AAW103" s="414"/>
      <c r="AAZ103" s="445"/>
      <c r="ABA103" s="414"/>
      <c r="ABD103" s="445"/>
      <c r="ABE103" s="414"/>
      <c r="ABH103" s="445"/>
      <c r="ABI103" s="414"/>
      <c r="ABL103" s="445"/>
      <c r="ABM103" s="414"/>
      <c r="ABP103" s="445"/>
      <c r="ABQ103" s="414"/>
      <c r="ABT103" s="445"/>
      <c r="ABU103" s="414"/>
      <c r="ABX103" s="445"/>
      <c r="ABY103" s="414"/>
      <c r="ACB103" s="445"/>
      <c r="ACC103" s="414"/>
      <c r="ACF103" s="445"/>
      <c r="ACG103" s="414"/>
      <c r="ACJ103" s="445"/>
      <c r="ACK103" s="414"/>
      <c r="ACN103" s="445"/>
      <c r="ACO103" s="414"/>
      <c r="ACR103" s="445"/>
      <c r="ACS103" s="414"/>
      <c r="ACV103" s="445"/>
      <c r="ACW103" s="414"/>
      <c r="ACZ103" s="445"/>
      <c r="ADA103" s="414"/>
      <c r="ADD103" s="445"/>
      <c r="ADE103" s="414"/>
      <c r="ADH103" s="445"/>
      <c r="ADI103" s="414"/>
      <c r="ADL103" s="445"/>
      <c r="ADM103" s="414"/>
      <c r="ADP103" s="445"/>
      <c r="ADQ103" s="414"/>
      <c r="ADT103" s="445"/>
      <c r="ADU103" s="414"/>
      <c r="ADX103" s="445"/>
      <c r="ADY103" s="414"/>
      <c r="AEB103" s="445"/>
      <c r="AEC103" s="414"/>
      <c r="AEF103" s="445"/>
      <c r="AEG103" s="414"/>
      <c r="AEJ103" s="445"/>
      <c r="AEK103" s="414"/>
      <c r="AEN103" s="445"/>
      <c r="AEO103" s="414"/>
      <c r="AER103" s="445"/>
      <c r="AES103" s="414"/>
      <c r="AEV103" s="445"/>
      <c r="AEW103" s="414"/>
      <c r="AEZ103" s="445"/>
      <c r="AFA103" s="414"/>
      <c r="AFD103" s="445"/>
      <c r="AFE103" s="414"/>
      <c r="AFH103" s="445"/>
      <c r="AFI103" s="414"/>
      <c r="AFL103" s="445"/>
      <c r="AFM103" s="414"/>
      <c r="AFP103" s="445"/>
      <c r="AFQ103" s="414"/>
      <c r="AFT103" s="445"/>
      <c r="AFU103" s="414"/>
      <c r="AFX103" s="445"/>
      <c r="AFY103" s="414"/>
      <c r="AGB103" s="445"/>
      <c r="AGC103" s="414"/>
      <c r="AGF103" s="445"/>
      <c r="AGG103" s="414"/>
      <c r="AGJ103" s="445"/>
      <c r="AGK103" s="414"/>
      <c r="AGN103" s="445"/>
      <c r="AGO103" s="414"/>
      <c r="AGR103" s="445"/>
      <c r="AGS103" s="414"/>
      <c r="AGV103" s="445"/>
      <c r="AGW103" s="414"/>
      <c r="AGZ103" s="445"/>
      <c r="AHA103" s="414"/>
      <c r="AHD103" s="445"/>
      <c r="AHE103" s="414"/>
      <c r="AHH103" s="445"/>
      <c r="AHI103" s="414"/>
      <c r="AHL103" s="445"/>
      <c r="AHM103" s="414"/>
      <c r="AHP103" s="445"/>
      <c r="AHQ103" s="414"/>
      <c r="AHT103" s="445"/>
      <c r="AHU103" s="414"/>
      <c r="AHX103" s="445"/>
      <c r="AHY103" s="414"/>
      <c r="AIB103" s="445"/>
      <c r="AIC103" s="414"/>
      <c r="AIF103" s="445"/>
      <c r="AIG103" s="414"/>
      <c r="AIJ103" s="445"/>
      <c r="AIK103" s="414"/>
      <c r="AIN103" s="445"/>
      <c r="AIO103" s="414"/>
      <c r="AIR103" s="445"/>
      <c r="AIS103" s="414"/>
      <c r="AIV103" s="445"/>
      <c r="AIW103" s="414"/>
      <c r="AIZ103" s="445"/>
      <c r="AJA103" s="414"/>
      <c r="AJD103" s="445"/>
      <c r="AJE103" s="414"/>
      <c r="AJH103" s="445"/>
      <c r="AJI103" s="414"/>
      <c r="AJL103" s="445"/>
      <c r="AJM103" s="414"/>
      <c r="AJP103" s="445"/>
      <c r="AJQ103" s="414"/>
      <c r="AJT103" s="445"/>
      <c r="AJU103" s="414"/>
      <c r="AJX103" s="445"/>
      <c r="AJY103" s="414"/>
      <c r="AKB103" s="445"/>
      <c r="AKC103" s="414"/>
      <c r="AKF103" s="445"/>
      <c r="AKG103" s="414"/>
      <c r="AKJ103" s="445"/>
      <c r="AKK103" s="414"/>
      <c r="AKN103" s="445"/>
      <c r="AKO103" s="414"/>
      <c r="AKR103" s="445"/>
      <c r="AKS103" s="414"/>
      <c r="AKV103" s="445"/>
      <c r="AKW103" s="414"/>
      <c r="AKZ103" s="445"/>
      <c r="ALA103" s="414"/>
      <c r="ALD103" s="445"/>
      <c r="ALE103" s="414"/>
      <c r="ALH103" s="445"/>
      <c r="ALI103" s="414"/>
      <c r="ALL103" s="445"/>
      <c r="ALM103" s="414"/>
      <c r="ALP103" s="445"/>
      <c r="ALQ103" s="414"/>
      <c r="ALT103" s="445"/>
      <c r="ALU103" s="414"/>
      <c r="ALX103" s="445"/>
      <c r="ALY103" s="414"/>
      <c r="AMB103" s="445"/>
      <c r="AMC103" s="414"/>
      <c r="AMF103" s="445"/>
      <c r="AMG103" s="414"/>
      <c r="AMJ103" s="445"/>
      <c r="AMK103" s="414"/>
      <c r="AMN103" s="445"/>
      <c r="AMO103" s="414"/>
      <c r="AMR103" s="445"/>
      <c r="AMS103" s="414"/>
      <c r="AMV103" s="445"/>
      <c r="AMW103" s="414"/>
      <c r="AMZ103" s="445"/>
      <c r="ANA103" s="414"/>
      <c r="AND103" s="445"/>
      <c r="ANE103" s="414"/>
      <c r="ANH103" s="445"/>
      <c r="ANI103" s="414"/>
      <c r="ANL103" s="445"/>
      <c r="ANM103" s="414"/>
      <c r="ANP103" s="445"/>
      <c r="ANQ103" s="414"/>
      <c r="ANT103" s="445"/>
      <c r="ANU103" s="414"/>
      <c r="ANX103" s="445"/>
      <c r="ANY103" s="414"/>
      <c r="AOB103" s="445"/>
      <c r="AOC103" s="414"/>
      <c r="AOF103" s="445"/>
      <c r="AOG103" s="414"/>
      <c r="AOJ103" s="445"/>
      <c r="AOK103" s="414"/>
      <c r="AON103" s="445"/>
      <c r="AOO103" s="414"/>
      <c r="AOR103" s="445"/>
      <c r="AOS103" s="414"/>
      <c r="AOV103" s="445"/>
      <c r="AOW103" s="414"/>
      <c r="AOZ103" s="445"/>
      <c r="APA103" s="414"/>
      <c r="APD103" s="445"/>
      <c r="APE103" s="414"/>
      <c r="APH103" s="445"/>
      <c r="API103" s="414"/>
      <c r="APL103" s="445"/>
      <c r="APM103" s="414"/>
      <c r="APP103" s="445"/>
      <c r="APQ103" s="414"/>
      <c r="APT103" s="445"/>
      <c r="APU103" s="414"/>
      <c r="APX103" s="445"/>
      <c r="APY103" s="414"/>
      <c r="AQB103" s="445"/>
      <c r="AQC103" s="414"/>
      <c r="AQF103" s="445"/>
      <c r="AQG103" s="414"/>
      <c r="AQJ103" s="445"/>
      <c r="AQK103" s="414"/>
      <c r="AQN103" s="445"/>
      <c r="AQO103" s="414"/>
      <c r="AQR103" s="445"/>
      <c r="AQS103" s="414"/>
      <c r="AQV103" s="445"/>
      <c r="AQW103" s="414"/>
      <c r="AQZ103" s="445"/>
      <c r="ARA103" s="414"/>
      <c r="ARD103" s="445"/>
      <c r="ARE103" s="414"/>
      <c r="ARH103" s="445"/>
      <c r="ARI103" s="414"/>
      <c r="ARL103" s="445"/>
      <c r="ARM103" s="414"/>
      <c r="ARP103" s="445"/>
      <c r="ARQ103" s="414"/>
      <c r="ART103" s="445"/>
      <c r="ARU103" s="414"/>
      <c r="ARX103" s="445"/>
      <c r="ARY103" s="414"/>
      <c r="ASB103" s="445"/>
      <c r="ASC103" s="414"/>
      <c r="ASF103" s="445"/>
      <c r="ASG103" s="414"/>
      <c r="ASJ103" s="445"/>
      <c r="ASK103" s="414"/>
      <c r="ASN103" s="445"/>
      <c r="ASO103" s="414"/>
      <c r="ASR103" s="445"/>
      <c r="ASS103" s="414"/>
      <c r="ASV103" s="445"/>
      <c r="ASW103" s="414"/>
      <c r="ASZ103" s="445"/>
      <c r="ATA103" s="414"/>
      <c r="ATD103" s="445"/>
      <c r="ATE103" s="414"/>
      <c r="ATH103" s="445"/>
      <c r="ATI103" s="414"/>
      <c r="ATL103" s="445"/>
      <c r="ATM103" s="414"/>
      <c r="ATP103" s="445"/>
      <c r="ATQ103" s="414"/>
      <c r="ATT103" s="445"/>
      <c r="ATU103" s="414"/>
      <c r="ATX103" s="445"/>
      <c r="ATY103" s="414"/>
      <c r="AUB103" s="445"/>
      <c r="AUC103" s="414"/>
      <c r="AUF103" s="445"/>
      <c r="AUG103" s="414"/>
      <c r="AUJ103" s="445"/>
      <c r="AUK103" s="414"/>
      <c r="AUN103" s="445"/>
      <c r="AUO103" s="414"/>
      <c r="AUR103" s="445"/>
      <c r="AUS103" s="414"/>
      <c r="AUV103" s="445"/>
      <c r="AUW103" s="414"/>
      <c r="AUZ103" s="445"/>
      <c r="AVA103" s="414"/>
      <c r="AVD103" s="445"/>
      <c r="AVE103" s="414"/>
      <c r="AVH103" s="445"/>
      <c r="AVI103" s="414"/>
      <c r="AVL103" s="445"/>
      <c r="AVM103" s="414"/>
      <c r="AVP103" s="445"/>
      <c r="AVQ103" s="414"/>
      <c r="AVT103" s="445"/>
      <c r="AVU103" s="414"/>
      <c r="AVX103" s="445"/>
      <c r="AVY103" s="414"/>
      <c r="AWB103" s="445"/>
      <c r="AWC103" s="414"/>
      <c r="AWF103" s="445"/>
      <c r="AWG103" s="414"/>
      <c r="AWJ103" s="445"/>
      <c r="AWK103" s="414"/>
      <c r="AWN103" s="445"/>
      <c r="AWO103" s="414"/>
      <c r="AWR103" s="445"/>
      <c r="AWS103" s="414"/>
      <c r="AWV103" s="445"/>
      <c r="AWW103" s="414"/>
      <c r="AWZ103" s="445"/>
      <c r="AXA103" s="414"/>
      <c r="AXD103" s="445"/>
      <c r="AXE103" s="414"/>
      <c r="AXH103" s="445"/>
      <c r="AXI103" s="414"/>
      <c r="AXL103" s="445"/>
      <c r="AXM103" s="414"/>
      <c r="AXP103" s="445"/>
      <c r="AXQ103" s="414"/>
      <c r="AXT103" s="445"/>
      <c r="AXU103" s="414"/>
      <c r="AXX103" s="445"/>
      <c r="AXY103" s="414"/>
      <c r="AYB103" s="445"/>
      <c r="AYC103" s="414"/>
      <c r="AYF103" s="445"/>
      <c r="AYG103" s="414"/>
      <c r="AYJ103" s="445"/>
      <c r="AYK103" s="414"/>
      <c r="AYN103" s="445"/>
      <c r="AYO103" s="414"/>
      <c r="AYR103" s="445"/>
      <c r="AYS103" s="414"/>
      <c r="AYV103" s="445"/>
      <c r="AYW103" s="414"/>
      <c r="AYZ103" s="445"/>
      <c r="AZA103" s="414"/>
      <c r="AZD103" s="445"/>
      <c r="AZE103" s="414"/>
      <c r="AZH103" s="445"/>
      <c r="AZI103" s="414"/>
      <c r="AZL103" s="445"/>
      <c r="AZM103" s="414"/>
      <c r="AZP103" s="445"/>
      <c r="AZQ103" s="414"/>
      <c r="AZT103" s="445"/>
      <c r="AZU103" s="414"/>
      <c r="AZX103" s="445"/>
      <c r="AZY103" s="414"/>
      <c r="BAB103" s="445"/>
      <c r="BAC103" s="414"/>
      <c r="BAF103" s="445"/>
      <c r="BAG103" s="414"/>
      <c r="BAJ103" s="445"/>
      <c r="BAK103" s="414"/>
      <c r="BAN103" s="445"/>
      <c r="BAO103" s="414"/>
      <c r="BAR103" s="445"/>
      <c r="BAS103" s="414"/>
      <c r="BAV103" s="445"/>
      <c r="BAW103" s="414"/>
      <c r="BAZ103" s="445"/>
      <c r="BBA103" s="414"/>
      <c r="BBD103" s="445"/>
      <c r="BBE103" s="414"/>
      <c r="BBH103" s="445"/>
      <c r="BBI103" s="414"/>
      <c r="BBL103" s="445"/>
      <c r="BBM103" s="414"/>
      <c r="BBP103" s="445"/>
      <c r="BBQ103" s="414"/>
      <c r="BBT103" s="445"/>
      <c r="BBU103" s="414"/>
      <c r="BBX103" s="445"/>
      <c r="BBY103" s="414"/>
      <c r="BCB103" s="445"/>
      <c r="BCC103" s="414"/>
      <c r="BCF103" s="445"/>
      <c r="BCG103" s="414"/>
      <c r="BCJ103" s="445"/>
      <c r="BCK103" s="414"/>
      <c r="BCN103" s="445"/>
      <c r="BCO103" s="414"/>
      <c r="BCR103" s="445"/>
      <c r="BCS103" s="414"/>
      <c r="BCV103" s="445"/>
      <c r="BCW103" s="414"/>
      <c r="BCZ103" s="445"/>
      <c r="BDA103" s="414"/>
      <c r="BDD103" s="445"/>
      <c r="BDE103" s="414"/>
      <c r="BDH103" s="445"/>
      <c r="BDI103" s="414"/>
      <c r="BDL103" s="445"/>
      <c r="BDM103" s="414"/>
      <c r="BDP103" s="445"/>
      <c r="BDQ103" s="414"/>
      <c r="BDT103" s="445"/>
      <c r="BDU103" s="414"/>
      <c r="BDX103" s="445"/>
      <c r="BDY103" s="414"/>
      <c r="BEB103" s="445"/>
      <c r="BEC103" s="414"/>
      <c r="BEF103" s="445"/>
      <c r="BEG103" s="414"/>
      <c r="BEJ103" s="445"/>
      <c r="BEK103" s="414"/>
      <c r="BEN103" s="445"/>
      <c r="BEO103" s="414"/>
      <c r="BER103" s="445"/>
      <c r="BES103" s="414"/>
      <c r="BEV103" s="445"/>
      <c r="BEW103" s="414"/>
      <c r="BEZ103" s="445"/>
      <c r="BFA103" s="414"/>
      <c r="BFD103" s="445"/>
      <c r="BFE103" s="414"/>
      <c r="BFH103" s="445"/>
      <c r="BFI103" s="414"/>
      <c r="BFL103" s="445"/>
      <c r="BFM103" s="414"/>
      <c r="BFP103" s="445"/>
      <c r="BFQ103" s="414"/>
      <c r="BFT103" s="445"/>
      <c r="BFU103" s="414"/>
      <c r="BFX103" s="445"/>
      <c r="BFY103" s="414"/>
      <c r="BGB103" s="445"/>
      <c r="BGC103" s="414"/>
      <c r="BGF103" s="445"/>
      <c r="BGG103" s="414"/>
      <c r="BGJ103" s="445"/>
      <c r="BGK103" s="414"/>
      <c r="BGN103" s="445"/>
      <c r="BGO103" s="414"/>
      <c r="BGR103" s="445"/>
      <c r="BGS103" s="414"/>
      <c r="BGV103" s="445"/>
      <c r="BGW103" s="414"/>
      <c r="BGZ103" s="445"/>
      <c r="BHA103" s="414"/>
      <c r="BHD103" s="445"/>
      <c r="BHE103" s="414"/>
      <c r="BHH103" s="445"/>
      <c r="BHI103" s="414"/>
      <c r="BHL103" s="445"/>
      <c r="BHM103" s="414"/>
      <c r="BHP103" s="445"/>
      <c r="BHQ103" s="414"/>
      <c r="BHT103" s="445"/>
      <c r="BHU103" s="414"/>
      <c r="BHX103" s="445"/>
      <c r="BHY103" s="414"/>
      <c r="BIB103" s="445"/>
      <c r="BIC103" s="414"/>
      <c r="BIF103" s="445"/>
      <c r="BIG103" s="414"/>
      <c r="BIJ103" s="445"/>
      <c r="BIK103" s="414"/>
      <c r="BIN103" s="445"/>
      <c r="BIO103" s="414"/>
      <c r="BIR103" s="445"/>
      <c r="BIS103" s="414"/>
      <c r="BIV103" s="445"/>
      <c r="BIW103" s="414"/>
      <c r="BIZ103" s="445"/>
      <c r="BJA103" s="414"/>
      <c r="BJD103" s="445"/>
      <c r="BJE103" s="414"/>
      <c r="BJH103" s="445"/>
      <c r="BJI103" s="414"/>
      <c r="BJL103" s="445"/>
      <c r="BJM103" s="414"/>
      <c r="BJP103" s="445"/>
      <c r="BJQ103" s="414"/>
      <c r="BJT103" s="445"/>
      <c r="BJU103" s="414"/>
      <c r="BJX103" s="445"/>
      <c r="BJY103" s="414"/>
      <c r="BKB103" s="445"/>
      <c r="BKC103" s="414"/>
      <c r="BKF103" s="445"/>
      <c r="BKG103" s="414"/>
      <c r="BKJ103" s="445"/>
      <c r="BKK103" s="414"/>
      <c r="BKN103" s="445"/>
      <c r="BKO103" s="414"/>
      <c r="BKR103" s="445"/>
      <c r="BKS103" s="414"/>
      <c r="BKV103" s="445"/>
      <c r="BKW103" s="414"/>
      <c r="BKZ103" s="445"/>
      <c r="BLA103" s="414"/>
      <c r="BLD103" s="445"/>
      <c r="BLE103" s="414"/>
      <c r="BLH103" s="445"/>
      <c r="BLI103" s="414"/>
      <c r="BLL103" s="445"/>
      <c r="BLM103" s="414"/>
      <c r="BLP103" s="445"/>
      <c r="BLQ103" s="414"/>
      <c r="BLT103" s="445"/>
      <c r="BLU103" s="414"/>
      <c r="BLX103" s="445"/>
      <c r="BLY103" s="414"/>
      <c r="BMB103" s="445"/>
      <c r="BMC103" s="414"/>
      <c r="BMF103" s="445"/>
      <c r="BMG103" s="414"/>
      <c r="BMJ103" s="445"/>
      <c r="BMK103" s="414"/>
      <c r="BMN103" s="445"/>
      <c r="BMO103" s="414"/>
      <c r="BMR103" s="445"/>
      <c r="BMS103" s="414"/>
      <c r="BMV103" s="445"/>
      <c r="BMW103" s="414"/>
      <c r="BMZ103" s="445"/>
      <c r="BNA103" s="414"/>
      <c r="BND103" s="445"/>
      <c r="BNE103" s="414"/>
      <c r="BNH103" s="445"/>
      <c r="BNI103" s="414"/>
      <c r="BNL103" s="445"/>
      <c r="BNM103" s="414"/>
      <c r="BNP103" s="445"/>
      <c r="BNQ103" s="414"/>
      <c r="BNT103" s="445"/>
      <c r="BNU103" s="414"/>
      <c r="BNX103" s="445"/>
      <c r="BNY103" s="414"/>
      <c r="BOB103" s="445"/>
      <c r="BOC103" s="414"/>
      <c r="BOF103" s="445"/>
      <c r="BOG103" s="414"/>
      <c r="BOJ103" s="445"/>
      <c r="BOK103" s="414"/>
      <c r="BON103" s="445"/>
      <c r="BOO103" s="414"/>
      <c r="BOR103" s="445"/>
      <c r="BOS103" s="414"/>
      <c r="BOV103" s="445"/>
      <c r="BOW103" s="414"/>
      <c r="BOZ103" s="445"/>
      <c r="BPA103" s="414"/>
      <c r="BPD103" s="445"/>
      <c r="BPE103" s="414"/>
      <c r="BPH103" s="445"/>
      <c r="BPI103" s="414"/>
      <c r="BPL103" s="445"/>
      <c r="BPM103" s="414"/>
      <c r="BPP103" s="445"/>
      <c r="BPQ103" s="414"/>
      <c r="BPT103" s="445"/>
      <c r="BPU103" s="414"/>
      <c r="BPX103" s="445"/>
      <c r="BPY103" s="414"/>
      <c r="BQB103" s="445"/>
      <c r="BQC103" s="414"/>
      <c r="BQF103" s="445"/>
      <c r="BQG103" s="414"/>
      <c r="BQJ103" s="445"/>
      <c r="BQK103" s="414"/>
      <c r="BQN103" s="445"/>
      <c r="BQO103" s="414"/>
      <c r="BQR103" s="445"/>
      <c r="BQS103" s="414"/>
      <c r="BQV103" s="445"/>
      <c r="BQW103" s="414"/>
      <c r="BQZ103" s="445"/>
      <c r="BRA103" s="414"/>
      <c r="BRD103" s="445"/>
      <c r="BRE103" s="414"/>
      <c r="BRH103" s="445"/>
      <c r="BRI103" s="414"/>
      <c r="BRL103" s="445"/>
      <c r="BRM103" s="414"/>
      <c r="BRP103" s="445"/>
      <c r="BRQ103" s="414"/>
      <c r="BRT103" s="445"/>
      <c r="BRU103" s="414"/>
      <c r="BRX103" s="445"/>
      <c r="BRY103" s="414"/>
      <c r="BSB103" s="445"/>
      <c r="BSC103" s="414"/>
      <c r="BSF103" s="445"/>
      <c r="BSG103" s="414"/>
      <c r="BSJ103" s="445"/>
      <c r="BSK103" s="414"/>
      <c r="BSN103" s="445"/>
      <c r="BSO103" s="414"/>
      <c r="BSR103" s="445"/>
      <c r="BSS103" s="414"/>
      <c r="BSV103" s="445"/>
      <c r="BSW103" s="414"/>
      <c r="BSZ103" s="445"/>
      <c r="BTA103" s="414"/>
      <c r="BTD103" s="445"/>
      <c r="BTE103" s="414"/>
      <c r="BTH103" s="445"/>
      <c r="BTI103" s="414"/>
      <c r="BTL103" s="445"/>
      <c r="BTM103" s="414"/>
      <c r="BTP103" s="445"/>
      <c r="BTQ103" s="414"/>
      <c r="BTT103" s="445"/>
      <c r="BTU103" s="414"/>
      <c r="BTX103" s="445"/>
      <c r="BTY103" s="414"/>
      <c r="BUB103" s="445"/>
      <c r="BUC103" s="414"/>
      <c r="BUF103" s="445"/>
      <c r="BUG103" s="414"/>
      <c r="BUJ103" s="445"/>
      <c r="BUK103" s="414"/>
      <c r="BUN103" s="445"/>
      <c r="BUO103" s="414"/>
      <c r="BUR103" s="445"/>
      <c r="BUS103" s="414"/>
      <c r="BUV103" s="445"/>
      <c r="BUW103" s="414"/>
      <c r="BUZ103" s="445"/>
      <c r="BVA103" s="414"/>
      <c r="BVD103" s="445"/>
      <c r="BVE103" s="414"/>
      <c r="BVH103" s="445"/>
      <c r="BVI103" s="414"/>
      <c r="BVL103" s="445"/>
      <c r="BVM103" s="414"/>
      <c r="BVP103" s="445"/>
      <c r="BVQ103" s="414"/>
      <c r="BVT103" s="445"/>
      <c r="BVU103" s="414"/>
      <c r="BVX103" s="445"/>
      <c r="BVY103" s="414"/>
      <c r="BWB103" s="445"/>
      <c r="BWC103" s="414"/>
      <c r="BWF103" s="445"/>
      <c r="BWG103" s="414"/>
      <c r="BWJ103" s="445"/>
      <c r="BWK103" s="414"/>
      <c r="BWN103" s="445"/>
      <c r="BWO103" s="414"/>
      <c r="BWR103" s="445"/>
      <c r="BWS103" s="414"/>
      <c r="BWV103" s="445"/>
      <c r="BWW103" s="414"/>
      <c r="BWZ103" s="445"/>
      <c r="BXA103" s="414"/>
      <c r="BXD103" s="445"/>
      <c r="BXE103" s="414"/>
      <c r="BXH103" s="445"/>
      <c r="BXI103" s="414"/>
      <c r="BXL103" s="445"/>
      <c r="BXM103" s="414"/>
      <c r="BXP103" s="445"/>
      <c r="BXQ103" s="414"/>
      <c r="BXT103" s="445"/>
      <c r="BXU103" s="414"/>
      <c r="BXX103" s="445"/>
      <c r="BXY103" s="414"/>
      <c r="BYB103" s="445"/>
      <c r="BYC103" s="414"/>
      <c r="BYF103" s="445"/>
      <c r="BYG103" s="414"/>
      <c r="BYJ103" s="445"/>
      <c r="BYK103" s="414"/>
      <c r="BYN103" s="445"/>
      <c r="BYO103" s="414"/>
      <c r="BYR103" s="445"/>
      <c r="BYS103" s="414"/>
      <c r="BYV103" s="445"/>
      <c r="BYW103" s="414"/>
      <c r="BYZ103" s="445"/>
      <c r="BZA103" s="414"/>
      <c r="BZD103" s="445"/>
      <c r="BZE103" s="414"/>
      <c r="BZH103" s="445"/>
      <c r="BZI103" s="414"/>
      <c r="BZL103" s="445"/>
      <c r="BZM103" s="414"/>
      <c r="BZP103" s="445"/>
      <c r="BZQ103" s="414"/>
      <c r="BZT103" s="445"/>
      <c r="BZU103" s="414"/>
      <c r="BZX103" s="445"/>
      <c r="BZY103" s="414"/>
      <c r="CAB103" s="445"/>
      <c r="CAC103" s="414"/>
      <c r="CAF103" s="445"/>
      <c r="CAG103" s="414"/>
      <c r="CAJ103" s="445"/>
      <c r="CAK103" s="414"/>
      <c r="CAN103" s="445"/>
      <c r="CAO103" s="414"/>
      <c r="CAR103" s="445"/>
      <c r="CAS103" s="414"/>
      <c r="CAV103" s="445"/>
      <c r="CAW103" s="414"/>
      <c r="CAZ103" s="445"/>
      <c r="CBA103" s="414"/>
      <c r="CBD103" s="445"/>
      <c r="CBE103" s="414"/>
      <c r="CBH103" s="445"/>
      <c r="CBI103" s="414"/>
      <c r="CBL103" s="445"/>
      <c r="CBM103" s="414"/>
      <c r="CBP103" s="445"/>
      <c r="CBQ103" s="414"/>
      <c r="CBT103" s="445"/>
      <c r="CBU103" s="414"/>
      <c r="CBX103" s="445"/>
      <c r="CBY103" s="414"/>
      <c r="CCB103" s="445"/>
      <c r="CCC103" s="414"/>
      <c r="CCF103" s="445"/>
      <c r="CCG103" s="414"/>
      <c r="CCJ103" s="445"/>
      <c r="CCK103" s="414"/>
      <c r="CCN103" s="445"/>
      <c r="CCO103" s="414"/>
      <c r="CCR103" s="445"/>
      <c r="CCS103" s="414"/>
      <c r="CCV103" s="445"/>
      <c r="CCW103" s="414"/>
      <c r="CCZ103" s="445"/>
      <c r="CDA103" s="414"/>
      <c r="CDD103" s="445"/>
      <c r="CDE103" s="414"/>
      <c r="CDH103" s="445"/>
      <c r="CDI103" s="414"/>
      <c r="CDL103" s="445"/>
      <c r="CDM103" s="414"/>
      <c r="CDP103" s="445"/>
      <c r="CDQ103" s="414"/>
      <c r="CDT103" s="445"/>
      <c r="CDU103" s="414"/>
      <c r="CDX103" s="445"/>
      <c r="CDY103" s="414"/>
      <c r="CEB103" s="445"/>
      <c r="CEC103" s="414"/>
      <c r="CEF103" s="445"/>
      <c r="CEG103" s="414"/>
      <c r="CEJ103" s="445"/>
      <c r="CEK103" s="414"/>
      <c r="CEN103" s="445"/>
      <c r="CEO103" s="414"/>
      <c r="CER103" s="445"/>
      <c r="CES103" s="414"/>
      <c r="CEV103" s="445"/>
      <c r="CEW103" s="414"/>
      <c r="CEZ103" s="445"/>
      <c r="CFA103" s="414"/>
      <c r="CFD103" s="445"/>
      <c r="CFE103" s="414"/>
      <c r="CFH103" s="445"/>
      <c r="CFI103" s="414"/>
      <c r="CFL103" s="445"/>
      <c r="CFM103" s="414"/>
      <c r="CFP103" s="445"/>
      <c r="CFQ103" s="414"/>
      <c r="CFT103" s="445"/>
      <c r="CFU103" s="414"/>
      <c r="CFX103" s="445"/>
      <c r="CFY103" s="414"/>
      <c r="CGB103" s="445"/>
      <c r="CGC103" s="414"/>
      <c r="CGF103" s="445"/>
      <c r="CGG103" s="414"/>
      <c r="CGJ103" s="445"/>
      <c r="CGK103" s="414"/>
      <c r="CGN103" s="445"/>
      <c r="CGO103" s="414"/>
      <c r="CGR103" s="445"/>
      <c r="CGS103" s="414"/>
      <c r="CGV103" s="445"/>
      <c r="CGW103" s="414"/>
      <c r="CGZ103" s="445"/>
      <c r="CHA103" s="414"/>
      <c r="CHD103" s="445"/>
      <c r="CHE103" s="414"/>
      <c r="CHH103" s="445"/>
      <c r="CHI103" s="414"/>
      <c r="CHL103" s="445"/>
      <c r="CHM103" s="414"/>
      <c r="CHP103" s="445"/>
      <c r="CHQ103" s="414"/>
      <c r="CHT103" s="445"/>
      <c r="CHU103" s="414"/>
      <c r="CHX103" s="445"/>
      <c r="CHY103" s="414"/>
      <c r="CIB103" s="445"/>
      <c r="CIC103" s="414"/>
      <c r="CIF103" s="445"/>
      <c r="CIG103" s="414"/>
      <c r="CIJ103" s="445"/>
      <c r="CIK103" s="414"/>
      <c r="CIN103" s="445"/>
      <c r="CIO103" s="414"/>
      <c r="CIR103" s="445"/>
      <c r="CIS103" s="414"/>
      <c r="CIV103" s="445"/>
      <c r="CIW103" s="414"/>
      <c r="CIZ103" s="445"/>
      <c r="CJA103" s="414"/>
      <c r="CJD103" s="445"/>
      <c r="CJE103" s="414"/>
      <c r="CJH103" s="445"/>
      <c r="CJI103" s="414"/>
      <c r="CJL103" s="445"/>
      <c r="CJM103" s="414"/>
      <c r="CJP103" s="445"/>
      <c r="CJQ103" s="414"/>
      <c r="CJT103" s="445"/>
      <c r="CJU103" s="414"/>
      <c r="CJX103" s="445"/>
      <c r="CJY103" s="414"/>
      <c r="CKB103" s="445"/>
      <c r="CKC103" s="414"/>
      <c r="CKF103" s="445"/>
      <c r="CKG103" s="414"/>
      <c r="CKJ103" s="445"/>
      <c r="CKK103" s="414"/>
      <c r="CKN103" s="445"/>
      <c r="CKO103" s="414"/>
      <c r="CKR103" s="445"/>
      <c r="CKS103" s="414"/>
      <c r="CKV103" s="445"/>
      <c r="CKW103" s="414"/>
      <c r="CKZ103" s="445"/>
      <c r="CLA103" s="414"/>
      <c r="CLD103" s="445"/>
      <c r="CLE103" s="414"/>
      <c r="CLH103" s="445"/>
      <c r="CLI103" s="414"/>
      <c r="CLL103" s="445"/>
      <c r="CLM103" s="414"/>
      <c r="CLP103" s="445"/>
      <c r="CLQ103" s="414"/>
      <c r="CLT103" s="445"/>
      <c r="CLU103" s="414"/>
      <c r="CLX103" s="445"/>
      <c r="CLY103" s="414"/>
      <c r="CMB103" s="445"/>
      <c r="CMC103" s="414"/>
      <c r="CMF103" s="445"/>
      <c r="CMG103" s="414"/>
      <c r="CMJ103" s="445"/>
      <c r="CMK103" s="414"/>
      <c r="CMN103" s="445"/>
      <c r="CMO103" s="414"/>
      <c r="CMR103" s="445"/>
      <c r="CMS103" s="414"/>
      <c r="CMV103" s="445"/>
      <c r="CMW103" s="414"/>
      <c r="CMZ103" s="445"/>
      <c r="CNA103" s="414"/>
      <c r="CND103" s="445"/>
      <c r="CNE103" s="414"/>
      <c r="CNH103" s="445"/>
      <c r="CNI103" s="414"/>
      <c r="CNL103" s="445"/>
      <c r="CNM103" s="414"/>
      <c r="CNP103" s="445"/>
      <c r="CNQ103" s="414"/>
      <c r="CNT103" s="445"/>
      <c r="CNU103" s="414"/>
      <c r="CNX103" s="445"/>
      <c r="CNY103" s="414"/>
      <c r="COB103" s="445"/>
      <c r="COC103" s="414"/>
      <c r="COF103" s="445"/>
      <c r="COG103" s="414"/>
      <c r="COJ103" s="445"/>
      <c r="COK103" s="414"/>
      <c r="CON103" s="445"/>
      <c r="COO103" s="414"/>
      <c r="COR103" s="445"/>
      <c r="COS103" s="414"/>
      <c r="COV103" s="445"/>
      <c r="COW103" s="414"/>
      <c r="COZ103" s="445"/>
      <c r="CPA103" s="414"/>
      <c r="CPD103" s="445"/>
      <c r="CPE103" s="414"/>
      <c r="CPH103" s="445"/>
      <c r="CPI103" s="414"/>
      <c r="CPL103" s="445"/>
      <c r="CPM103" s="414"/>
      <c r="CPP103" s="445"/>
      <c r="CPQ103" s="414"/>
      <c r="CPT103" s="445"/>
      <c r="CPU103" s="414"/>
      <c r="CPX103" s="445"/>
      <c r="CPY103" s="414"/>
      <c r="CQB103" s="445"/>
      <c r="CQC103" s="414"/>
      <c r="CQF103" s="445"/>
      <c r="CQG103" s="414"/>
      <c r="CQJ103" s="445"/>
      <c r="CQK103" s="414"/>
      <c r="CQN103" s="445"/>
      <c r="CQO103" s="414"/>
      <c r="CQR103" s="445"/>
      <c r="CQS103" s="414"/>
      <c r="CQV103" s="445"/>
      <c r="CQW103" s="414"/>
      <c r="CQZ103" s="445"/>
      <c r="CRA103" s="414"/>
      <c r="CRD103" s="445"/>
      <c r="CRE103" s="414"/>
      <c r="CRH103" s="445"/>
      <c r="CRI103" s="414"/>
      <c r="CRL103" s="445"/>
      <c r="CRM103" s="414"/>
      <c r="CRP103" s="445"/>
      <c r="CRQ103" s="414"/>
      <c r="CRT103" s="445"/>
      <c r="CRU103" s="414"/>
      <c r="CRX103" s="445"/>
      <c r="CRY103" s="414"/>
      <c r="CSB103" s="445"/>
      <c r="CSC103" s="414"/>
      <c r="CSF103" s="445"/>
      <c r="CSG103" s="414"/>
      <c r="CSJ103" s="445"/>
      <c r="CSK103" s="414"/>
      <c r="CSN103" s="445"/>
      <c r="CSO103" s="414"/>
      <c r="CSR103" s="445"/>
      <c r="CSS103" s="414"/>
      <c r="CSV103" s="445"/>
      <c r="CSW103" s="414"/>
      <c r="CSZ103" s="445"/>
      <c r="CTA103" s="414"/>
      <c r="CTD103" s="445"/>
      <c r="CTE103" s="414"/>
      <c r="CTH103" s="445"/>
      <c r="CTI103" s="414"/>
      <c r="CTL103" s="445"/>
      <c r="CTM103" s="414"/>
      <c r="CTP103" s="445"/>
      <c r="CTQ103" s="414"/>
      <c r="CTT103" s="445"/>
      <c r="CTU103" s="414"/>
      <c r="CTX103" s="445"/>
      <c r="CTY103" s="414"/>
      <c r="CUB103" s="445"/>
      <c r="CUC103" s="414"/>
      <c r="CUF103" s="445"/>
      <c r="CUG103" s="414"/>
      <c r="CUJ103" s="445"/>
      <c r="CUK103" s="414"/>
      <c r="CUN103" s="445"/>
      <c r="CUO103" s="414"/>
      <c r="CUR103" s="445"/>
      <c r="CUS103" s="414"/>
      <c r="CUV103" s="445"/>
      <c r="CUW103" s="414"/>
      <c r="CUZ103" s="445"/>
      <c r="CVA103" s="414"/>
      <c r="CVD103" s="445"/>
      <c r="CVE103" s="414"/>
      <c r="CVH103" s="445"/>
      <c r="CVI103" s="414"/>
      <c r="CVL103" s="445"/>
      <c r="CVM103" s="414"/>
      <c r="CVP103" s="445"/>
      <c r="CVQ103" s="414"/>
      <c r="CVT103" s="445"/>
      <c r="CVU103" s="414"/>
      <c r="CVX103" s="445"/>
      <c r="CVY103" s="414"/>
      <c r="CWB103" s="445"/>
      <c r="CWC103" s="414"/>
      <c r="CWF103" s="445"/>
      <c r="CWG103" s="414"/>
      <c r="CWJ103" s="445"/>
      <c r="CWK103" s="414"/>
      <c r="CWN103" s="445"/>
      <c r="CWO103" s="414"/>
      <c r="CWR103" s="445"/>
      <c r="CWS103" s="414"/>
      <c r="CWV103" s="445"/>
      <c r="CWW103" s="414"/>
      <c r="CWZ103" s="445"/>
      <c r="CXA103" s="414"/>
      <c r="CXD103" s="445"/>
      <c r="CXE103" s="414"/>
      <c r="CXH103" s="445"/>
      <c r="CXI103" s="414"/>
      <c r="CXL103" s="445"/>
      <c r="CXM103" s="414"/>
      <c r="CXP103" s="445"/>
      <c r="CXQ103" s="414"/>
      <c r="CXT103" s="445"/>
      <c r="CXU103" s="414"/>
      <c r="CXX103" s="445"/>
      <c r="CXY103" s="414"/>
      <c r="CYB103" s="445"/>
      <c r="CYC103" s="414"/>
      <c r="CYF103" s="445"/>
      <c r="CYG103" s="414"/>
      <c r="CYJ103" s="445"/>
      <c r="CYK103" s="414"/>
      <c r="CYN103" s="445"/>
      <c r="CYO103" s="414"/>
      <c r="CYR103" s="445"/>
      <c r="CYS103" s="414"/>
      <c r="CYV103" s="445"/>
      <c r="CYW103" s="414"/>
      <c r="CYZ103" s="445"/>
      <c r="CZA103" s="414"/>
      <c r="CZD103" s="445"/>
      <c r="CZE103" s="414"/>
      <c r="CZH103" s="445"/>
      <c r="CZI103" s="414"/>
      <c r="CZL103" s="445"/>
      <c r="CZM103" s="414"/>
      <c r="CZP103" s="445"/>
      <c r="CZQ103" s="414"/>
      <c r="CZT103" s="445"/>
      <c r="CZU103" s="414"/>
      <c r="CZX103" s="445"/>
      <c r="CZY103" s="414"/>
      <c r="DAB103" s="445"/>
      <c r="DAC103" s="414"/>
      <c r="DAF103" s="445"/>
      <c r="DAG103" s="414"/>
      <c r="DAJ103" s="445"/>
      <c r="DAK103" s="414"/>
      <c r="DAN103" s="445"/>
      <c r="DAO103" s="414"/>
      <c r="DAR103" s="445"/>
      <c r="DAS103" s="414"/>
      <c r="DAV103" s="445"/>
      <c r="DAW103" s="414"/>
      <c r="DAZ103" s="445"/>
      <c r="DBA103" s="414"/>
      <c r="DBD103" s="445"/>
      <c r="DBE103" s="414"/>
      <c r="DBH103" s="445"/>
      <c r="DBI103" s="414"/>
      <c r="DBL103" s="445"/>
      <c r="DBM103" s="414"/>
      <c r="DBP103" s="445"/>
      <c r="DBQ103" s="414"/>
      <c r="DBT103" s="445"/>
      <c r="DBU103" s="414"/>
      <c r="DBX103" s="445"/>
      <c r="DBY103" s="414"/>
      <c r="DCB103" s="445"/>
      <c r="DCC103" s="414"/>
      <c r="DCF103" s="445"/>
      <c r="DCG103" s="414"/>
      <c r="DCJ103" s="445"/>
      <c r="DCK103" s="414"/>
      <c r="DCN103" s="445"/>
      <c r="DCO103" s="414"/>
      <c r="DCR103" s="445"/>
      <c r="DCS103" s="414"/>
      <c r="DCV103" s="445"/>
      <c r="DCW103" s="414"/>
      <c r="DCZ103" s="445"/>
      <c r="DDA103" s="414"/>
      <c r="DDD103" s="445"/>
      <c r="DDE103" s="414"/>
      <c r="DDH103" s="445"/>
      <c r="DDI103" s="414"/>
      <c r="DDL103" s="445"/>
      <c r="DDM103" s="414"/>
      <c r="DDP103" s="445"/>
      <c r="DDQ103" s="414"/>
      <c r="DDT103" s="445"/>
      <c r="DDU103" s="414"/>
      <c r="DDX103" s="445"/>
      <c r="DDY103" s="414"/>
      <c r="DEB103" s="445"/>
      <c r="DEC103" s="414"/>
      <c r="DEF103" s="445"/>
      <c r="DEG103" s="414"/>
      <c r="DEJ103" s="445"/>
      <c r="DEK103" s="414"/>
      <c r="DEN103" s="445"/>
      <c r="DEO103" s="414"/>
      <c r="DER103" s="445"/>
      <c r="DES103" s="414"/>
      <c r="DEV103" s="445"/>
      <c r="DEW103" s="414"/>
      <c r="DEZ103" s="445"/>
      <c r="DFA103" s="414"/>
      <c r="DFD103" s="445"/>
      <c r="DFE103" s="414"/>
      <c r="DFH103" s="445"/>
      <c r="DFI103" s="414"/>
      <c r="DFL103" s="445"/>
      <c r="DFM103" s="414"/>
      <c r="DFP103" s="445"/>
      <c r="DFQ103" s="414"/>
      <c r="DFT103" s="445"/>
      <c r="DFU103" s="414"/>
      <c r="DFX103" s="445"/>
      <c r="DFY103" s="414"/>
      <c r="DGB103" s="445"/>
      <c r="DGC103" s="414"/>
      <c r="DGF103" s="445"/>
      <c r="DGG103" s="414"/>
      <c r="DGJ103" s="445"/>
      <c r="DGK103" s="414"/>
      <c r="DGN103" s="445"/>
      <c r="DGO103" s="414"/>
      <c r="DGR103" s="445"/>
      <c r="DGS103" s="414"/>
      <c r="DGV103" s="445"/>
      <c r="DGW103" s="414"/>
      <c r="DGZ103" s="445"/>
      <c r="DHA103" s="414"/>
      <c r="DHD103" s="445"/>
      <c r="DHE103" s="414"/>
      <c r="DHH103" s="445"/>
      <c r="DHI103" s="414"/>
      <c r="DHL103" s="445"/>
      <c r="DHM103" s="414"/>
      <c r="DHP103" s="445"/>
      <c r="DHQ103" s="414"/>
      <c r="DHT103" s="445"/>
      <c r="DHU103" s="414"/>
      <c r="DHX103" s="445"/>
      <c r="DHY103" s="414"/>
      <c r="DIB103" s="445"/>
      <c r="DIC103" s="414"/>
      <c r="DIF103" s="445"/>
      <c r="DIG103" s="414"/>
      <c r="DIJ103" s="445"/>
      <c r="DIK103" s="414"/>
      <c r="DIN103" s="445"/>
      <c r="DIO103" s="414"/>
      <c r="DIR103" s="445"/>
      <c r="DIS103" s="414"/>
      <c r="DIV103" s="445"/>
      <c r="DIW103" s="414"/>
      <c r="DIZ103" s="445"/>
      <c r="DJA103" s="414"/>
      <c r="DJD103" s="445"/>
      <c r="DJE103" s="414"/>
      <c r="DJH103" s="445"/>
      <c r="DJI103" s="414"/>
      <c r="DJL103" s="445"/>
      <c r="DJM103" s="414"/>
      <c r="DJP103" s="445"/>
      <c r="DJQ103" s="414"/>
      <c r="DJT103" s="445"/>
      <c r="DJU103" s="414"/>
      <c r="DJX103" s="445"/>
      <c r="DJY103" s="414"/>
      <c r="DKB103" s="445"/>
      <c r="DKC103" s="414"/>
      <c r="DKF103" s="445"/>
      <c r="DKG103" s="414"/>
      <c r="DKJ103" s="445"/>
      <c r="DKK103" s="414"/>
      <c r="DKN103" s="445"/>
      <c r="DKO103" s="414"/>
      <c r="DKR103" s="445"/>
      <c r="DKS103" s="414"/>
      <c r="DKV103" s="445"/>
      <c r="DKW103" s="414"/>
      <c r="DKZ103" s="445"/>
      <c r="DLA103" s="414"/>
      <c r="DLD103" s="445"/>
      <c r="DLE103" s="414"/>
      <c r="DLH103" s="445"/>
      <c r="DLI103" s="414"/>
      <c r="DLL103" s="445"/>
      <c r="DLM103" s="414"/>
      <c r="DLP103" s="445"/>
      <c r="DLQ103" s="414"/>
      <c r="DLT103" s="445"/>
      <c r="DLU103" s="414"/>
      <c r="DLX103" s="445"/>
      <c r="DLY103" s="414"/>
      <c r="DMB103" s="445"/>
      <c r="DMC103" s="414"/>
      <c r="DMF103" s="445"/>
      <c r="DMG103" s="414"/>
      <c r="DMJ103" s="445"/>
      <c r="DMK103" s="414"/>
      <c r="DMN103" s="445"/>
      <c r="DMO103" s="414"/>
      <c r="DMR103" s="445"/>
      <c r="DMS103" s="414"/>
      <c r="DMV103" s="445"/>
      <c r="DMW103" s="414"/>
      <c r="DMZ103" s="445"/>
      <c r="DNA103" s="414"/>
      <c r="DND103" s="445"/>
      <c r="DNE103" s="414"/>
      <c r="DNH103" s="445"/>
      <c r="DNI103" s="414"/>
      <c r="DNL103" s="445"/>
      <c r="DNM103" s="414"/>
      <c r="DNP103" s="445"/>
      <c r="DNQ103" s="414"/>
      <c r="DNT103" s="445"/>
      <c r="DNU103" s="414"/>
      <c r="DNX103" s="445"/>
      <c r="DNY103" s="414"/>
      <c r="DOB103" s="445"/>
      <c r="DOC103" s="414"/>
      <c r="DOF103" s="445"/>
      <c r="DOG103" s="414"/>
      <c r="DOJ103" s="445"/>
      <c r="DOK103" s="414"/>
      <c r="DON103" s="445"/>
      <c r="DOO103" s="414"/>
      <c r="DOR103" s="445"/>
      <c r="DOS103" s="414"/>
      <c r="DOV103" s="445"/>
      <c r="DOW103" s="414"/>
      <c r="DOZ103" s="445"/>
      <c r="DPA103" s="414"/>
      <c r="DPD103" s="445"/>
      <c r="DPE103" s="414"/>
      <c r="DPH103" s="445"/>
      <c r="DPI103" s="414"/>
      <c r="DPL103" s="445"/>
      <c r="DPM103" s="414"/>
      <c r="DPP103" s="445"/>
      <c r="DPQ103" s="414"/>
      <c r="DPT103" s="445"/>
      <c r="DPU103" s="414"/>
      <c r="DPX103" s="445"/>
      <c r="DPY103" s="414"/>
      <c r="DQB103" s="445"/>
      <c r="DQC103" s="414"/>
      <c r="DQF103" s="445"/>
      <c r="DQG103" s="414"/>
      <c r="DQJ103" s="445"/>
      <c r="DQK103" s="414"/>
      <c r="DQN103" s="445"/>
      <c r="DQO103" s="414"/>
      <c r="DQR103" s="445"/>
      <c r="DQS103" s="414"/>
      <c r="DQV103" s="445"/>
      <c r="DQW103" s="414"/>
      <c r="DQZ103" s="445"/>
      <c r="DRA103" s="414"/>
      <c r="DRD103" s="445"/>
      <c r="DRE103" s="414"/>
      <c r="DRH103" s="445"/>
      <c r="DRI103" s="414"/>
      <c r="DRL103" s="445"/>
      <c r="DRM103" s="414"/>
      <c r="DRP103" s="445"/>
      <c r="DRQ103" s="414"/>
      <c r="DRT103" s="445"/>
      <c r="DRU103" s="414"/>
      <c r="DRX103" s="445"/>
      <c r="DRY103" s="414"/>
      <c r="DSB103" s="445"/>
      <c r="DSC103" s="414"/>
      <c r="DSF103" s="445"/>
      <c r="DSG103" s="414"/>
      <c r="DSJ103" s="445"/>
      <c r="DSK103" s="414"/>
      <c r="DSN103" s="445"/>
      <c r="DSO103" s="414"/>
      <c r="DSR103" s="445"/>
      <c r="DSS103" s="414"/>
      <c r="DSV103" s="445"/>
      <c r="DSW103" s="414"/>
      <c r="DSZ103" s="445"/>
      <c r="DTA103" s="414"/>
      <c r="DTD103" s="445"/>
      <c r="DTE103" s="414"/>
      <c r="DTH103" s="445"/>
      <c r="DTI103" s="414"/>
      <c r="DTL103" s="445"/>
      <c r="DTM103" s="414"/>
      <c r="DTP103" s="445"/>
      <c r="DTQ103" s="414"/>
      <c r="DTT103" s="445"/>
      <c r="DTU103" s="414"/>
      <c r="DTX103" s="445"/>
      <c r="DTY103" s="414"/>
      <c r="DUB103" s="445"/>
      <c r="DUC103" s="414"/>
      <c r="DUF103" s="445"/>
      <c r="DUG103" s="414"/>
      <c r="DUJ103" s="445"/>
      <c r="DUK103" s="414"/>
      <c r="DUN103" s="445"/>
      <c r="DUO103" s="414"/>
      <c r="DUR103" s="445"/>
      <c r="DUS103" s="414"/>
      <c r="DUV103" s="445"/>
      <c r="DUW103" s="414"/>
      <c r="DUZ103" s="445"/>
      <c r="DVA103" s="414"/>
      <c r="DVD103" s="445"/>
      <c r="DVE103" s="414"/>
      <c r="DVH103" s="445"/>
      <c r="DVI103" s="414"/>
      <c r="DVL103" s="445"/>
      <c r="DVM103" s="414"/>
      <c r="DVP103" s="445"/>
      <c r="DVQ103" s="414"/>
      <c r="DVT103" s="445"/>
      <c r="DVU103" s="414"/>
      <c r="DVX103" s="445"/>
      <c r="DVY103" s="414"/>
      <c r="DWB103" s="445"/>
      <c r="DWC103" s="414"/>
      <c r="DWF103" s="445"/>
      <c r="DWG103" s="414"/>
      <c r="DWJ103" s="445"/>
      <c r="DWK103" s="414"/>
      <c r="DWN103" s="445"/>
      <c r="DWO103" s="414"/>
      <c r="DWR103" s="445"/>
      <c r="DWS103" s="414"/>
      <c r="DWV103" s="445"/>
      <c r="DWW103" s="414"/>
      <c r="DWZ103" s="445"/>
      <c r="DXA103" s="414"/>
      <c r="DXD103" s="445"/>
      <c r="DXE103" s="414"/>
      <c r="DXH103" s="445"/>
      <c r="DXI103" s="414"/>
      <c r="DXL103" s="445"/>
      <c r="DXM103" s="414"/>
      <c r="DXP103" s="445"/>
      <c r="DXQ103" s="414"/>
      <c r="DXT103" s="445"/>
      <c r="DXU103" s="414"/>
      <c r="DXX103" s="445"/>
      <c r="DXY103" s="414"/>
      <c r="DYB103" s="445"/>
      <c r="DYC103" s="414"/>
      <c r="DYF103" s="445"/>
      <c r="DYG103" s="414"/>
      <c r="DYJ103" s="445"/>
      <c r="DYK103" s="414"/>
      <c r="DYN103" s="445"/>
      <c r="DYO103" s="414"/>
      <c r="DYR103" s="445"/>
      <c r="DYS103" s="414"/>
      <c r="DYV103" s="445"/>
      <c r="DYW103" s="414"/>
      <c r="DYZ103" s="445"/>
      <c r="DZA103" s="414"/>
      <c r="DZD103" s="445"/>
      <c r="DZE103" s="414"/>
      <c r="DZH103" s="445"/>
      <c r="DZI103" s="414"/>
      <c r="DZL103" s="445"/>
      <c r="DZM103" s="414"/>
      <c r="DZP103" s="445"/>
      <c r="DZQ103" s="414"/>
      <c r="DZT103" s="445"/>
      <c r="DZU103" s="414"/>
      <c r="DZX103" s="445"/>
      <c r="DZY103" s="414"/>
      <c r="EAB103" s="445"/>
      <c r="EAC103" s="414"/>
      <c r="EAF103" s="445"/>
      <c r="EAG103" s="414"/>
      <c r="EAJ103" s="445"/>
      <c r="EAK103" s="414"/>
      <c r="EAN103" s="445"/>
      <c r="EAO103" s="414"/>
      <c r="EAR103" s="445"/>
      <c r="EAS103" s="414"/>
      <c r="EAV103" s="445"/>
      <c r="EAW103" s="414"/>
      <c r="EAZ103" s="445"/>
      <c r="EBA103" s="414"/>
      <c r="EBD103" s="445"/>
      <c r="EBE103" s="414"/>
      <c r="EBH103" s="445"/>
      <c r="EBI103" s="414"/>
      <c r="EBL103" s="445"/>
      <c r="EBM103" s="414"/>
      <c r="EBP103" s="445"/>
      <c r="EBQ103" s="414"/>
      <c r="EBT103" s="445"/>
      <c r="EBU103" s="414"/>
      <c r="EBX103" s="445"/>
      <c r="EBY103" s="414"/>
      <c r="ECB103" s="445"/>
      <c r="ECC103" s="414"/>
      <c r="ECF103" s="445"/>
      <c r="ECG103" s="414"/>
      <c r="ECJ103" s="445"/>
      <c r="ECK103" s="414"/>
      <c r="ECN103" s="445"/>
      <c r="ECO103" s="414"/>
      <c r="ECR103" s="445"/>
      <c r="ECS103" s="414"/>
      <c r="ECV103" s="445"/>
      <c r="ECW103" s="414"/>
      <c r="ECZ103" s="445"/>
      <c r="EDA103" s="414"/>
      <c r="EDD103" s="445"/>
      <c r="EDE103" s="414"/>
      <c r="EDH103" s="445"/>
      <c r="EDI103" s="414"/>
      <c r="EDL103" s="445"/>
      <c r="EDM103" s="414"/>
      <c r="EDP103" s="445"/>
      <c r="EDQ103" s="414"/>
      <c r="EDT103" s="445"/>
      <c r="EDU103" s="414"/>
      <c r="EDX103" s="445"/>
      <c r="EDY103" s="414"/>
      <c r="EEB103" s="445"/>
      <c r="EEC103" s="414"/>
      <c r="EEF103" s="445"/>
      <c r="EEG103" s="414"/>
      <c r="EEJ103" s="445"/>
      <c r="EEK103" s="414"/>
      <c r="EEN103" s="445"/>
      <c r="EEO103" s="414"/>
      <c r="EER103" s="445"/>
      <c r="EES103" s="414"/>
      <c r="EEV103" s="445"/>
      <c r="EEW103" s="414"/>
      <c r="EEZ103" s="445"/>
      <c r="EFA103" s="414"/>
      <c r="EFD103" s="445"/>
      <c r="EFE103" s="414"/>
      <c r="EFH103" s="445"/>
      <c r="EFI103" s="414"/>
      <c r="EFL103" s="445"/>
      <c r="EFM103" s="414"/>
      <c r="EFP103" s="445"/>
      <c r="EFQ103" s="414"/>
      <c r="EFT103" s="445"/>
      <c r="EFU103" s="414"/>
      <c r="EFX103" s="445"/>
      <c r="EFY103" s="414"/>
      <c r="EGB103" s="445"/>
      <c r="EGC103" s="414"/>
      <c r="EGF103" s="445"/>
      <c r="EGG103" s="414"/>
      <c r="EGJ103" s="445"/>
      <c r="EGK103" s="414"/>
      <c r="EGN103" s="445"/>
      <c r="EGO103" s="414"/>
      <c r="EGR103" s="445"/>
      <c r="EGS103" s="414"/>
      <c r="EGV103" s="445"/>
      <c r="EGW103" s="414"/>
      <c r="EGZ103" s="445"/>
      <c r="EHA103" s="414"/>
      <c r="EHD103" s="445"/>
      <c r="EHE103" s="414"/>
      <c r="EHH103" s="445"/>
      <c r="EHI103" s="414"/>
      <c r="EHL103" s="445"/>
      <c r="EHM103" s="414"/>
      <c r="EHP103" s="445"/>
      <c r="EHQ103" s="414"/>
      <c r="EHT103" s="445"/>
      <c r="EHU103" s="414"/>
      <c r="EHX103" s="445"/>
      <c r="EHY103" s="414"/>
      <c r="EIB103" s="445"/>
      <c r="EIC103" s="414"/>
      <c r="EIF103" s="445"/>
      <c r="EIG103" s="414"/>
      <c r="EIJ103" s="445"/>
      <c r="EIK103" s="414"/>
      <c r="EIN103" s="445"/>
      <c r="EIO103" s="414"/>
      <c r="EIR103" s="445"/>
      <c r="EIS103" s="414"/>
      <c r="EIV103" s="445"/>
      <c r="EIW103" s="414"/>
      <c r="EIZ103" s="445"/>
      <c r="EJA103" s="414"/>
      <c r="EJD103" s="445"/>
      <c r="EJE103" s="414"/>
      <c r="EJH103" s="445"/>
      <c r="EJI103" s="414"/>
      <c r="EJL103" s="445"/>
      <c r="EJM103" s="414"/>
      <c r="EJP103" s="445"/>
      <c r="EJQ103" s="414"/>
      <c r="EJT103" s="445"/>
      <c r="EJU103" s="414"/>
      <c r="EJX103" s="445"/>
      <c r="EJY103" s="414"/>
      <c r="EKB103" s="445"/>
      <c r="EKC103" s="414"/>
      <c r="EKF103" s="445"/>
      <c r="EKG103" s="414"/>
      <c r="EKJ103" s="445"/>
      <c r="EKK103" s="414"/>
      <c r="EKN103" s="445"/>
      <c r="EKO103" s="414"/>
      <c r="EKR103" s="445"/>
      <c r="EKS103" s="414"/>
      <c r="EKV103" s="445"/>
      <c r="EKW103" s="414"/>
      <c r="EKZ103" s="445"/>
      <c r="ELA103" s="414"/>
      <c r="ELD103" s="445"/>
      <c r="ELE103" s="414"/>
      <c r="ELH103" s="445"/>
      <c r="ELI103" s="414"/>
      <c r="ELL103" s="445"/>
      <c r="ELM103" s="414"/>
      <c r="ELP103" s="445"/>
      <c r="ELQ103" s="414"/>
      <c r="ELT103" s="445"/>
      <c r="ELU103" s="414"/>
      <c r="ELX103" s="445"/>
      <c r="ELY103" s="414"/>
      <c r="EMB103" s="445"/>
      <c r="EMC103" s="414"/>
      <c r="EMF103" s="445"/>
      <c r="EMG103" s="414"/>
      <c r="EMJ103" s="445"/>
      <c r="EMK103" s="414"/>
      <c r="EMN103" s="445"/>
      <c r="EMO103" s="414"/>
      <c r="EMR103" s="445"/>
      <c r="EMS103" s="414"/>
      <c r="EMV103" s="445"/>
      <c r="EMW103" s="414"/>
      <c r="EMZ103" s="445"/>
      <c r="ENA103" s="414"/>
      <c r="END103" s="445"/>
      <c r="ENE103" s="414"/>
      <c r="ENH103" s="445"/>
      <c r="ENI103" s="414"/>
      <c r="ENL103" s="445"/>
      <c r="ENM103" s="414"/>
      <c r="ENP103" s="445"/>
      <c r="ENQ103" s="414"/>
      <c r="ENT103" s="445"/>
      <c r="ENU103" s="414"/>
      <c r="ENX103" s="445"/>
      <c r="ENY103" s="414"/>
      <c r="EOB103" s="445"/>
      <c r="EOC103" s="414"/>
      <c r="EOF103" s="445"/>
      <c r="EOG103" s="414"/>
      <c r="EOJ103" s="445"/>
      <c r="EOK103" s="414"/>
      <c r="EON103" s="445"/>
      <c r="EOO103" s="414"/>
      <c r="EOR103" s="445"/>
      <c r="EOS103" s="414"/>
      <c r="EOV103" s="445"/>
      <c r="EOW103" s="414"/>
      <c r="EOZ103" s="445"/>
      <c r="EPA103" s="414"/>
      <c r="EPD103" s="445"/>
      <c r="EPE103" s="414"/>
      <c r="EPH103" s="445"/>
      <c r="EPI103" s="414"/>
      <c r="EPL103" s="445"/>
      <c r="EPM103" s="414"/>
      <c r="EPP103" s="445"/>
      <c r="EPQ103" s="414"/>
      <c r="EPT103" s="445"/>
      <c r="EPU103" s="414"/>
      <c r="EPX103" s="445"/>
      <c r="EPY103" s="414"/>
      <c r="EQB103" s="445"/>
      <c r="EQC103" s="414"/>
      <c r="EQF103" s="445"/>
      <c r="EQG103" s="414"/>
      <c r="EQJ103" s="445"/>
      <c r="EQK103" s="414"/>
      <c r="EQN103" s="445"/>
      <c r="EQO103" s="414"/>
      <c r="EQR103" s="445"/>
      <c r="EQS103" s="414"/>
      <c r="EQV103" s="445"/>
      <c r="EQW103" s="414"/>
      <c r="EQZ103" s="445"/>
      <c r="ERA103" s="414"/>
      <c r="ERD103" s="445"/>
      <c r="ERE103" s="414"/>
      <c r="ERH103" s="445"/>
      <c r="ERI103" s="414"/>
      <c r="ERL103" s="445"/>
      <c r="ERM103" s="414"/>
      <c r="ERP103" s="445"/>
      <c r="ERQ103" s="414"/>
      <c r="ERT103" s="445"/>
      <c r="ERU103" s="414"/>
      <c r="ERX103" s="445"/>
      <c r="ERY103" s="414"/>
      <c r="ESB103" s="445"/>
      <c r="ESC103" s="414"/>
      <c r="ESF103" s="445"/>
      <c r="ESG103" s="414"/>
      <c r="ESJ103" s="445"/>
      <c r="ESK103" s="414"/>
      <c r="ESN103" s="445"/>
      <c r="ESO103" s="414"/>
      <c r="ESR103" s="445"/>
      <c r="ESS103" s="414"/>
      <c r="ESV103" s="445"/>
      <c r="ESW103" s="414"/>
      <c r="ESZ103" s="445"/>
      <c r="ETA103" s="414"/>
      <c r="ETD103" s="445"/>
      <c r="ETE103" s="414"/>
      <c r="ETH103" s="445"/>
      <c r="ETI103" s="414"/>
      <c r="ETL103" s="445"/>
      <c r="ETM103" s="414"/>
      <c r="ETP103" s="445"/>
      <c r="ETQ103" s="414"/>
      <c r="ETT103" s="445"/>
      <c r="ETU103" s="414"/>
      <c r="ETX103" s="445"/>
      <c r="ETY103" s="414"/>
      <c r="EUB103" s="445"/>
      <c r="EUC103" s="414"/>
      <c r="EUF103" s="445"/>
      <c r="EUG103" s="414"/>
      <c r="EUJ103" s="445"/>
      <c r="EUK103" s="414"/>
      <c r="EUN103" s="445"/>
      <c r="EUO103" s="414"/>
      <c r="EUR103" s="445"/>
      <c r="EUS103" s="414"/>
      <c r="EUV103" s="445"/>
      <c r="EUW103" s="414"/>
      <c r="EUZ103" s="445"/>
      <c r="EVA103" s="414"/>
      <c r="EVD103" s="445"/>
      <c r="EVE103" s="414"/>
      <c r="EVH103" s="445"/>
      <c r="EVI103" s="414"/>
      <c r="EVL103" s="445"/>
      <c r="EVM103" s="414"/>
      <c r="EVP103" s="445"/>
      <c r="EVQ103" s="414"/>
      <c r="EVT103" s="445"/>
      <c r="EVU103" s="414"/>
      <c r="EVX103" s="445"/>
      <c r="EVY103" s="414"/>
      <c r="EWB103" s="445"/>
      <c r="EWC103" s="414"/>
      <c r="EWF103" s="445"/>
      <c r="EWG103" s="414"/>
      <c r="EWJ103" s="445"/>
      <c r="EWK103" s="414"/>
      <c r="EWN103" s="445"/>
      <c r="EWO103" s="414"/>
      <c r="EWR103" s="445"/>
      <c r="EWS103" s="414"/>
      <c r="EWV103" s="445"/>
      <c r="EWW103" s="414"/>
      <c r="EWZ103" s="445"/>
      <c r="EXA103" s="414"/>
      <c r="EXD103" s="445"/>
      <c r="EXE103" s="414"/>
      <c r="EXH103" s="445"/>
      <c r="EXI103" s="414"/>
      <c r="EXL103" s="445"/>
      <c r="EXM103" s="414"/>
      <c r="EXP103" s="445"/>
      <c r="EXQ103" s="414"/>
      <c r="EXT103" s="445"/>
      <c r="EXU103" s="414"/>
      <c r="EXX103" s="445"/>
      <c r="EXY103" s="414"/>
      <c r="EYB103" s="445"/>
      <c r="EYC103" s="414"/>
      <c r="EYF103" s="445"/>
      <c r="EYG103" s="414"/>
      <c r="EYJ103" s="445"/>
      <c r="EYK103" s="414"/>
      <c r="EYN103" s="445"/>
      <c r="EYO103" s="414"/>
      <c r="EYR103" s="445"/>
      <c r="EYS103" s="414"/>
      <c r="EYV103" s="445"/>
      <c r="EYW103" s="414"/>
      <c r="EYZ103" s="445"/>
      <c r="EZA103" s="414"/>
      <c r="EZD103" s="445"/>
      <c r="EZE103" s="414"/>
      <c r="EZH103" s="445"/>
      <c r="EZI103" s="414"/>
      <c r="EZL103" s="445"/>
      <c r="EZM103" s="414"/>
      <c r="EZP103" s="445"/>
      <c r="EZQ103" s="414"/>
      <c r="EZT103" s="445"/>
      <c r="EZU103" s="414"/>
      <c r="EZX103" s="445"/>
      <c r="EZY103" s="414"/>
      <c r="FAB103" s="445"/>
      <c r="FAC103" s="414"/>
      <c r="FAF103" s="445"/>
      <c r="FAG103" s="414"/>
      <c r="FAJ103" s="445"/>
      <c r="FAK103" s="414"/>
      <c r="FAN103" s="445"/>
      <c r="FAO103" s="414"/>
      <c r="FAR103" s="445"/>
      <c r="FAS103" s="414"/>
      <c r="FAV103" s="445"/>
      <c r="FAW103" s="414"/>
      <c r="FAZ103" s="445"/>
      <c r="FBA103" s="414"/>
      <c r="FBD103" s="445"/>
      <c r="FBE103" s="414"/>
      <c r="FBH103" s="445"/>
      <c r="FBI103" s="414"/>
      <c r="FBL103" s="445"/>
      <c r="FBM103" s="414"/>
      <c r="FBP103" s="445"/>
      <c r="FBQ103" s="414"/>
      <c r="FBT103" s="445"/>
      <c r="FBU103" s="414"/>
      <c r="FBX103" s="445"/>
      <c r="FBY103" s="414"/>
      <c r="FCB103" s="445"/>
      <c r="FCC103" s="414"/>
      <c r="FCF103" s="445"/>
      <c r="FCG103" s="414"/>
      <c r="FCJ103" s="445"/>
      <c r="FCK103" s="414"/>
      <c r="FCN103" s="445"/>
      <c r="FCO103" s="414"/>
      <c r="FCR103" s="445"/>
      <c r="FCS103" s="414"/>
      <c r="FCV103" s="445"/>
      <c r="FCW103" s="414"/>
      <c r="FCZ103" s="445"/>
      <c r="FDA103" s="414"/>
      <c r="FDD103" s="445"/>
      <c r="FDE103" s="414"/>
      <c r="FDH103" s="445"/>
      <c r="FDI103" s="414"/>
      <c r="FDL103" s="445"/>
      <c r="FDM103" s="414"/>
      <c r="FDP103" s="445"/>
      <c r="FDQ103" s="414"/>
      <c r="FDT103" s="445"/>
      <c r="FDU103" s="414"/>
      <c r="FDX103" s="445"/>
      <c r="FDY103" s="414"/>
      <c r="FEB103" s="445"/>
      <c r="FEC103" s="414"/>
      <c r="FEF103" s="445"/>
      <c r="FEG103" s="414"/>
      <c r="FEJ103" s="445"/>
      <c r="FEK103" s="414"/>
      <c r="FEN103" s="445"/>
      <c r="FEO103" s="414"/>
      <c r="FER103" s="445"/>
      <c r="FES103" s="414"/>
      <c r="FEV103" s="445"/>
      <c r="FEW103" s="414"/>
      <c r="FEZ103" s="445"/>
      <c r="FFA103" s="414"/>
      <c r="FFD103" s="445"/>
      <c r="FFE103" s="414"/>
      <c r="FFH103" s="445"/>
      <c r="FFI103" s="414"/>
      <c r="FFL103" s="445"/>
      <c r="FFM103" s="414"/>
      <c r="FFP103" s="445"/>
      <c r="FFQ103" s="414"/>
      <c r="FFT103" s="445"/>
      <c r="FFU103" s="414"/>
      <c r="FFX103" s="445"/>
      <c r="FFY103" s="414"/>
      <c r="FGB103" s="445"/>
      <c r="FGC103" s="414"/>
      <c r="FGF103" s="445"/>
      <c r="FGG103" s="414"/>
      <c r="FGJ103" s="445"/>
      <c r="FGK103" s="414"/>
      <c r="FGN103" s="445"/>
      <c r="FGO103" s="414"/>
      <c r="FGR103" s="445"/>
      <c r="FGS103" s="414"/>
      <c r="FGV103" s="445"/>
      <c r="FGW103" s="414"/>
      <c r="FGZ103" s="445"/>
      <c r="FHA103" s="414"/>
      <c r="FHD103" s="445"/>
      <c r="FHE103" s="414"/>
      <c r="FHH103" s="445"/>
      <c r="FHI103" s="414"/>
      <c r="FHL103" s="445"/>
      <c r="FHM103" s="414"/>
      <c r="FHP103" s="445"/>
      <c r="FHQ103" s="414"/>
      <c r="FHT103" s="445"/>
      <c r="FHU103" s="414"/>
      <c r="FHX103" s="445"/>
      <c r="FHY103" s="414"/>
      <c r="FIB103" s="445"/>
      <c r="FIC103" s="414"/>
      <c r="FIF103" s="445"/>
      <c r="FIG103" s="414"/>
      <c r="FIJ103" s="445"/>
      <c r="FIK103" s="414"/>
      <c r="FIN103" s="445"/>
      <c r="FIO103" s="414"/>
      <c r="FIR103" s="445"/>
      <c r="FIS103" s="414"/>
      <c r="FIV103" s="445"/>
      <c r="FIW103" s="414"/>
      <c r="FIZ103" s="445"/>
      <c r="FJA103" s="414"/>
      <c r="FJD103" s="445"/>
      <c r="FJE103" s="414"/>
      <c r="FJH103" s="445"/>
      <c r="FJI103" s="414"/>
      <c r="FJL103" s="445"/>
      <c r="FJM103" s="414"/>
      <c r="FJP103" s="445"/>
      <c r="FJQ103" s="414"/>
      <c r="FJT103" s="445"/>
      <c r="FJU103" s="414"/>
      <c r="FJX103" s="445"/>
      <c r="FJY103" s="414"/>
      <c r="FKB103" s="445"/>
      <c r="FKC103" s="414"/>
      <c r="FKF103" s="445"/>
      <c r="FKG103" s="414"/>
      <c r="FKJ103" s="445"/>
      <c r="FKK103" s="414"/>
      <c r="FKN103" s="445"/>
      <c r="FKO103" s="414"/>
      <c r="FKR103" s="445"/>
      <c r="FKS103" s="414"/>
      <c r="FKV103" s="445"/>
      <c r="FKW103" s="414"/>
      <c r="FKZ103" s="445"/>
      <c r="FLA103" s="414"/>
      <c r="FLD103" s="445"/>
      <c r="FLE103" s="414"/>
      <c r="FLH103" s="445"/>
      <c r="FLI103" s="414"/>
      <c r="FLL103" s="445"/>
      <c r="FLM103" s="414"/>
      <c r="FLP103" s="445"/>
      <c r="FLQ103" s="414"/>
      <c r="FLT103" s="445"/>
      <c r="FLU103" s="414"/>
      <c r="FLX103" s="445"/>
      <c r="FLY103" s="414"/>
      <c r="FMB103" s="445"/>
      <c r="FMC103" s="414"/>
      <c r="FMF103" s="445"/>
      <c r="FMG103" s="414"/>
      <c r="FMJ103" s="445"/>
      <c r="FMK103" s="414"/>
      <c r="FMN103" s="445"/>
      <c r="FMO103" s="414"/>
      <c r="FMR103" s="445"/>
      <c r="FMS103" s="414"/>
      <c r="FMV103" s="445"/>
      <c r="FMW103" s="414"/>
      <c r="FMZ103" s="445"/>
      <c r="FNA103" s="414"/>
      <c r="FND103" s="445"/>
      <c r="FNE103" s="414"/>
      <c r="FNH103" s="445"/>
      <c r="FNI103" s="414"/>
      <c r="FNL103" s="445"/>
      <c r="FNM103" s="414"/>
      <c r="FNP103" s="445"/>
      <c r="FNQ103" s="414"/>
      <c r="FNT103" s="445"/>
      <c r="FNU103" s="414"/>
      <c r="FNX103" s="445"/>
      <c r="FNY103" s="414"/>
      <c r="FOB103" s="445"/>
      <c r="FOC103" s="414"/>
      <c r="FOF103" s="445"/>
      <c r="FOG103" s="414"/>
      <c r="FOJ103" s="445"/>
      <c r="FOK103" s="414"/>
      <c r="FON103" s="445"/>
      <c r="FOO103" s="414"/>
      <c r="FOR103" s="445"/>
      <c r="FOS103" s="414"/>
      <c r="FOV103" s="445"/>
      <c r="FOW103" s="414"/>
      <c r="FOZ103" s="445"/>
      <c r="FPA103" s="414"/>
      <c r="FPD103" s="445"/>
      <c r="FPE103" s="414"/>
      <c r="FPH103" s="445"/>
      <c r="FPI103" s="414"/>
      <c r="FPL103" s="445"/>
      <c r="FPM103" s="414"/>
      <c r="FPP103" s="445"/>
      <c r="FPQ103" s="414"/>
      <c r="FPT103" s="445"/>
      <c r="FPU103" s="414"/>
      <c r="FPX103" s="445"/>
      <c r="FPY103" s="414"/>
      <c r="FQB103" s="445"/>
      <c r="FQC103" s="414"/>
      <c r="FQF103" s="445"/>
      <c r="FQG103" s="414"/>
      <c r="FQJ103" s="445"/>
      <c r="FQK103" s="414"/>
      <c r="FQN103" s="445"/>
      <c r="FQO103" s="414"/>
      <c r="FQR103" s="445"/>
      <c r="FQS103" s="414"/>
      <c r="FQV103" s="445"/>
      <c r="FQW103" s="414"/>
      <c r="FQZ103" s="445"/>
      <c r="FRA103" s="414"/>
      <c r="FRD103" s="445"/>
      <c r="FRE103" s="414"/>
      <c r="FRH103" s="445"/>
      <c r="FRI103" s="414"/>
      <c r="FRL103" s="445"/>
      <c r="FRM103" s="414"/>
      <c r="FRP103" s="445"/>
      <c r="FRQ103" s="414"/>
      <c r="FRT103" s="445"/>
      <c r="FRU103" s="414"/>
      <c r="FRX103" s="445"/>
      <c r="FRY103" s="414"/>
      <c r="FSB103" s="445"/>
      <c r="FSC103" s="414"/>
      <c r="FSF103" s="445"/>
      <c r="FSG103" s="414"/>
      <c r="FSJ103" s="445"/>
      <c r="FSK103" s="414"/>
      <c r="FSN103" s="445"/>
      <c r="FSO103" s="414"/>
      <c r="FSR103" s="445"/>
      <c r="FSS103" s="414"/>
      <c r="FSV103" s="445"/>
      <c r="FSW103" s="414"/>
      <c r="FSZ103" s="445"/>
      <c r="FTA103" s="414"/>
      <c r="FTD103" s="445"/>
      <c r="FTE103" s="414"/>
      <c r="FTH103" s="445"/>
      <c r="FTI103" s="414"/>
      <c r="FTL103" s="445"/>
      <c r="FTM103" s="414"/>
      <c r="FTP103" s="445"/>
      <c r="FTQ103" s="414"/>
      <c r="FTT103" s="445"/>
      <c r="FTU103" s="414"/>
      <c r="FTX103" s="445"/>
      <c r="FTY103" s="414"/>
      <c r="FUB103" s="445"/>
      <c r="FUC103" s="414"/>
      <c r="FUF103" s="445"/>
      <c r="FUG103" s="414"/>
      <c r="FUJ103" s="445"/>
      <c r="FUK103" s="414"/>
      <c r="FUN103" s="445"/>
      <c r="FUO103" s="414"/>
      <c r="FUR103" s="445"/>
      <c r="FUS103" s="414"/>
      <c r="FUV103" s="445"/>
      <c r="FUW103" s="414"/>
      <c r="FUZ103" s="445"/>
      <c r="FVA103" s="414"/>
      <c r="FVD103" s="445"/>
      <c r="FVE103" s="414"/>
      <c r="FVH103" s="445"/>
      <c r="FVI103" s="414"/>
      <c r="FVL103" s="445"/>
      <c r="FVM103" s="414"/>
      <c r="FVP103" s="445"/>
      <c r="FVQ103" s="414"/>
      <c r="FVT103" s="445"/>
      <c r="FVU103" s="414"/>
      <c r="FVX103" s="445"/>
      <c r="FVY103" s="414"/>
      <c r="FWB103" s="445"/>
      <c r="FWC103" s="414"/>
      <c r="FWF103" s="445"/>
      <c r="FWG103" s="414"/>
      <c r="FWJ103" s="445"/>
      <c r="FWK103" s="414"/>
      <c r="FWN103" s="445"/>
      <c r="FWO103" s="414"/>
      <c r="FWR103" s="445"/>
      <c r="FWS103" s="414"/>
      <c r="FWV103" s="445"/>
      <c r="FWW103" s="414"/>
      <c r="FWZ103" s="445"/>
      <c r="FXA103" s="414"/>
      <c r="FXD103" s="445"/>
      <c r="FXE103" s="414"/>
      <c r="FXH103" s="445"/>
      <c r="FXI103" s="414"/>
      <c r="FXL103" s="445"/>
      <c r="FXM103" s="414"/>
      <c r="FXP103" s="445"/>
      <c r="FXQ103" s="414"/>
      <c r="FXT103" s="445"/>
      <c r="FXU103" s="414"/>
      <c r="FXX103" s="445"/>
      <c r="FXY103" s="414"/>
      <c r="FYB103" s="445"/>
      <c r="FYC103" s="414"/>
      <c r="FYF103" s="445"/>
      <c r="FYG103" s="414"/>
      <c r="FYJ103" s="445"/>
      <c r="FYK103" s="414"/>
      <c r="FYN103" s="445"/>
      <c r="FYO103" s="414"/>
      <c r="FYR103" s="445"/>
      <c r="FYS103" s="414"/>
      <c r="FYV103" s="445"/>
      <c r="FYW103" s="414"/>
      <c r="FYZ103" s="445"/>
      <c r="FZA103" s="414"/>
      <c r="FZD103" s="445"/>
      <c r="FZE103" s="414"/>
      <c r="FZH103" s="445"/>
      <c r="FZI103" s="414"/>
      <c r="FZL103" s="445"/>
      <c r="FZM103" s="414"/>
      <c r="FZP103" s="445"/>
      <c r="FZQ103" s="414"/>
      <c r="FZT103" s="445"/>
      <c r="FZU103" s="414"/>
      <c r="FZX103" s="445"/>
      <c r="FZY103" s="414"/>
      <c r="GAB103" s="445"/>
      <c r="GAC103" s="414"/>
      <c r="GAF103" s="445"/>
      <c r="GAG103" s="414"/>
      <c r="GAJ103" s="445"/>
      <c r="GAK103" s="414"/>
      <c r="GAN103" s="445"/>
      <c r="GAO103" s="414"/>
      <c r="GAR103" s="445"/>
      <c r="GAS103" s="414"/>
      <c r="GAV103" s="445"/>
      <c r="GAW103" s="414"/>
      <c r="GAZ103" s="445"/>
      <c r="GBA103" s="414"/>
      <c r="GBD103" s="445"/>
      <c r="GBE103" s="414"/>
      <c r="GBH103" s="445"/>
      <c r="GBI103" s="414"/>
      <c r="GBL103" s="445"/>
      <c r="GBM103" s="414"/>
      <c r="GBP103" s="445"/>
      <c r="GBQ103" s="414"/>
      <c r="GBT103" s="445"/>
      <c r="GBU103" s="414"/>
      <c r="GBX103" s="445"/>
      <c r="GBY103" s="414"/>
      <c r="GCB103" s="445"/>
      <c r="GCC103" s="414"/>
      <c r="GCF103" s="445"/>
      <c r="GCG103" s="414"/>
      <c r="GCJ103" s="445"/>
      <c r="GCK103" s="414"/>
      <c r="GCN103" s="445"/>
      <c r="GCO103" s="414"/>
      <c r="GCR103" s="445"/>
      <c r="GCS103" s="414"/>
      <c r="GCV103" s="445"/>
      <c r="GCW103" s="414"/>
      <c r="GCZ103" s="445"/>
      <c r="GDA103" s="414"/>
      <c r="GDD103" s="445"/>
      <c r="GDE103" s="414"/>
      <c r="GDH103" s="445"/>
      <c r="GDI103" s="414"/>
      <c r="GDL103" s="445"/>
      <c r="GDM103" s="414"/>
      <c r="GDP103" s="445"/>
      <c r="GDQ103" s="414"/>
      <c r="GDT103" s="445"/>
      <c r="GDU103" s="414"/>
      <c r="GDX103" s="445"/>
      <c r="GDY103" s="414"/>
      <c r="GEB103" s="445"/>
      <c r="GEC103" s="414"/>
      <c r="GEF103" s="445"/>
      <c r="GEG103" s="414"/>
      <c r="GEJ103" s="445"/>
      <c r="GEK103" s="414"/>
      <c r="GEN103" s="445"/>
      <c r="GEO103" s="414"/>
      <c r="GER103" s="445"/>
      <c r="GES103" s="414"/>
      <c r="GEV103" s="445"/>
      <c r="GEW103" s="414"/>
      <c r="GEZ103" s="445"/>
      <c r="GFA103" s="414"/>
      <c r="GFD103" s="445"/>
      <c r="GFE103" s="414"/>
      <c r="GFH103" s="445"/>
      <c r="GFI103" s="414"/>
      <c r="GFL103" s="445"/>
      <c r="GFM103" s="414"/>
      <c r="GFP103" s="445"/>
      <c r="GFQ103" s="414"/>
      <c r="GFT103" s="445"/>
      <c r="GFU103" s="414"/>
      <c r="GFX103" s="445"/>
      <c r="GFY103" s="414"/>
      <c r="GGB103" s="445"/>
      <c r="GGC103" s="414"/>
      <c r="GGF103" s="445"/>
      <c r="GGG103" s="414"/>
      <c r="GGJ103" s="445"/>
      <c r="GGK103" s="414"/>
      <c r="GGN103" s="445"/>
      <c r="GGO103" s="414"/>
      <c r="GGR103" s="445"/>
      <c r="GGS103" s="414"/>
      <c r="GGV103" s="445"/>
      <c r="GGW103" s="414"/>
      <c r="GGZ103" s="445"/>
      <c r="GHA103" s="414"/>
      <c r="GHD103" s="445"/>
      <c r="GHE103" s="414"/>
      <c r="GHH103" s="445"/>
      <c r="GHI103" s="414"/>
      <c r="GHL103" s="445"/>
      <c r="GHM103" s="414"/>
      <c r="GHP103" s="445"/>
      <c r="GHQ103" s="414"/>
      <c r="GHT103" s="445"/>
      <c r="GHU103" s="414"/>
      <c r="GHX103" s="445"/>
      <c r="GHY103" s="414"/>
      <c r="GIB103" s="445"/>
      <c r="GIC103" s="414"/>
      <c r="GIF103" s="445"/>
      <c r="GIG103" s="414"/>
      <c r="GIJ103" s="445"/>
      <c r="GIK103" s="414"/>
      <c r="GIN103" s="445"/>
      <c r="GIO103" s="414"/>
      <c r="GIR103" s="445"/>
      <c r="GIS103" s="414"/>
      <c r="GIV103" s="445"/>
      <c r="GIW103" s="414"/>
      <c r="GIZ103" s="445"/>
      <c r="GJA103" s="414"/>
      <c r="GJD103" s="445"/>
      <c r="GJE103" s="414"/>
      <c r="GJH103" s="445"/>
      <c r="GJI103" s="414"/>
      <c r="GJL103" s="445"/>
      <c r="GJM103" s="414"/>
      <c r="GJP103" s="445"/>
      <c r="GJQ103" s="414"/>
      <c r="GJT103" s="445"/>
      <c r="GJU103" s="414"/>
      <c r="GJX103" s="445"/>
      <c r="GJY103" s="414"/>
      <c r="GKB103" s="445"/>
      <c r="GKC103" s="414"/>
      <c r="GKF103" s="445"/>
      <c r="GKG103" s="414"/>
      <c r="GKJ103" s="445"/>
      <c r="GKK103" s="414"/>
      <c r="GKN103" s="445"/>
      <c r="GKO103" s="414"/>
      <c r="GKR103" s="445"/>
      <c r="GKS103" s="414"/>
      <c r="GKV103" s="445"/>
      <c r="GKW103" s="414"/>
      <c r="GKZ103" s="445"/>
      <c r="GLA103" s="414"/>
      <c r="GLD103" s="445"/>
      <c r="GLE103" s="414"/>
      <c r="GLH103" s="445"/>
      <c r="GLI103" s="414"/>
      <c r="GLL103" s="445"/>
      <c r="GLM103" s="414"/>
      <c r="GLP103" s="445"/>
      <c r="GLQ103" s="414"/>
      <c r="GLT103" s="445"/>
      <c r="GLU103" s="414"/>
      <c r="GLX103" s="445"/>
      <c r="GLY103" s="414"/>
      <c r="GMB103" s="445"/>
      <c r="GMC103" s="414"/>
      <c r="GMF103" s="445"/>
      <c r="GMG103" s="414"/>
      <c r="GMJ103" s="445"/>
      <c r="GMK103" s="414"/>
      <c r="GMN103" s="445"/>
      <c r="GMO103" s="414"/>
      <c r="GMR103" s="445"/>
      <c r="GMS103" s="414"/>
      <c r="GMV103" s="445"/>
      <c r="GMW103" s="414"/>
      <c r="GMZ103" s="445"/>
      <c r="GNA103" s="414"/>
      <c r="GND103" s="445"/>
      <c r="GNE103" s="414"/>
      <c r="GNH103" s="445"/>
      <c r="GNI103" s="414"/>
      <c r="GNL103" s="445"/>
      <c r="GNM103" s="414"/>
      <c r="GNP103" s="445"/>
      <c r="GNQ103" s="414"/>
      <c r="GNT103" s="445"/>
      <c r="GNU103" s="414"/>
      <c r="GNX103" s="445"/>
      <c r="GNY103" s="414"/>
      <c r="GOB103" s="445"/>
      <c r="GOC103" s="414"/>
      <c r="GOF103" s="445"/>
      <c r="GOG103" s="414"/>
      <c r="GOJ103" s="445"/>
      <c r="GOK103" s="414"/>
      <c r="GON103" s="445"/>
      <c r="GOO103" s="414"/>
      <c r="GOR103" s="445"/>
      <c r="GOS103" s="414"/>
      <c r="GOV103" s="445"/>
      <c r="GOW103" s="414"/>
      <c r="GOZ103" s="445"/>
      <c r="GPA103" s="414"/>
      <c r="GPD103" s="445"/>
      <c r="GPE103" s="414"/>
      <c r="GPH103" s="445"/>
      <c r="GPI103" s="414"/>
      <c r="GPL103" s="445"/>
      <c r="GPM103" s="414"/>
      <c r="GPP103" s="445"/>
      <c r="GPQ103" s="414"/>
      <c r="GPT103" s="445"/>
      <c r="GPU103" s="414"/>
      <c r="GPX103" s="445"/>
      <c r="GPY103" s="414"/>
      <c r="GQB103" s="445"/>
      <c r="GQC103" s="414"/>
      <c r="GQF103" s="445"/>
      <c r="GQG103" s="414"/>
      <c r="GQJ103" s="445"/>
      <c r="GQK103" s="414"/>
      <c r="GQN103" s="445"/>
      <c r="GQO103" s="414"/>
      <c r="GQR103" s="445"/>
      <c r="GQS103" s="414"/>
      <c r="GQV103" s="445"/>
      <c r="GQW103" s="414"/>
      <c r="GQZ103" s="445"/>
      <c r="GRA103" s="414"/>
      <c r="GRD103" s="445"/>
      <c r="GRE103" s="414"/>
      <c r="GRH103" s="445"/>
      <c r="GRI103" s="414"/>
      <c r="GRL103" s="445"/>
      <c r="GRM103" s="414"/>
      <c r="GRP103" s="445"/>
      <c r="GRQ103" s="414"/>
      <c r="GRT103" s="445"/>
      <c r="GRU103" s="414"/>
      <c r="GRX103" s="445"/>
      <c r="GRY103" s="414"/>
      <c r="GSB103" s="445"/>
      <c r="GSC103" s="414"/>
      <c r="GSF103" s="445"/>
      <c r="GSG103" s="414"/>
      <c r="GSJ103" s="445"/>
      <c r="GSK103" s="414"/>
      <c r="GSN103" s="445"/>
      <c r="GSO103" s="414"/>
      <c r="GSR103" s="445"/>
      <c r="GSS103" s="414"/>
      <c r="GSV103" s="445"/>
      <c r="GSW103" s="414"/>
      <c r="GSZ103" s="445"/>
      <c r="GTA103" s="414"/>
      <c r="GTD103" s="445"/>
      <c r="GTE103" s="414"/>
      <c r="GTH103" s="445"/>
      <c r="GTI103" s="414"/>
      <c r="GTL103" s="445"/>
      <c r="GTM103" s="414"/>
      <c r="GTP103" s="445"/>
      <c r="GTQ103" s="414"/>
      <c r="GTT103" s="445"/>
      <c r="GTU103" s="414"/>
      <c r="GTX103" s="445"/>
      <c r="GTY103" s="414"/>
      <c r="GUB103" s="445"/>
      <c r="GUC103" s="414"/>
      <c r="GUF103" s="445"/>
      <c r="GUG103" s="414"/>
      <c r="GUJ103" s="445"/>
      <c r="GUK103" s="414"/>
      <c r="GUN103" s="445"/>
      <c r="GUO103" s="414"/>
      <c r="GUR103" s="445"/>
      <c r="GUS103" s="414"/>
      <c r="GUV103" s="445"/>
      <c r="GUW103" s="414"/>
      <c r="GUZ103" s="445"/>
      <c r="GVA103" s="414"/>
      <c r="GVD103" s="445"/>
      <c r="GVE103" s="414"/>
      <c r="GVH103" s="445"/>
      <c r="GVI103" s="414"/>
      <c r="GVL103" s="445"/>
      <c r="GVM103" s="414"/>
      <c r="GVP103" s="445"/>
      <c r="GVQ103" s="414"/>
      <c r="GVT103" s="445"/>
      <c r="GVU103" s="414"/>
      <c r="GVX103" s="445"/>
      <c r="GVY103" s="414"/>
      <c r="GWB103" s="445"/>
      <c r="GWC103" s="414"/>
      <c r="GWF103" s="445"/>
      <c r="GWG103" s="414"/>
      <c r="GWJ103" s="445"/>
      <c r="GWK103" s="414"/>
      <c r="GWN103" s="445"/>
      <c r="GWO103" s="414"/>
      <c r="GWR103" s="445"/>
      <c r="GWS103" s="414"/>
      <c r="GWV103" s="445"/>
      <c r="GWW103" s="414"/>
      <c r="GWZ103" s="445"/>
      <c r="GXA103" s="414"/>
      <c r="GXD103" s="445"/>
      <c r="GXE103" s="414"/>
      <c r="GXH103" s="445"/>
      <c r="GXI103" s="414"/>
      <c r="GXL103" s="445"/>
      <c r="GXM103" s="414"/>
      <c r="GXP103" s="445"/>
      <c r="GXQ103" s="414"/>
      <c r="GXT103" s="445"/>
      <c r="GXU103" s="414"/>
      <c r="GXX103" s="445"/>
      <c r="GXY103" s="414"/>
      <c r="GYB103" s="445"/>
      <c r="GYC103" s="414"/>
      <c r="GYF103" s="445"/>
      <c r="GYG103" s="414"/>
      <c r="GYJ103" s="445"/>
      <c r="GYK103" s="414"/>
      <c r="GYN103" s="445"/>
      <c r="GYO103" s="414"/>
      <c r="GYR103" s="445"/>
      <c r="GYS103" s="414"/>
      <c r="GYV103" s="445"/>
      <c r="GYW103" s="414"/>
      <c r="GYZ103" s="445"/>
      <c r="GZA103" s="414"/>
      <c r="GZD103" s="445"/>
      <c r="GZE103" s="414"/>
      <c r="GZH103" s="445"/>
      <c r="GZI103" s="414"/>
      <c r="GZL103" s="445"/>
      <c r="GZM103" s="414"/>
      <c r="GZP103" s="445"/>
      <c r="GZQ103" s="414"/>
      <c r="GZT103" s="445"/>
      <c r="GZU103" s="414"/>
      <c r="GZX103" s="445"/>
      <c r="GZY103" s="414"/>
      <c r="HAB103" s="445"/>
      <c r="HAC103" s="414"/>
      <c r="HAF103" s="445"/>
      <c r="HAG103" s="414"/>
      <c r="HAJ103" s="445"/>
      <c r="HAK103" s="414"/>
      <c r="HAN103" s="445"/>
      <c r="HAO103" s="414"/>
      <c r="HAR103" s="445"/>
      <c r="HAS103" s="414"/>
      <c r="HAV103" s="445"/>
      <c r="HAW103" s="414"/>
      <c r="HAZ103" s="445"/>
      <c r="HBA103" s="414"/>
      <c r="HBD103" s="445"/>
      <c r="HBE103" s="414"/>
      <c r="HBH103" s="445"/>
      <c r="HBI103" s="414"/>
      <c r="HBL103" s="445"/>
      <c r="HBM103" s="414"/>
      <c r="HBP103" s="445"/>
      <c r="HBQ103" s="414"/>
      <c r="HBT103" s="445"/>
      <c r="HBU103" s="414"/>
      <c r="HBX103" s="445"/>
      <c r="HBY103" s="414"/>
      <c r="HCB103" s="445"/>
      <c r="HCC103" s="414"/>
      <c r="HCF103" s="445"/>
      <c r="HCG103" s="414"/>
      <c r="HCJ103" s="445"/>
      <c r="HCK103" s="414"/>
      <c r="HCN103" s="445"/>
      <c r="HCO103" s="414"/>
      <c r="HCR103" s="445"/>
      <c r="HCS103" s="414"/>
      <c r="HCV103" s="445"/>
      <c r="HCW103" s="414"/>
      <c r="HCZ103" s="445"/>
      <c r="HDA103" s="414"/>
      <c r="HDD103" s="445"/>
      <c r="HDE103" s="414"/>
      <c r="HDH103" s="445"/>
      <c r="HDI103" s="414"/>
      <c r="HDL103" s="445"/>
      <c r="HDM103" s="414"/>
      <c r="HDP103" s="445"/>
      <c r="HDQ103" s="414"/>
      <c r="HDT103" s="445"/>
      <c r="HDU103" s="414"/>
      <c r="HDX103" s="445"/>
      <c r="HDY103" s="414"/>
      <c r="HEB103" s="445"/>
      <c r="HEC103" s="414"/>
      <c r="HEF103" s="445"/>
      <c r="HEG103" s="414"/>
      <c r="HEJ103" s="445"/>
      <c r="HEK103" s="414"/>
      <c r="HEN103" s="445"/>
      <c r="HEO103" s="414"/>
      <c r="HER103" s="445"/>
      <c r="HES103" s="414"/>
      <c r="HEV103" s="445"/>
      <c r="HEW103" s="414"/>
      <c r="HEZ103" s="445"/>
      <c r="HFA103" s="414"/>
      <c r="HFD103" s="445"/>
      <c r="HFE103" s="414"/>
      <c r="HFH103" s="445"/>
      <c r="HFI103" s="414"/>
      <c r="HFL103" s="445"/>
      <c r="HFM103" s="414"/>
      <c r="HFP103" s="445"/>
      <c r="HFQ103" s="414"/>
      <c r="HFT103" s="445"/>
      <c r="HFU103" s="414"/>
      <c r="HFX103" s="445"/>
      <c r="HFY103" s="414"/>
      <c r="HGB103" s="445"/>
      <c r="HGC103" s="414"/>
      <c r="HGF103" s="445"/>
      <c r="HGG103" s="414"/>
      <c r="HGJ103" s="445"/>
      <c r="HGK103" s="414"/>
      <c r="HGN103" s="445"/>
      <c r="HGO103" s="414"/>
      <c r="HGR103" s="445"/>
      <c r="HGS103" s="414"/>
      <c r="HGV103" s="445"/>
      <c r="HGW103" s="414"/>
      <c r="HGZ103" s="445"/>
      <c r="HHA103" s="414"/>
      <c r="HHD103" s="445"/>
      <c r="HHE103" s="414"/>
      <c r="HHH103" s="445"/>
      <c r="HHI103" s="414"/>
      <c r="HHL103" s="445"/>
      <c r="HHM103" s="414"/>
      <c r="HHP103" s="445"/>
      <c r="HHQ103" s="414"/>
      <c r="HHT103" s="445"/>
      <c r="HHU103" s="414"/>
      <c r="HHX103" s="445"/>
      <c r="HHY103" s="414"/>
      <c r="HIB103" s="445"/>
      <c r="HIC103" s="414"/>
      <c r="HIF103" s="445"/>
      <c r="HIG103" s="414"/>
      <c r="HIJ103" s="445"/>
      <c r="HIK103" s="414"/>
      <c r="HIN103" s="445"/>
      <c r="HIO103" s="414"/>
      <c r="HIR103" s="445"/>
      <c r="HIS103" s="414"/>
      <c r="HIV103" s="445"/>
      <c r="HIW103" s="414"/>
      <c r="HIZ103" s="445"/>
      <c r="HJA103" s="414"/>
      <c r="HJD103" s="445"/>
      <c r="HJE103" s="414"/>
      <c r="HJH103" s="445"/>
      <c r="HJI103" s="414"/>
      <c r="HJL103" s="445"/>
      <c r="HJM103" s="414"/>
      <c r="HJP103" s="445"/>
      <c r="HJQ103" s="414"/>
      <c r="HJT103" s="445"/>
      <c r="HJU103" s="414"/>
      <c r="HJX103" s="445"/>
      <c r="HJY103" s="414"/>
      <c r="HKB103" s="445"/>
      <c r="HKC103" s="414"/>
      <c r="HKF103" s="445"/>
      <c r="HKG103" s="414"/>
      <c r="HKJ103" s="445"/>
      <c r="HKK103" s="414"/>
      <c r="HKN103" s="445"/>
      <c r="HKO103" s="414"/>
      <c r="HKR103" s="445"/>
      <c r="HKS103" s="414"/>
      <c r="HKV103" s="445"/>
      <c r="HKW103" s="414"/>
      <c r="HKZ103" s="445"/>
      <c r="HLA103" s="414"/>
      <c r="HLD103" s="445"/>
      <c r="HLE103" s="414"/>
      <c r="HLH103" s="445"/>
      <c r="HLI103" s="414"/>
      <c r="HLL103" s="445"/>
      <c r="HLM103" s="414"/>
      <c r="HLP103" s="445"/>
      <c r="HLQ103" s="414"/>
      <c r="HLT103" s="445"/>
      <c r="HLU103" s="414"/>
      <c r="HLX103" s="445"/>
      <c r="HLY103" s="414"/>
      <c r="HMB103" s="445"/>
      <c r="HMC103" s="414"/>
      <c r="HMF103" s="445"/>
      <c r="HMG103" s="414"/>
      <c r="HMJ103" s="445"/>
      <c r="HMK103" s="414"/>
      <c r="HMN103" s="445"/>
      <c r="HMO103" s="414"/>
      <c r="HMR103" s="445"/>
      <c r="HMS103" s="414"/>
      <c r="HMV103" s="445"/>
      <c r="HMW103" s="414"/>
      <c r="HMZ103" s="445"/>
      <c r="HNA103" s="414"/>
      <c r="HND103" s="445"/>
      <c r="HNE103" s="414"/>
      <c r="HNH103" s="445"/>
      <c r="HNI103" s="414"/>
      <c r="HNL103" s="445"/>
      <c r="HNM103" s="414"/>
      <c r="HNP103" s="445"/>
      <c r="HNQ103" s="414"/>
      <c r="HNT103" s="445"/>
      <c r="HNU103" s="414"/>
      <c r="HNX103" s="445"/>
      <c r="HNY103" s="414"/>
      <c r="HOB103" s="445"/>
      <c r="HOC103" s="414"/>
      <c r="HOF103" s="445"/>
      <c r="HOG103" s="414"/>
      <c r="HOJ103" s="445"/>
      <c r="HOK103" s="414"/>
      <c r="HON103" s="445"/>
      <c r="HOO103" s="414"/>
      <c r="HOR103" s="445"/>
      <c r="HOS103" s="414"/>
      <c r="HOV103" s="445"/>
      <c r="HOW103" s="414"/>
      <c r="HOZ103" s="445"/>
      <c r="HPA103" s="414"/>
      <c r="HPD103" s="445"/>
      <c r="HPE103" s="414"/>
      <c r="HPH103" s="445"/>
      <c r="HPI103" s="414"/>
      <c r="HPL103" s="445"/>
      <c r="HPM103" s="414"/>
      <c r="HPP103" s="445"/>
      <c r="HPQ103" s="414"/>
      <c r="HPT103" s="445"/>
      <c r="HPU103" s="414"/>
      <c r="HPX103" s="445"/>
      <c r="HPY103" s="414"/>
      <c r="HQB103" s="445"/>
      <c r="HQC103" s="414"/>
      <c r="HQF103" s="445"/>
      <c r="HQG103" s="414"/>
      <c r="HQJ103" s="445"/>
      <c r="HQK103" s="414"/>
      <c r="HQN103" s="445"/>
      <c r="HQO103" s="414"/>
      <c r="HQR103" s="445"/>
      <c r="HQS103" s="414"/>
      <c r="HQV103" s="445"/>
      <c r="HQW103" s="414"/>
      <c r="HQZ103" s="445"/>
      <c r="HRA103" s="414"/>
      <c r="HRD103" s="445"/>
      <c r="HRE103" s="414"/>
      <c r="HRH103" s="445"/>
      <c r="HRI103" s="414"/>
      <c r="HRL103" s="445"/>
      <c r="HRM103" s="414"/>
      <c r="HRP103" s="445"/>
      <c r="HRQ103" s="414"/>
      <c r="HRT103" s="445"/>
      <c r="HRU103" s="414"/>
      <c r="HRX103" s="445"/>
      <c r="HRY103" s="414"/>
      <c r="HSB103" s="445"/>
      <c r="HSC103" s="414"/>
      <c r="HSF103" s="445"/>
      <c r="HSG103" s="414"/>
      <c r="HSJ103" s="445"/>
      <c r="HSK103" s="414"/>
      <c r="HSN103" s="445"/>
      <c r="HSO103" s="414"/>
      <c r="HSR103" s="445"/>
      <c r="HSS103" s="414"/>
      <c r="HSV103" s="445"/>
      <c r="HSW103" s="414"/>
      <c r="HSZ103" s="445"/>
      <c r="HTA103" s="414"/>
      <c r="HTD103" s="445"/>
      <c r="HTE103" s="414"/>
      <c r="HTH103" s="445"/>
      <c r="HTI103" s="414"/>
      <c r="HTL103" s="445"/>
      <c r="HTM103" s="414"/>
      <c r="HTP103" s="445"/>
      <c r="HTQ103" s="414"/>
      <c r="HTT103" s="445"/>
      <c r="HTU103" s="414"/>
      <c r="HTX103" s="445"/>
      <c r="HTY103" s="414"/>
      <c r="HUB103" s="445"/>
      <c r="HUC103" s="414"/>
      <c r="HUF103" s="445"/>
      <c r="HUG103" s="414"/>
      <c r="HUJ103" s="445"/>
      <c r="HUK103" s="414"/>
      <c r="HUN103" s="445"/>
      <c r="HUO103" s="414"/>
      <c r="HUR103" s="445"/>
      <c r="HUS103" s="414"/>
      <c r="HUV103" s="445"/>
      <c r="HUW103" s="414"/>
      <c r="HUZ103" s="445"/>
      <c r="HVA103" s="414"/>
      <c r="HVD103" s="445"/>
      <c r="HVE103" s="414"/>
      <c r="HVH103" s="445"/>
      <c r="HVI103" s="414"/>
      <c r="HVL103" s="445"/>
      <c r="HVM103" s="414"/>
      <c r="HVP103" s="445"/>
      <c r="HVQ103" s="414"/>
      <c r="HVT103" s="445"/>
      <c r="HVU103" s="414"/>
      <c r="HVX103" s="445"/>
      <c r="HVY103" s="414"/>
      <c r="HWB103" s="445"/>
      <c r="HWC103" s="414"/>
      <c r="HWF103" s="445"/>
      <c r="HWG103" s="414"/>
      <c r="HWJ103" s="445"/>
      <c r="HWK103" s="414"/>
      <c r="HWN103" s="445"/>
      <c r="HWO103" s="414"/>
      <c r="HWR103" s="445"/>
      <c r="HWS103" s="414"/>
      <c r="HWV103" s="445"/>
      <c r="HWW103" s="414"/>
      <c r="HWZ103" s="445"/>
      <c r="HXA103" s="414"/>
      <c r="HXD103" s="445"/>
      <c r="HXE103" s="414"/>
      <c r="HXH103" s="445"/>
      <c r="HXI103" s="414"/>
      <c r="HXL103" s="445"/>
      <c r="HXM103" s="414"/>
      <c r="HXP103" s="445"/>
      <c r="HXQ103" s="414"/>
      <c r="HXT103" s="445"/>
      <c r="HXU103" s="414"/>
      <c r="HXX103" s="445"/>
      <c r="HXY103" s="414"/>
      <c r="HYB103" s="445"/>
      <c r="HYC103" s="414"/>
      <c r="HYF103" s="445"/>
      <c r="HYG103" s="414"/>
      <c r="HYJ103" s="445"/>
      <c r="HYK103" s="414"/>
      <c r="HYN103" s="445"/>
      <c r="HYO103" s="414"/>
      <c r="HYR103" s="445"/>
      <c r="HYS103" s="414"/>
      <c r="HYV103" s="445"/>
      <c r="HYW103" s="414"/>
      <c r="HYZ103" s="445"/>
      <c r="HZA103" s="414"/>
      <c r="HZD103" s="445"/>
      <c r="HZE103" s="414"/>
      <c r="HZH103" s="445"/>
      <c r="HZI103" s="414"/>
      <c r="HZL103" s="445"/>
      <c r="HZM103" s="414"/>
      <c r="HZP103" s="445"/>
      <c r="HZQ103" s="414"/>
      <c r="HZT103" s="445"/>
      <c r="HZU103" s="414"/>
      <c r="HZX103" s="445"/>
      <c r="HZY103" s="414"/>
      <c r="IAB103" s="445"/>
      <c r="IAC103" s="414"/>
      <c r="IAF103" s="445"/>
      <c r="IAG103" s="414"/>
      <c r="IAJ103" s="445"/>
      <c r="IAK103" s="414"/>
      <c r="IAN103" s="445"/>
      <c r="IAO103" s="414"/>
      <c r="IAR103" s="445"/>
      <c r="IAS103" s="414"/>
      <c r="IAV103" s="445"/>
      <c r="IAW103" s="414"/>
      <c r="IAZ103" s="445"/>
      <c r="IBA103" s="414"/>
      <c r="IBD103" s="445"/>
      <c r="IBE103" s="414"/>
      <c r="IBH103" s="445"/>
      <c r="IBI103" s="414"/>
      <c r="IBL103" s="445"/>
      <c r="IBM103" s="414"/>
      <c r="IBP103" s="445"/>
      <c r="IBQ103" s="414"/>
      <c r="IBT103" s="445"/>
      <c r="IBU103" s="414"/>
      <c r="IBX103" s="445"/>
      <c r="IBY103" s="414"/>
      <c r="ICB103" s="445"/>
      <c r="ICC103" s="414"/>
      <c r="ICF103" s="445"/>
      <c r="ICG103" s="414"/>
      <c r="ICJ103" s="445"/>
      <c r="ICK103" s="414"/>
      <c r="ICN103" s="445"/>
      <c r="ICO103" s="414"/>
      <c r="ICR103" s="445"/>
      <c r="ICS103" s="414"/>
      <c r="ICV103" s="445"/>
      <c r="ICW103" s="414"/>
      <c r="ICZ103" s="445"/>
      <c r="IDA103" s="414"/>
      <c r="IDD103" s="445"/>
      <c r="IDE103" s="414"/>
      <c r="IDH103" s="445"/>
      <c r="IDI103" s="414"/>
      <c r="IDL103" s="445"/>
      <c r="IDM103" s="414"/>
      <c r="IDP103" s="445"/>
      <c r="IDQ103" s="414"/>
      <c r="IDT103" s="445"/>
      <c r="IDU103" s="414"/>
      <c r="IDX103" s="445"/>
      <c r="IDY103" s="414"/>
      <c r="IEB103" s="445"/>
      <c r="IEC103" s="414"/>
      <c r="IEF103" s="445"/>
      <c r="IEG103" s="414"/>
      <c r="IEJ103" s="445"/>
      <c r="IEK103" s="414"/>
      <c r="IEN103" s="445"/>
      <c r="IEO103" s="414"/>
      <c r="IER103" s="445"/>
      <c r="IES103" s="414"/>
      <c r="IEV103" s="445"/>
      <c r="IEW103" s="414"/>
      <c r="IEZ103" s="445"/>
      <c r="IFA103" s="414"/>
      <c r="IFD103" s="445"/>
      <c r="IFE103" s="414"/>
      <c r="IFH103" s="445"/>
      <c r="IFI103" s="414"/>
      <c r="IFL103" s="445"/>
      <c r="IFM103" s="414"/>
      <c r="IFP103" s="445"/>
      <c r="IFQ103" s="414"/>
      <c r="IFT103" s="445"/>
      <c r="IFU103" s="414"/>
      <c r="IFX103" s="445"/>
      <c r="IFY103" s="414"/>
      <c r="IGB103" s="445"/>
      <c r="IGC103" s="414"/>
      <c r="IGF103" s="445"/>
      <c r="IGG103" s="414"/>
      <c r="IGJ103" s="445"/>
      <c r="IGK103" s="414"/>
      <c r="IGN103" s="445"/>
      <c r="IGO103" s="414"/>
      <c r="IGR103" s="445"/>
      <c r="IGS103" s="414"/>
      <c r="IGV103" s="445"/>
      <c r="IGW103" s="414"/>
      <c r="IGZ103" s="445"/>
      <c r="IHA103" s="414"/>
      <c r="IHD103" s="445"/>
      <c r="IHE103" s="414"/>
      <c r="IHH103" s="445"/>
      <c r="IHI103" s="414"/>
      <c r="IHL103" s="445"/>
      <c r="IHM103" s="414"/>
      <c r="IHP103" s="445"/>
      <c r="IHQ103" s="414"/>
      <c r="IHT103" s="445"/>
      <c r="IHU103" s="414"/>
      <c r="IHX103" s="445"/>
      <c r="IHY103" s="414"/>
      <c r="IIB103" s="445"/>
      <c r="IIC103" s="414"/>
      <c r="IIF103" s="445"/>
      <c r="IIG103" s="414"/>
      <c r="IIJ103" s="445"/>
      <c r="IIK103" s="414"/>
      <c r="IIN103" s="445"/>
      <c r="IIO103" s="414"/>
      <c r="IIR103" s="445"/>
      <c r="IIS103" s="414"/>
      <c r="IIV103" s="445"/>
      <c r="IIW103" s="414"/>
      <c r="IIZ103" s="445"/>
      <c r="IJA103" s="414"/>
      <c r="IJD103" s="445"/>
      <c r="IJE103" s="414"/>
      <c r="IJH103" s="445"/>
      <c r="IJI103" s="414"/>
      <c r="IJL103" s="445"/>
      <c r="IJM103" s="414"/>
      <c r="IJP103" s="445"/>
      <c r="IJQ103" s="414"/>
      <c r="IJT103" s="445"/>
      <c r="IJU103" s="414"/>
      <c r="IJX103" s="445"/>
      <c r="IJY103" s="414"/>
      <c r="IKB103" s="445"/>
      <c r="IKC103" s="414"/>
      <c r="IKF103" s="445"/>
      <c r="IKG103" s="414"/>
      <c r="IKJ103" s="445"/>
      <c r="IKK103" s="414"/>
      <c r="IKN103" s="445"/>
      <c r="IKO103" s="414"/>
      <c r="IKR103" s="445"/>
      <c r="IKS103" s="414"/>
      <c r="IKV103" s="445"/>
      <c r="IKW103" s="414"/>
      <c r="IKZ103" s="445"/>
      <c r="ILA103" s="414"/>
      <c r="ILD103" s="445"/>
      <c r="ILE103" s="414"/>
      <c r="ILH103" s="445"/>
      <c r="ILI103" s="414"/>
      <c r="ILL103" s="445"/>
      <c r="ILM103" s="414"/>
      <c r="ILP103" s="445"/>
      <c r="ILQ103" s="414"/>
      <c r="ILT103" s="445"/>
      <c r="ILU103" s="414"/>
      <c r="ILX103" s="445"/>
      <c r="ILY103" s="414"/>
      <c r="IMB103" s="445"/>
      <c r="IMC103" s="414"/>
      <c r="IMF103" s="445"/>
      <c r="IMG103" s="414"/>
      <c r="IMJ103" s="445"/>
      <c r="IMK103" s="414"/>
      <c r="IMN103" s="445"/>
      <c r="IMO103" s="414"/>
      <c r="IMR103" s="445"/>
      <c r="IMS103" s="414"/>
      <c r="IMV103" s="445"/>
      <c r="IMW103" s="414"/>
      <c r="IMZ103" s="445"/>
      <c r="INA103" s="414"/>
      <c r="IND103" s="445"/>
      <c r="INE103" s="414"/>
      <c r="INH103" s="445"/>
      <c r="INI103" s="414"/>
      <c r="INL103" s="445"/>
      <c r="INM103" s="414"/>
      <c r="INP103" s="445"/>
      <c r="INQ103" s="414"/>
      <c r="INT103" s="445"/>
      <c r="INU103" s="414"/>
      <c r="INX103" s="445"/>
      <c r="INY103" s="414"/>
      <c r="IOB103" s="445"/>
      <c r="IOC103" s="414"/>
      <c r="IOF103" s="445"/>
      <c r="IOG103" s="414"/>
      <c r="IOJ103" s="445"/>
      <c r="IOK103" s="414"/>
      <c r="ION103" s="445"/>
      <c r="IOO103" s="414"/>
      <c r="IOR103" s="445"/>
      <c r="IOS103" s="414"/>
      <c r="IOV103" s="445"/>
      <c r="IOW103" s="414"/>
      <c r="IOZ103" s="445"/>
      <c r="IPA103" s="414"/>
      <c r="IPD103" s="445"/>
      <c r="IPE103" s="414"/>
      <c r="IPH103" s="445"/>
      <c r="IPI103" s="414"/>
      <c r="IPL103" s="445"/>
      <c r="IPM103" s="414"/>
      <c r="IPP103" s="445"/>
      <c r="IPQ103" s="414"/>
      <c r="IPT103" s="445"/>
      <c r="IPU103" s="414"/>
      <c r="IPX103" s="445"/>
      <c r="IPY103" s="414"/>
      <c r="IQB103" s="445"/>
      <c r="IQC103" s="414"/>
      <c r="IQF103" s="445"/>
      <c r="IQG103" s="414"/>
      <c r="IQJ103" s="445"/>
      <c r="IQK103" s="414"/>
      <c r="IQN103" s="445"/>
      <c r="IQO103" s="414"/>
      <c r="IQR103" s="445"/>
      <c r="IQS103" s="414"/>
      <c r="IQV103" s="445"/>
      <c r="IQW103" s="414"/>
      <c r="IQZ103" s="445"/>
      <c r="IRA103" s="414"/>
      <c r="IRD103" s="445"/>
      <c r="IRE103" s="414"/>
      <c r="IRH103" s="445"/>
      <c r="IRI103" s="414"/>
      <c r="IRL103" s="445"/>
      <c r="IRM103" s="414"/>
      <c r="IRP103" s="445"/>
      <c r="IRQ103" s="414"/>
      <c r="IRT103" s="445"/>
      <c r="IRU103" s="414"/>
      <c r="IRX103" s="445"/>
      <c r="IRY103" s="414"/>
      <c r="ISB103" s="445"/>
      <c r="ISC103" s="414"/>
      <c r="ISF103" s="445"/>
      <c r="ISG103" s="414"/>
      <c r="ISJ103" s="445"/>
      <c r="ISK103" s="414"/>
      <c r="ISN103" s="445"/>
      <c r="ISO103" s="414"/>
      <c r="ISR103" s="445"/>
      <c r="ISS103" s="414"/>
      <c r="ISV103" s="445"/>
      <c r="ISW103" s="414"/>
      <c r="ISZ103" s="445"/>
      <c r="ITA103" s="414"/>
      <c r="ITD103" s="445"/>
      <c r="ITE103" s="414"/>
      <c r="ITH103" s="445"/>
      <c r="ITI103" s="414"/>
      <c r="ITL103" s="445"/>
      <c r="ITM103" s="414"/>
      <c r="ITP103" s="445"/>
      <c r="ITQ103" s="414"/>
      <c r="ITT103" s="445"/>
      <c r="ITU103" s="414"/>
      <c r="ITX103" s="445"/>
      <c r="ITY103" s="414"/>
      <c r="IUB103" s="445"/>
      <c r="IUC103" s="414"/>
      <c r="IUF103" s="445"/>
      <c r="IUG103" s="414"/>
      <c r="IUJ103" s="445"/>
      <c r="IUK103" s="414"/>
      <c r="IUN103" s="445"/>
      <c r="IUO103" s="414"/>
      <c r="IUR103" s="445"/>
      <c r="IUS103" s="414"/>
      <c r="IUV103" s="445"/>
      <c r="IUW103" s="414"/>
      <c r="IUZ103" s="445"/>
      <c r="IVA103" s="414"/>
      <c r="IVD103" s="445"/>
      <c r="IVE103" s="414"/>
      <c r="IVH103" s="445"/>
      <c r="IVI103" s="414"/>
      <c r="IVL103" s="445"/>
      <c r="IVM103" s="414"/>
      <c r="IVP103" s="445"/>
      <c r="IVQ103" s="414"/>
      <c r="IVT103" s="445"/>
      <c r="IVU103" s="414"/>
      <c r="IVX103" s="445"/>
      <c r="IVY103" s="414"/>
      <c r="IWB103" s="445"/>
      <c r="IWC103" s="414"/>
      <c r="IWF103" s="445"/>
      <c r="IWG103" s="414"/>
      <c r="IWJ103" s="445"/>
      <c r="IWK103" s="414"/>
      <c r="IWN103" s="445"/>
      <c r="IWO103" s="414"/>
      <c r="IWR103" s="445"/>
      <c r="IWS103" s="414"/>
      <c r="IWV103" s="445"/>
      <c r="IWW103" s="414"/>
      <c r="IWZ103" s="445"/>
      <c r="IXA103" s="414"/>
      <c r="IXD103" s="445"/>
      <c r="IXE103" s="414"/>
      <c r="IXH103" s="445"/>
      <c r="IXI103" s="414"/>
      <c r="IXL103" s="445"/>
      <c r="IXM103" s="414"/>
      <c r="IXP103" s="445"/>
      <c r="IXQ103" s="414"/>
      <c r="IXT103" s="445"/>
      <c r="IXU103" s="414"/>
      <c r="IXX103" s="445"/>
      <c r="IXY103" s="414"/>
      <c r="IYB103" s="445"/>
      <c r="IYC103" s="414"/>
      <c r="IYF103" s="445"/>
      <c r="IYG103" s="414"/>
      <c r="IYJ103" s="445"/>
      <c r="IYK103" s="414"/>
      <c r="IYN103" s="445"/>
      <c r="IYO103" s="414"/>
      <c r="IYR103" s="445"/>
      <c r="IYS103" s="414"/>
      <c r="IYV103" s="445"/>
      <c r="IYW103" s="414"/>
      <c r="IYZ103" s="445"/>
      <c r="IZA103" s="414"/>
      <c r="IZD103" s="445"/>
      <c r="IZE103" s="414"/>
      <c r="IZH103" s="445"/>
      <c r="IZI103" s="414"/>
      <c r="IZL103" s="445"/>
      <c r="IZM103" s="414"/>
      <c r="IZP103" s="445"/>
      <c r="IZQ103" s="414"/>
      <c r="IZT103" s="445"/>
      <c r="IZU103" s="414"/>
      <c r="IZX103" s="445"/>
      <c r="IZY103" s="414"/>
      <c r="JAB103" s="445"/>
      <c r="JAC103" s="414"/>
      <c r="JAF103" s="445"/>
      <c r="JAG103" s="414"/>
      <c r="JAJ103" s="445"/>
      <c r="JAK103" s="414"/>
      <c r="JAN103" s="445"/>
      <c r="JAO103" s="414"/>
      <c r="JAR103" s="445"/>
      <c r="JAS103" s="414"/>
      <c r="JAV103" s="445"/>
      <c r="JAW103" s="414"/>
      <c r="JAZ103" s="445"/>
      <c r="JBA103" s="414"/>
      <c r="JBD103" s="445"/>
      <c r="JBE103" s="414"/>
      <c r="JBH103" s="445"/>
      <c r="JBI103" s="414"/>
      <c r="JBL103" s="445"/>
      <c r="JBM103" s="414"/>
      <c r="JBP103" s="445"/>
      <c r="JBQ103" s="414"/>
      <c r="JBT103" s="445"/>
      <c r="JBU103" s="414"/>
      <c r="JBX103" s="445"/>
      <c r="JBY103" s="414"/>
      <c r="JCB103" s="445"/>
      <c r="JCC103" s="414"/>
      <c r="JCF103" s="445"/>
      <c r="JCG103" s="414"/>
      <c r="JCJ103" s="445"/>
      <c r="JCK103" s="414"/>
      <c r="JCN103" s="445"/>
      <c r="JCO103" s="414"/>
      <c r="JCR103" s="445"/>
      <c r="JCS103" s="414"/>
      <c r="JCV103" s="445"/>
      <c r="JCW103" s="414"/>
      <c r="JCZ103" s="445"/>
      <c r="JDA103" s="414"/>
      <c r="JDD103" s="445"/>
      <c r="JDE103" s="414"/>
      <c r="JDH103" s="445"/>
      <c r="JDI103" s="414"/>
      <c r="JDL103" s="445"/>
      <c r="JDM103" s="414"/>
      <c r="JDP103" s="445"/>
      <c r="JDQ103" s="414"/>
      <c r="JDT103" s="445"/>
      <c r="JDU103" s="414"/>
      <c r="JDX103" s="445"/>
      <c r="JDY103" s="414"/>
      <c r="JEB103" s="445"/>
      <c r="JEC103" s="414"/>
      <c r="JEF103" s="445"/>
      <c r="JEG103" s="414"/>
      <c r="JEJ103" s="445"/>
      <c r="JEK103" s="414"/>
      <c r="JEN103" s="445"/>
      <c r="JEO103" s="414"/>
      <c r="JER103" s="445"/>
      <c r="JES103" s="414"/>
      <c r="JEV103" s="445"/>
      <c r="JEW103" s="414"/>
      <c r="JEZ103" s="445"/>
      <c r="JFA103" s="414"/>
      <c r="JFD103" s="445"/>
      <c r="JFE103" s="414"/>
      <c r="JFH103" s="445"/>
      <c r="JFI103" s="414"/>
      <c r="JFL103" s="445"/>
      <c r="JFM103" s="414"/>
      <c r="JFP103" s="445"/>
      <c r="JFQ103" s="414"/>
      <c r="JFT103" s="445"/>
      <c r="JFU103" s="414"/>
      <c r="JFX103" s="445"/>
      <c r="JFY103" s="414"/>
      <c r="JGB103" s="445"/>
      <c r="JGC103" s="414"/>
      <c r="JGF103" s="445"/>
      <c r="JGG103" s="414"/>
      <c r="JGJ103" s="445"/>
      <c r="JGK103" s="414"/>
      <c r="JGN103" s="445"/>
      <c r="JGO103" s="414"/>
      <c r="JGR103" s="445"/>
      <c r="JGS103" s="414"/>
      <c r="JGV103" s="445"/>
      <c r="JGW103" s="414"/>
      <c r="JGZ103" s="445"/>
      <c r="JHA103" s="414"/>
      <c r="JHD103" s="445"/>
      <c r="JHE103" s="414"/>
      <c r="JHH103" s="445"/>
      <c r="JHI103" s="414"/>
      <c r="JHL103" s="445"/>
      <c r="JHM103" s="414"/>
      <c r="JHP103" s="445"/>
      <c r="JHQ103" s="414"/>
      <c r="JHT103" s="445"/>
      <c r="JHU103" s="414"/>
      <c r="JHX103" s="445"/>
      <c r="JHY103" s="414"/>
      <c r="JIB103" s="445"/>
      <c r="JIC103" s="414"/>
      <c r="JIF103" s="445"/>
      <c r="JIG103" s="414"/>
      <c r="JIJ103" s="445"/>
      <c r="JIK103" s="414"/>
      <c r="JIN103" s="445"/>
      <c r="JIO103" s="414"/>
      <c r="JIR103" s="445"/>
      <c r="JIS103" s="414"/>
      <c r="JIV103" s="445"/>
      <c r="JIW103" s="414"/>
      <c r="JIZ103" s="445"/>
      <c r="JJA103" s="414"/>
      <c r="JJD103" s="445"/>
      <c r="JJE103" s="414"/>
      <c r="JJH103" s="445"/>
      <c r="JJI103" s="414"/>
      <c r="JJL103" s="445"/>
      <c r="JJM103" s="414"/>
      <c r="JJP103" s="445"/>
      <c r="JJQ103" s="414"/>
      <c r="JJT103" s="445"/>
      <c r="JJU103" s="414"/>
      <c r="JJX103" s="445"/>
      <c r="JJY103" s="414"/>
      <c r="JKB103" s="445"/>
      <c r="JKC103" s="414"/>
      <c r="JKF103" s="445"/>
      <c r="JKG103" s="414"/>
      <c r="JKJ103" s="445"/>
      <c r="JKK103" s="414"/>
      <c r="JKN103" s="445"/>
      <c r="JKO103" s="414"/>
      <c r="JKR103" s="445"/>
      <c r="JKS103" s="414"/>
      <c r="JKV103" s="445"/>
      <c r="JKW103" s="414"/>
      <c r="JKZ103" s="445"/>
      <c r="JLA103" s="414"/>
      <c r="JLD103" s="445"/>
      <c r="JLE103" s="414"/>
      <c r="JLH103" s="445"/>
      <c r="JLI103" s="414"/>
      <c r="JLL103" s="445"/>
      <c r="JLM103" s="414"/>
      <c r="JLP103" s="445"/>
      <c r="JLQ103" s="414"/>
      <c r="JLT103" s="445"/>
      <c r="JLU103" s="414"/>
      <c r="JLX103" s="445"/>
      <c r="JLY103" s="414"/>
      <c r="JMB103" s="445"/>
      <c r="JMC103" s="414"/>
      <c r="JMF103" s="445"/>
      <c r="JMG103" s="414"/>
      <c r="JMJ103" s="445"/>
      <c r="JMK103" s="414"/>
      <c r="JMN103" s="445"/>
      <c r="JMO103" s="414"/>
      <c r="JMR103" s="445"/>
      <c r="JMS103" s="414"/>
      <c r="JMV103" s="445"/>
      <c r="JMW103" s="414"/>
      <c r="JMZ103" s="445"/>
      <c r="JNA103" s="414"/>
      <c r="JND103" s="445"/>
      <c r="JNE103" s="414"/>
      <c r="JNH103" s="445"/>
      <c r="JNI103" s="414"/>
      <c r="JNL103" s="445"/>
      <c r="JNM103" s="414"/>
      <c r="JNP103" s="445"/>
      <c r="JNQ103" s="414"/>
      <c r="JNT103" s="445"/>
      <c r="JNU103" s="414"/>
      <c r="JNX103" s="445"/>
      <c r="JNY103" s="414"/>
      <c r="JOB103" s="445"/>
      <c r="JOC103" s="414"/>
      <c r="JOF103" s="445"/>
      <c r="JOG103" s="414"/>
      <c r="JOJ103" s="445"/>
      <c r="JOK103" s="414"/>
      <c r="JON103" s="445"/>
      <c r="JOO103" s="414"/>
      <c r="JOR103" s="445"/>
      <c r="JOS103" s="414"/>
      <c r="JOV103" s="445"/>
      <c r="JOW103" s="414"/>
      <c r="JOZ103" s="445"/>
      <c r="JPA103" s="414"/>
      <c r="JPD103" s="445"/>
      <c r="JPE103" s="414"/>
      <c r="JPH103" s="445"/>
      <c r="JPI103" s="414"/>
      <c r="JPL103" s="445"/>
      <c r="JPM103" s="414"/>
      <c r="JPP103" s="445"/>
      <c r="JPQ103" s="414"/>
      <c r="JPT103" s="445"/>
      <c r="JPU103" s="414"/>
      <c r="JPX103" s="445"/>
      <c r="JPY103" s="414"/>
      <c r="JQB103" s="445"/>
      <c r="JQC103" s="414"/>
      <c r="JQF103" s="445"/>
      <c r="JQG103" s="414"/>
      <c r="JQJ103" s="445"/>
      <c r="JQK103" s="414"/>
      <c r="JQN103" s="445"/>
      <c r="JQO103" s="414"/>
      <c r="JQR103" s="445"/>
      <c r="JQS103" s="414"/>
      <c r="JQV103" s="445"/>
      <c r="JQW103" s="414"/>
      <c r="JQZ103" s="445"/>
      <c r="JRA103" s="414"/>
      <c r="JRD103" s="445"/>
      <c r="JRE103" s="414"/>
      <c r="JRH103" s="445"/>
      <c r="JRI103" s="414"/>
      <c r="JRL103" s="445"/>
      <c r="JRM103" s="414"/>
      <c r="JRP103" s="445"/>
      <c r="JRQ103" s="414"/>
      <c r="JRT103" s="445"/>
      <c r="JRU103" s="414"/>
      <c r="JRX103" s="445"/>
      <c r="JRY103" s="414"/>
      <c r="JSB103" s="445"/>
      <c r="JSC103" s="414"/>
      <c r="JSF103" s="445"/>
      <c r="JSG103" s="414"/>
      <c r="JSJ103" s="445"/>
      <c r="JSK103" s="414"/>
      <c r="JSN103" s="445"/>
      <c r="JSO103" s="414"/>
      <c r="JSR103" s="445"/>
      <c r="JSS103" s="414"/>
      <c r="JSV103" s="445"/>
      <c r="JSW103" s="414"/>
      <c r="JSZ103" s="445"/>
      <c r="JTA103" s="414"/>
      <c r="JTD103" s="445"/>
      <c r="JTE103" s="414"/>
      <c r="JTH103" s="445"/>
      <c r="JTI103" s="414"/>
      <c r="JTL103" s="445"/>
      <c r="JTM103" s="414"/>
      <c r="JTP103" s="445"/>
      <c r="JTQ103" s="414"/>
      <c r="JTT103" s="445"/>
      <c r="JTU103" s="414"/>
      <c r="JTX103" s="445"/>
      <c r="JTY103" s="414"/>
      <c r="JUB103" s="445"/>
      <c r="JUC103" s="414"/>
      <c r="JUF103" s="445"/>
      <c r="JUG103" s="414"/>
      <c r="JUJ103" s="445"/>
      <c r="JUK103" s="414"/>
      <c r="JUN103" s="445"/>
      <c r="JUO103" s="414"/>
      <c r="JUR103" s="445"/>
      <c r="JUS103" s="414"/>
      <c r="JUV103" s="445"/>
      <c r="JUW103" s="414"/>
      <c r="JUZ103" s="445"/>
      <c r="JVA103" s="414"/>
      <c r="JVD103" s="445"/>
      <c r="JVE103" s="414"/>
      <c r="JVH103" s="445"/>
      <c r="JVI103" s="414"/>
      <c r="JVL103" s="445"/>
      <c r="JVM103" s="414"/>
      <c r="JVP103" s="445"/>
      <c r="JVQ103" s="414"/>
      <c r="JVT103" s="445"/>
      <c r="JVU103" s="414"/>
      <c r="JVX103" s="445"/>
      <c r="JVY103" s="414"/>
      <c r="JWB103" s="445"/>
      <c r="JWC103" s="414"/>
      <c r="JWF103" s="445"/>
      <c r="JWG103" s="414"/>
      <c r="JWJ103" s="445"/>
      <c r="JWK103" s="414"/>
      <c r="JWN103" s="445"/>
      <c r="JWO103" s="414"/>
      <c r="JWR103" s="445"/>
      <c r="JWS103" s="414"/>
      <c r="JWV103" s="445"/>
      <c r="JWW103" s="414"/>
      <c r="JWZ103" s="445"/>
      <c r="JXA103" s="414"/>
      <c r="JXD103" s="445"/>
      <c r="JXE103" s="414"/>
      <c r="JXH103" s="445"/>
      <c r="JXI103" s="414"/>
      <c r="JXL103" s="445"/>
      <c r="JXM103" s="414"/>
      <c r="JXP103" s="445"/>
      <c r="JXQ103" s="414"/>
      <c r="JXT103" s="445"/>
      <c r="JXU103" s="414"/>
      <c r="JXX103" s="445"/>
      <c r="JXY103" s="414"/>
      <c r="JYB103" s="445"/>
      <c r="JYC103" s="414"/>
      <c r="JYF103" s="445"/>
      <c r="JYG103" s="414"/>
      <c r="JYJ103" s="445"/>
      <c r="JYK103" s="414"/>
      <c r="JYN103" s="445"/>
      <c r="JYO103" s="414"/>
      <c r="JYR103" s="445"/>
      <c r="JYS103" s="414"/>
      <c r="JYV103" s="445"/>
      <c r="JYW103" s="414"/>
      <c r="JYZ103" s="445"/>
      <c r="JZA103" s="414"/>
      <c r="JZD103" s="445"/>
      <c r="JZE103" s="414"/>
      <c r="JZH103" s="445"/>
      <c r="JZI103" s="414"/>
      <c r="JZL103" s="445"/>
      <c r="JZM103" s="414"/>
      <c r="JZP103" s="445"/>
      <c r="JZQ103" s="414"/>
      <c r="JZT103" s="445"/>
      <c r="JZU103" s="414"/>
      <c r="JZX103" s="445"/>
      <c r="JZY103" s="414"/>
      <c r="KAB103" s="445"/>
      <c r="KAC103" s="414"/>
      <c r="KAF103" s="445"/>
      <c r="KAG103" s="414"/>
      <c r="KAJ103" s="445"/>
      <c r="KAK103" s="414"/>
      <c r="KAN103" s="445"/>
      <c r="KAO103" s="414"/>
      <c r="KAR103" s="445"/>
      <c r="KAS103" s="414"/>
      <c r="KAV103" s="445"/>
      <c r="KAW103" s="414"/>
      <c r="KAZ103" s="445"/>
      <c r="KBA103" s="414"/>
      <c r="KBD103" s="445"/>
      <c r="KBE103" s="414"/>
      <c r="KBH103" s="445"/>
      <c r="KBI103" s="414"/>
      <c r="KBL103" s="445"/>
      <c r="KBM103" s="414"/>
      <c r="KBP103" s="445"/>
      <c r="KBQ103" s="414"/>
      <c r="KBT103" s="445"/>
      <c r="KBU103" s="414"/>
      <c r="KBX103" s="445"/>
      <c r="KBY103" s="414"/>
      <c r="KCB103" s="445"/>
      <c r="KCC103" s="414"/>
      <c r="KCF103" s="445"/>
      <c r="KCG103" s="414"/>
      <c r="KCJ103" s="445"/>
      <c r="KCK103" s="414"/>
      <c r="KCN103" s="445"/>
      <c r="KCO103" s="414"/>
      <c r="KCR103" s="445"/>
      <c r="KCS103" s="414"/>
      <c r="KCV103" s="445"/>
      <c r="KCW103" s="414"/>
      <c r="KCZ103" s="445"/>
      <c r="KDA103" s="414"/>
      <c r="KDD103" s="445"/>
      <c r="KDE103" s="414"/>
      <c r="KDH103" s="445"/>
      <c r="KDI103" s="414"/>
      <c r="KDL103" s="445"/>
      <c r="KDM103" s="414"/>
      <c r="KDP103" s="445"/>
      <c r="KDQ103" s="414"/>
      <c r="KDT103" s="445"/>
      <c r="KDU103" s="414"/>
      <c r="KDX103" s="445"/>
      <c r="KDY103" s="414"/>
      <c r="KEB103" s="445"/>
      <c r="KEC103" s="414"/>
      <c r="KEF103" s="445"/>
      <c r="KEG103" s="414"/>
      <c r="KEJ103" s="445"/>
      <c r="KEK103" s="414"/>
      <c r="KEN103" s="445"/>
      <c r="KEO103" s="414"/>
      <c r="KER103" s="445"/>
      <c r="KES103" s="414"/>
      <c r="KEV103" s="445"/>
      <c r="KEW103" s="414"/>
      <c r="KEZ103" s="445"/>
      <c r="KFA103" s="414"/>
      <c r="KFD103" s="445"/>
      <c r="KFE103" s="414"/>
      <c r="KFH103" s="445"/>
      <c r="KFI103" s="414"/>
      <c r="KFL103" s="445"/>
      <c r="KFM103" s="414"/>
      <c r="KFP103" s="445"/>
      <c r="KFQ103" s="414"/>
      <c r="KFT103" s="445"/>
      <c r="KFU103" s="414"/>
      <c r="KFX103" s="445"/>
      <c r="KFY103" s="414"/>
      <c r="KGB103" s="445"/>
      <c r="KGC103" s="414"/>
      <c r="KGF103" s="445"/>
      <c r="KGG103" s="414"/>
      <c r="KGJ103" s="445"/>
      <c r="KGK103" s="414"/>
      <c r="KGN103" s="445"/>
      <c r="KGO103" s="414"/>
      <c r="KGR103" s="445"/>
      <c r="KGS103" s="414"/>
      <c r="KGV103" s="445"/>
      <c r="KGW103" s="414"/>
      <c r="KGZ103" s="445"/>
      <c r="KHA103" s="414"/>
      <c r="KHD103" s="445"/>
      <c r="KHE103" s="414"/>
      <c r="KHH103" s="445"/>
      <c r="KHI103" s="414"/>
      <c r="KHL103" s="445"/>
      <c r="KHM103" s="414"/>
      <c r="KHP103" s="445"/>
      <c r="KHQ103" s="414"/>
      <c r="KHT103" s="445"/>
      <c r="KHU103" s="414"/>
      <c r="KHX103" s="445"/>
      <c r="KHY103" s="414"/>
      <c r="KIB103" s="445"/>
      <c r="KIC103" s="414"/>
      <c r="KIF103" s="445"/>
      <c r="KIG103" s="414"/>
      <c r="KIJ103" s="445"/>
      <c r="KIK103" s="414"/>
      <c r="KIN103" s="445"/>
      <c r="KIO103" s="414"/>
      <c r="KIR103" s="445"/>
      <c r="KIS103" s="414"/>
      <c r="KIV103" s="445"/>
      <c r="KIW103" s="414"/>
      <c r="KIZ103" s="445"/>
      <c r="KJA103" s="414"/>
      <c r="KJD103" s="445"/>
      <c r="KJE103" s="414"/>
      <c r="KJH103" s="445"/>
      <c r="KJI103" s="414"/>
      <c r="KJL103" s="445"/>
      <c r="KJM103" s="414"/>
      <c r="KJP103" s="445"/>
      <c r="KJQ103" s="414"/>
      <c r="KJT103" s="445"/>
      <c r="KJU103" s="414"/>
      <c r="KJX103" s="445"/>
      <c r="KJY103" s="414"/>
      <c r="KKB103" s="445"/>
      <c r="KKC103" s="414"/>
      <c r="KKF103" s="445"/>
      <c r="KKG103" s="414"/>
      <c r="KKJ103" s="445"/>
      <c r="KKK103" s="414"/>
      <c r="KKN103" s="445"/>
      <c r="KKO103" s="414"/>
      <c r="KKR103" s="445"/>
      <c r="KKS103" s="414"/>
      <c r="KKV103" s="445"/>
      <c r="KKW103" s="414"/>
      <c r="KKZ103" s="445"/>
      <c r="KLA103" s="414"/>
      <c r="KLD103" s="445"/>
      <c r="KLE103" s="414"/>
      <c r="KLH103" s="445"/>
      <c r="KLI103" s="414"/>
      <c r="KLL103" s="445"/>
      <c r="KLM103" s="414"/>
      <c r="KLP103" s="445"/>
      <c r="KLQ103" s="414"/>
      <c r="KLT103" s="445"/>
      <c r="KLU103" s="414"/>
      <c r="KLX103" s="445"/>
      <c r="KLY103" s="414"/>
      <c r="KMB103" s="445"/>
      <c r="KMC103" s="414"/>
      <c r="KMF103" s="445"/>
      <c r="KMG103" s="414"/>
      <c r="KMJ103" s="445"/>
      <c r="KMK103" s="414"/>
      <c r="KMN103" s="445"/>
      <c r="KMO103" s="414"/>
      <c r="KMR103" s="445"/>
      <c r="KMS103" s="414"/>
      <c r="KMV103" s="445"/>
      <c r="KMW103" s="414"/>
      <c r="KMZ103" s="445"/>
      <c r="KNA103" s="414"/>
      <c r="KND103" s="445"/>
      <c r="KNE103" s="414"/>
      <c r="KNH103" s="445"/>
      <c r="KNI103" s="414"/>
      <c r="KNL103" s="445"/>
      <c r="KNM103" s="414"/>
      <c r="KNP103" s="445"/>
      <c r="KNQ103" s="414"/>
      <c r="KNT103" s="445"/>
      <c r="KNU103" s="414"/>
      <c r="KNX103" s="445"/>
      <c r="KNY103" s="414"/>
      <c r="KOB103" s="445"/>
      <c r="KOC103" s="414"/>
      <c r="KOF103" s="445"/>
      <c r="KOG103" s="414"/>
      <c r="KOJ103" s="445"/>
      <c r="KOK103" s="414"/>
      <c r="KON103" s="445"/>
      <c r="KOO103" s="414"/>
      <c r="KOR103" s="445"/>
      <c r="KOS103" s="414"/>
      <c r="KOV103" s="445"/>
      <c r="KOW103" s="414"/>
      <c r="KOZ103" s="445"/>
      <c r="KPA103" s="414"/>
      <c r="KPD103" s="445"/>
      <c r="KPE103" s="414"/>
      <c r="KPH103" s="445"/>
      <c r="KPI103" s="414"/>
      <c r="KPL103" s="445"/>
      <c r="KPM103" s="414"/>
      <c r="KPP103" s="445"/>
      <c r="KPQ103" s="414"/>
      <c r="KPT103" s="445"/>
      <c r="KPU103" s="414"/>
      <c r="KPX103" s="445"/>
      <c r="KPY103" s="414"/>
      <c r="KQB103" s="445"/>
      <c r="KQC103" s="414"/>
      <c r="KQF103" s="445"/>
      <c r="KQG103" s="414"/>
      <c r="KQJ103" s="445"/>
      <c r="KQK103" s="414"/>
      <c r="KQN103" s="445"/>
      <c r="KQO103" s="414"/>
      <c r="KQR103" s="445"/>
      <c r="KQS103" s="414"/>
      <c r="KQV103" s="445"/>
      <c r="KQW103" s="414"/>
      <c r="KQZ103" s="445"/>
      <c r="KRA103" s="414"/>
      <c r="KRD103" s="445"/>
      <c r="KRE103" s="414"/>
      <c r="KRH103" s="445"/>
      <c r="KRI103" s="414"/>
      <c r="KRL103" s="445"/>
      <c r="KRM103" s="414"/>
      <c r="KRP103" s="445"/>
      <c r="KRQ103" s="414"/>
      <c r="KRT103" s="445"/>
      <c r="KRU103" s="414"/>
      <c r="KRX103" s="445"/>
      <c r="KRY103" s="414"/>
      <c r="KSB103" s="445"/>
      <c r="KSC103" s="414"/>
      <c r="KSF103" s="445"/>
      <c r="KSG103" s="414"/>
      <c r="KSJ103" s="445"/>
      <c r="KSK103" s="414"/>
      <c r="KSN103" s="445"/>
      <c r="KSO103" s="414"/>
      <c r="KSR103" s="445"/>
      <c r="KSS103" s="414"/>
      <c r="KSV103" s="445"/>
      <c r="KSW103" s="414"/>
      <c r="KSZ103" s="445"/>
      <c r="KTA103" s="414"/>
      <c r="KTD103" s="445"/>
      <c r="KTE103" s="414"/>
      <c r="KTH103" s="445"/>
      <c r="KTI103" s="414"/>
      <c r="KTL103" s="445"/>
      <c r="KTM103" s="414"/>
      <c r="KTP103" s="445"/>
      <c r="KTQ103" s="414"/>
      <c r="KTT103" s="445"/>
      <c r="KTU103" s="414"/>
      <c r="KTX103" s="445"/>
      <c r="KTY103" s="414"/>
      <c r="KUB103" s="445"/>
      <c r="KUC103" s="414"/>
      <c r="KUF103" s="445"/>
      <c r="KUG103" s="414"/>
      <c r="KUJ103" s="445"/>
      <c r="KUK103" s="414"/>
      <c r="KUN103" s="445"/>
      <c r="KUO103" s="414"/>
      <c r="KUR103" s="445"/>
      <c r="KUS103" s="414"/>
      <c r="KUV103" s="445"/>
      <c r="KUW103" s="414"/>
      <c r="KUZ103" s="445"/>
      <c r="KVA103" s="414"/>
      <c r="KVD103" s="445"/>
      <c r="KVE103" s="414"/>
      <c r="KVH103" s="445"/>
      <c r="KVI103" s="414"/>
      <c r="KVL103" s="445"/>
      <c r="KVM103" s="414"/>
      <c r="KVP103" s="445"/>
      <c r="KVQ103" s="414"/>
      <c r="KVT103" s="445"/>
      <c r="KVU103" s="414"/>
      <c r="KVX103" s="445"/>
      <c r="KVY103" s="414"/>
      <c r="KWB103" s="445"/>
      <c r="KWC103" s="414"/>
      <c r="KWF103" s="445"/>
      <c r="KWG103" s="414"/>
      <c r="KWJ103" s="445"/>
      <c r="KWK103" s="414"/>
      <c r="KWN103" s="445"/>
      <c r="KWO103" s="414"/>
      <c r="KWR103" s="445"/>
      <c r="KWS103" s="414"/>
      <c r="KWV103" s="445"/>
      <c r="KWW103" s="414"/>
      <c r="KWZ103" s="445"/>
      <c r="KXA103" s="414"/>
      <c r="KXD103" s="445"/>
      <c r="KXE103" s="414"/>
      <c r="KXH103" s="445"/>
      <c r="KXI103" s="414"/>
      <c r="KXL103" s="445"/>
      <c r="KXM103" s="414"/>
      <c r="KXP103" s="445"/>
      <c r="KXQ103" s="414"/>
      <c r="KXT103" s="445"/>
      <c r="KXU103" s="414"/>
      <c r="KXX103" s="445"/>
      <c r="KXY103" s="414"/>
      <c r="KYB103" s="445"/>
      <c r="KYC103" s="414"/>
      <c r="KYF103" s="445"/>
      <c r="KYG103" s="414"/>
      <c r="KYJ103" s="445"/>
      <c r="KYK103" s="414"/>
      <c r="KYN103" s="445"/>
      <c r="KYO103" s="414"/>
      <c r="KYR103" s="445"/>
      <c r="KYS103" s="414"/>
      <c r="KYV103" s="445"/>
      <c r="KYW103" s="414"/>
      <c r="KYZ103" s="445"/>
      <c r="KZA103" s="414"/>
      <c r="KZD103" s="445"/>
      <c r="KZE103" s="414"/>
      <c r="KZH103" s="445"/>
      <c r="KZI103" s="414"/>
      <c r="KZL103" s="445"/>
      <c r="KZM103" s="414"/>
      <c r="KZP103" s="445"/>
      <c r="KZQ103" s="414"/>
      <c r="KZT103" s="445"/>
      <c r="KZU103" s="414"/>
      <c r="KZX103" s="445"/>
      <c r="KZY103" s="414"/>
      <c r="LAB103" s="445"/>
      <c r="LAC103" s="414"/>
      <c r="LAF103" s="445"/>
      <c r="LAG103" s="414"/>
      <c r="LAJ103" s="445"/>
      <c r="LAK103" s="414"/>
      <c r="LAN103" s="445"/>
      <c r="LAO103" s="414"/>
      <c r="LAR103" s="445"/>
      <c r="LAS103" s="414"/>
      <c r="LAV103" s="445"/>
      <c r="LAW103" s="414"/>
      <c r="LAZ103" s="445"/>
      <c r="LBA103" s="414"/>
      <c r="LBD103" s="445"/>
      <c r="LBE103" s="414"/>
      <c r="LBH103" s="445"/>
      <c r="LBI103" s="414"/>
      <c r="LBL103" s="445"/>
      <c r="LBM103" s="414"/>
      <c r="LBP103" s="445"/>
      <c r="LBQ103" s="414"/>
      <c r="LBT103" s="445"/>
      <c r="LBU103" s="414"/>
      <c r="LBX103" s="445"/>
      <c r="LBY103" s="414"/>
      <c r="LCB103" s="445"/>
      <c r="LCC103" s="414"/>
      <c r="LCF103" s="445"/>
      <c r="LCG103" s="414"/>
      <c r="LCJ103" s="445"/>
      <c r="LCK103" s="414"/>
      <c r="LCN103" s="445"/>
      <c r="LCO103" s="414"/>
      <c r="LCR103" s="445"/>
      <c r="LCS103" s="414"/>
      <c r="LCV103" s="445"/>
      <c r="LCW103" s="414"/>
      <c r="LCZ103" s="445"/>
      <c r="LDA103" s="414"/>
      <c r="LDD103" s="445"/>
      <c r="LDE103" s="414"/>
      <c r="LDH103" s="445"/>
      <c r="LDI103" s="414"/>
      <c r="LDL103" s="445"/>
      <c r="LDM103" s="414"/>
      <c r="LDP103" s="445"/>
      <c r="LDQ103" s="414"/>
      <c r="LDT103" s="445"/>
      <c r="LDU103" s="414"/>
      <c r="LDX103" s="445"/>
      <c r="LDY103" s="414"/>
      <c r="LEB103" s="445"/>
      <c r="LEC103" s="414"/>
      <c r="LEF103" s="445"/>
      <c r="LEG103" s="414"/>
      <c r="LEJ103" s="445"/>
      <c r="LEK103" s="414"/>
      <c r="LEN103" s="445"/>
      <c r="LEO103" s="414"/>
      <c r="LER103" s="445"/>
      <c r="LES103" s="414"/>
      <c r="LEV103" s="445"/>
      <c r="LEW103" s="414"/>
      <c r="LEZ103" s="445"/>
      <c r="LFA103" s="414"/>
      <c r="LFD103" s="445"/>
      <c r="LFE103" s="414"/>
      <c r="LFH103" s="445"/>
      <c r="LFI103" s="414"/>
      <c r="LFL103" s="445"/>
      <c r="LFM103" s="414"/>
      <c r="LFP103" s="445"/>
      <c r="LFQ103" s="414"/>
      <c r="LFT103" s="445"/>
      <c r="LFU103" s="414"/>
      <c r="LFX103" s="445"/>
      <c r="LFY103" s="414"/>
      <c r="LGB103" s="445"/>
      <c r="LGC103" s="414"/>
      <c r="LGF103" s="445"/>
      <c r="LGG103" s="414"/>
      <c r="LGJ103" s="445"/>
      <c r="LGK103" s="414"/>
      <c r="LGN103" s="445"/>
      <c r="LGO103" s="414"/>
      <c r="LGR103" s="445"/>
      <c r="LGS103" s="414"/>
      <c r="LGV103" s="445"/>
      <c r="LGW103" s="414"/>
      <c r="LGZ103" s="445"/>
      <c r="LHA103" s="414"/>
      <c r="LHD103" s="445"/>
      <c r="LHE103" s="414"/>
      <c r="LHH103" s="445"/>
      <c r="LHI103" s="414"/>
      <c r="LHL103" s="445"/>
      <c r="LHM103" s="414"/>
      <c r="LHP103" s="445"/>
      <c r="LHQ103" s="414"/>
      <c r="LHT103" s="445"/>
      <c r="LHU103" s="414"/>
      <c r="LHX103" s="445"/>
      <c r="LHY103" s="414"/>
      <c r="LIB103" s="445"/>
      <c r="LIC103" s="414"/>
      <c r="LIF103" s="445"/>
      <c r="LIG103" s="414"/>
      <c r="LIJ103" s="445"/>
      <c r="LIK103" s="414"/>
      <c r="LIN103" s="445"/>
      <c r="LIO103" s="414"/>
      <c r="LIR103" s="445"/>
      <c r="LIS103" s="414"/>
      <c r="LIV103" s="445"/>
      <c r="LIW103" s="414"/>
      <c r="LIZ103" s="445"/>
      <c r="LJA103" s="414"/>
      <c r="LJD103" s="445"/>
      <c r="LJE103" s="414"/>
      <c r="LJH103" s="445"/>
      <c r="LJI103" s="414"/>
      <c r="LJL103" s="445"/>
      <c r="LJM103" s="414"/>
      <c r="LJP103" s="445"/>
      <c r="LJQ103" s="414"/>
      <c r="LJT103" s="445"/>
      <c r="LJU103" s="414"/>
      <c r="LJX103" s="445"/>
      <c r="LJY103" s="414"/>
      <c r="LKB103" s="445"/>
      <c r="LKC103" s="414"/>
      <c r="LKF103" s="445"/>
      <c r="LKG103" s="414"/>
      <c r="LKJ103" s="445"/>
      <c r="LKK103" s="414"/>
      <c r="LKN103" s="445"/>
      <c r="LKO103" s="414"/>
      <c r="LKR103" s="445"/>
      <c r="LKS103" s="414"/>
      <c r="LKV103" s="445"/>
      <c r="LKW103" s="414"/>
      <c r="LKZ103" s="445"/>
      <c r="LLA103" s="414"/>
      <c r="LLD103" s="445"/>
      <c r="LLE103" s="414"/>
      <c r="LLH103" s="445"/>
      <c r="LLI103" s="414"/>
      <c r="LLL103" s="445"/>
      <c r="LLM103" s="414"/>
      <c r="LLP103" s="445"/>
      <c r="LLQ103" s="414"/>
      <c r="LLT103" s="445"/>
      <c r="LLU103" s="414"/>
      <c r="LLX103" s="445"/>
      <c r="LLY103" s="414"/>
      <c r="LMB103" s="445"/>
      <c r="LMC103" s="414"/>
      <c r="LMF103" s="445"/>
      <c r="LMG103" s="414"/>
      <c r="LMJ103" s="445"/>
      <c r="LMK103" s="414"/>
      <c r="LMN103" s="445"/>
      <c r="LMO103" s="414"/>
      <c r="LMR103" s="445"/>
      <c r="LMS103" s="414"/>
      <c r="LMV103" s="445"/>
      <c r="LMW103" s="414"/>
      <c r="LMZ103" s="445"/>
      <c r="LNA103" s="414"/>
      <c r="LND103" s="445"/>
      <c r="LNE103" s="414"/>
      <c r="LNH103" s="445"/>
      <c r="LNI103" s="414"/>
      <c r="LNL103" s="445"/>
      <c r="LNM103" s="414"/>
      <c r="LNP103" s="445"/>
      <c r="LNQ103" s="414"/>
      <c r="LNT103" s="445"/>
      <c r="LNU103" s="414"/>
      <c r="LNX103" s="445"/>
      <c r="LNY103" s="414"/>
      <c r="LOB103" s="445"/>
      <c r="LOC103" s="414"/>
      <c r="LOF103" s="445"/>
      <c r="LOG103" s="414"/>
      <c r="LOJ103" s="445"/>
      <c r="LOK103" s="414"/>
      <c r="LON103" s="445"/>
      <c r="LOO103" s="414"/>
      <c r="LOR103" s="445"/>
      <c r="LOS103" s="414"/>
      <c r="LOV103" s="445"/>
      <c r="LOW103" s="414"/>
      <c r="LOZ103" s="445"/>
      <c r="LPA103" s="414"/>
      <c r="LPD103" s="445"/>
      <c r="LPE103" s="414"/>
      <c r="LPH103" s="445"/>
      <c r="LPI103" s="414"/>
      <c r="LPL103" s="445"/>
      <c r="LPM103" s="414"/>
      <c r="LPP103" s="445"/>
      <c r="LPQ103" s="414"/>
      <c r="LPT103" s="445"/>
      <c r="LPU103" s="414"/>
      <c r="LPX103" s="445"/>
      <c r="LPY103" s="414"/>
      <c r="LQB103" s="445"/>
      <c r="LQC103" s="414"/>
      <c r="LQF103" s="445"/>
      <c r="LQG103" s="414"/>
      <c r="LQJ103" s="445"/>
      <c r="LQK103" s="414"/>
      <c r="LQN103" s="445"/>
      <c r="LQO103" s="414"/>
      <c r="LQR103" s="445"/>
      <c r="LQS103" s="414"/>
      <c r="LQV103" s="445"/>
      <c r="LQW103" s="414"/>
      <c r="LQZ103" s="445"/>
      <c r="LRA103" s="414"/>
      <c r="LRD103" s="445"/>
      <c r="LRE103" s="414"/>
      <c r="LRH103" s="445"/>
      <c r="LRI103" s="414"/>
      <c r="LRL103" s="445"/>
      <c r="LRM103" s="414"/>
      <c r="LRP103" s="445"/>
      <c r="LRQ103" s="414"/>
      <c r="LRT103" s="445"/>
      <c r="LRU103" s="414"/>
      <c r="LRX103" s="445"/>
      <c r="LRY103" s="414"/>
      <c r="LSB103" s="445"/>
      <c r="LSC103" s="414"/>
      <c r="LSF103" s="445"/>
      <c r="LSG103" s="414"/>
      <c r="LSJ103" s="445"/>
      <c r="LSK103" s="414"/>
      <c r="LSN103" s="445"/>
      <c r="LSO103" s="414"/>
      <c r="LSR103" s="445"/>
      <c r="LSS103" s="414"/>
      <c r="LSV103" s="445"/>
      <c r="LSW103" s="414"/>
      <c r="LSZ103" s="445"/>
      <c r="LTA103" s="414"/>
      <c r="LTD103" s="445"/>
      <c r="LTE103" s="414"/>
      <c r="LTH103" s="445"/>
      <c r="LTI103" s="414"/>
      <c r="LTL103" s="445"/>
      <c r="LTM103" s="414"/>
      <c r="LTP103" s="445"/>
      <c r="LTQ103" s="414"/>
      <c r="LTT103" s="445"/>
      <c r="LTU103" s="414"/>
      <c r="LTX103" s="445"/>
      <c r="LTY103" s="414"/>
      <c r="LUB103" s="445"/>
      <c r="LUC103" s="414"/>
      <c r="LUF103" s="445"/>
      <c r="LUG103" s="414"/>
      <c r="LUJ103" s="445"/>
      <c r="LUK103" s="414"/>
      <c r="LUN103" s="445"/>
      <c r="LUO103" s="414"/>
      <c r="LUR103" s="445"/>
      <c r="LUS103" s="414"/>
      <c r="LUV103" s="445"/>
      <c r="LUW103" s="414"/>
      <c r="LUZ103" s="445"/>
      <c r="LVA103" s="414"/>
      <c r="LVD103" s="445"/>
      <c r="LVE103" s="414"/>
      <c r="LVH103" s="445"/>
      <c r="LVI103" s="414"/>
      <c r="LVL103" s="445"/>
      <c r="LVM103" s="414"/>
      <c r="LVP103" s="445"/>
      <c r="LVQ103" s="414"/>
      <c r="LVT103" s="445"/>
      <c r="LVU103" s="414"/>
      <c r="LVX103" s="445"/>
      <c r="LVY103" s="414"/>
      <c r="LWB103" s="445"/>
      <c r="LWC103" s="414"/>
      <c r="LWF103" s="445"/>
      <c r="LWG103" s="414"/>
      <c r="LWJ103" s="445"/>
      <c r="LWK103" s="414"/>
      <c r="LWN103" s="445"/>
      <c r="LWO103" s="414"/>
      <c r="LWR103" s="445"/>
      <c r="LWS103" s="414"/>
      <c r="LWV103" s="445"/>
      <c r="LWW103" s="414"/>
      <c r="LWZ103" s="445"/>
      <c r="LXA103" s="414"/>
      <c r="LXD103" s="445"/>
      <c r="LXE103" s="414"/>
      <c r="LXH103" s="445"/>
      <c r="LXI103" s="414"/>
      <c r="LXL103" s="445"/>
      <c r="LXM103" s="414"/>
      <c r="LXP103" s="445"/>
      <c r="LXQ103" s="414"/>
      <c r="LXT103" s="445"/>
      <c r="LXU103" s="414"/>
      <c r="LXX103" s="445"/>
      <c r="LXY103" s="414"/>
      <c r="LYB103" s="445"/>
      <c r="LYC103" s="414"/>
      <c r="LYF103" s="445"/>
      <c r="LYG103" s="414"/>
      <c r="LYJ103" s="445"/>
      <c r="LYK103" s="414"/>
      <c r="LYN103" s="445"/>
      <c r="LYO103" s="414"/>
      <c r="LYR103" s="445"/>
      <c r="LYS103" s="414"/>
      <c r="LYV103" s="445"/>
      <c r="LYW103" s="414"/>
      <c r="LYZ103" s="445"/>
      <c r="LZA103" s="414"/>
      <c r="LZD103" s="445"/>
      <c r="LZE103" s="414"/>
      <c r="LZH103" s="445"/>
      <c r="LZI103" s="414"/>
      <c r="LZL103" s="445"/>
      <c r="LZM103" s="414"/>
      <c r="LZP103" s="445"/>
      <c r="LZQ103" s="414"/>
      <c r="LZT103" s="445"/>
      <c r="LZU103" s="414"/>
      <c r="LZX103" s="445"/>
      <c r="LZY103" s="414"/>
      <c r="MAB103" s="445"/>
      <c r="MAC103" s="414"/>
      <c r="MAF103" s="445"/>
      <c r="MAG103" s="414"/>
      <c r="MAJ103" s="445"/>
      <c r="MAK103" s="414"/>
      <c r="MAN103" s="445"/>
      <c r="MAO103" s="414"/>
      <c r="MAR103" s="445"/>
      <c r="MAS103" s="414"/>
      <c r="MAV103" s="445"/>
      <c r="MAW103" s="414"/>
      <c r="MAZ103" s="445"/>
      <c r="MBA103" s="414"/>
      <c r="MBD103" s="445"/>
      <c r="MBE103" s="414"/>
      <c r="MBH103" s="445"/>
      <c r="MBI103" s="414"/>
      <c r="MBL103" s="445"/>
      <c r="MBM103" s="414"/>
      <c r="MBP103" s="445"/>
      <c r="MBQ103" s="414"/>
      <c r="MBT103" s="445"/>
      <c r="MBU103" s="414"/>
      <c r="MBX103" s="445"/>
      <c r="MBY103" s="414"/>
      <c r="MCB103" s="445"/>
      <c r="MCC103" s="414"/>
      <c r="MCF103" s="445"/>
      <c r="MCG103" s="414"/>
      <c r="MCJ103" s="445"/>
      <c r="MCK103" s="414"/>
      <c r="MCN103" s="445"/>
      <c r="MCO103" s="414"/>
      <c r="MCR103" s="445"/>
      <c r="MCS103" s="414"/>
      <c r="MCV103" s="445"/>
      <c r="MCW103" s="414"/>
      <c r="MCZ103" s="445"/>
      <c r="MDA103" s="414"/>
      <c r="MDD103" s="445"/>
      <c r="MDE103" s="414"/>
      <c r="MDH103" s="445"/>
      <c r="MDI103" s="414"/>
      <c r="MDL103" s="445"/>
      <c r="MDM103" s="414"/>
      <c r="MDP103" s="445"/>
      <c r="MDQ103" s="414"/>
      <c r="MDT103" s="445"/>
      <c r="MDU103" s="414"/>
      <c r="MDX103" s="445"/>
      <c r="MDY103" s="414"/>
      <c r="MEB103" s="445"/>
      <c r="MEC103" s="414"/>
      <c r="MEF103" s="445"/>
      <c r="MEG103" s="414"/>
      <c r="MEJ103" s="445"/>
      <c r="MEK103" s="414"/>
      <c r="MEN103" s="445"/>
      <c r="MEO103" s="414"/>
      <c r="MER103" s="445"/>
      <c r="MES103" s="414"/>
      <c r="MEV103" s="445"/>
      <c r="MEW103" s="414"/>
      <c r="MEZ103" s="445"/>
      <c r="MFA103" s="414"/>
      <c r="MFD103" s="445"/>
      <c r="MFE103" s="414"/>
      <c r="MFH103" s="445"/>
      <c r="MFI103" s="414"/>
      <c r="MFL103" s="445"/>
      <c r="MFM103" s="414"/>
      <c r="MFP103" s="445"/>
      <c r="MFQ103" s="414"/>
      <c r="MFT103" s="445"/>
      <c r="MFU103" s="414"/>
      <c r="MFX103" s="445"/>
      <c r="MFY103" s="414"/>
      <c r="MGB103" s="445"/>
      <c r="MGC103" s="414"/>
      <c r="MGF103" s="445"/>
      <c r="MGG103" s="414"/>
      <c r="MGJ103" s="445"/>
      <c r="MGK103" s="414"/>
      <c r="MGN103" s="445"/>
      <c r="MGO103" s="414"/>
      <c r="MGR103" s="445"/>
      <c r="MGS103" s="414"/>
      <c r="MGV103" s="445"/>
      <c r="MGW103" s="414"/>
      <c r="MGZ103" s="445"/>
      <c r="MHA103" s="414"/>
      <c r="MHD103" s="445"/>
      <c r="MHE103" s="414"/>
      <c r="MHH103" s="445"/>
      <c r="MHI103" s="414"/>
      <c r="MHL103" s="445"/>
      <c r="MHM103" s="414"/>
      <c r="MHP103" s="445"/>
      <c r="MHQ103" s="414"/>
      <c r="MHT103" s="445"/>
      <c r="MHU103" s="414"/>
      <c r="MHX103" s="445"/>
      <c r="MHY103" s="414"/>
      <c r="MIB103" s="445"/>
      <c r="MIC103" s="414"/>
      <c r="MIF103" s="445"/>
      <c r="MIG103" s="414"/>
      <c r="MIJ103" s="445"/>
      <c r="MIK103" s="414"/>
      <c r="MIN103" s="445"/>
      <c r="MIO103" s="414"/>
      <c r="MIR103" s="445"/>
      <c r="MIS103" s="414"/>
      <c r="MIV103" s="445"/>
      <c r="MIW103" s="414"/>
      <c r="MIZ103" s="445"/>
      <c r="MJA103" s="414"/>
      <c r="MJD103" s="445"/>
      <c r="MJE103" s="414"/>
      <c r="MJH103" s="445"/>
      <c r="MJI103" s="414"/>
      <c r="MJL103" s="445"/>
      <c r="MJM103" s="414"/>
      <c r="MJP103" s="445"/>
      <c r="MJQ103" s="414"/>
      <c r="MJT103" s="445"/>
      <c r="MJU103" s="414"/>
      <c r="MJX103" s="445"/>
      <c r="MJY103" s="414"/>
      <c r="MKB103" s="445"/>
      <c r="MKC103" s="414"/>
      <c r="MKF103" s="445"/>
      <c r="MKG103" s="414"/>
      <c r="MKJ103" s="445"/>
      <c r="MKK103" s="414"/>
      <c r="MKN103" s="445"/>
      <c r="MKO103" s="414"/>
      <c r="MKR103" s="445"/>
      <c r="MKS103" s="414"/>
      <c r="MKV103" s="445"/>
      <c r="MKW103" s="414"/>
      <c r="MKZ103" s="445"/>
      <c r="MLA103" s="414"/>
      <c r="MLD103" s="445"/>
      <c r="MLE103" s="414"/>
      <c r="MLH103" s="445"/>
      <c r="MLI103" s="414"/>
      <c r="MLL103" s="445"/>
      <c r="MLM103" s="414"/>
      <c r="MLP103" s="445"/>
      <c r="MLQ103" s="414"/>
      <c r="MLT103" s="445"/>
      <c r="MLU103" s="414"/>
      <c r="MLX103" s="445"/>
      <c r="MLY103" s="414"/>
      <c r="MMB103" s="445"/>
      <c r="MMC103" s="414"/>
      <c r="MMF103" s="445"/>
      <c r="MMG103" s="414"/>
      <c r="MMJ103" s="445"/>
      <c r="MMK103" s="414"/>
      <c r="MMN103" s="445"/>
      <c r="MMO103" s="414"/>
      <c r="MMR103" s="445"/>
      <c r="MMS103" s="414"/>
      <c r="MMV103" s="445"/>
      <c r="MMW103" s="414"/>
      <c r="MMZ103" s="445"/>
      <c r="MNA103" s="414"/>
      <c r="MND103" s="445"/>
      <c r="MNE103" s="414"/>
      <c r="MNH103" s="445"/>
      <c r="MNI103" s="414"/>
      <c r="MNL103" s="445"/>
      <c r="MNM103" s="414"/>
      <c r="MNP103" s="445"/>
      <c r="MNQ103" s="414"/>
      <c r="MNT103" s="445"/>
      <c r="MNU103" s="414"/>
      <c r="MNX103" s="445"/>
      <c r="MNY103" s="414"/>
      <c r="MOB103" s="445"/>
      <c r="MOC103" s="414"/>
      <c r="MOF103" s="445"/>
      <c r="MOG103" s="414"/>
      <c r="MOJ103" s="445"/>
      <c r="MOK103" s="414"/>
      <c r="MON103" s="445"/>
      <c r="MOO103" s="414"/>
      <c r="MOR103" s="445"/>
      <c r="MOS103" s="414"/>
      <c r="MOV103" s="445"/>
      <c r="MOW103" s="414"/>
      <c r="MOZ103" s="445"/>
      <c r="MPA103" s="414"/>
      <c r="MPD103" s="445"/>
      <c r="MPE103" s="414"/>
      <c r="MPH103" s="445"/>
      <c r="MPI103" s="414"/>
      <c r="MPL103" s="445"/>
      <c r="MPM103" s="414"/>
      <c r="MPP103" s="445"/>
      <c r="MPQ103" s="414"/>
      <c r="MPT103" s="445"/>
      <c r="MPU103" s="414"/>
      <c r="MPX103" s="445"/>
      <c r="MPY103" s="414"/>
      <c r="MQB103" s="445"/>
      <c r="MQC103" s="414"/>
      <c r="MQF103" s="445"/>
      <c r="MQG103" s="414"/>
      <c r="MQJ103" s="445"/>
      <c r="MQK103" s="414"/>
      <c r="MQN103" s="445"/>
      <c r="MQO103" s="414"/>
      <c r="MQR103" s="445"/>
      <c r="MQS103" s="414"/>
      <c r="MQV103" s="445"/>
      <c r="MQW103" s="414"/>
      <c r="MQZ103" s="445"/>
      <c r="MRA103" s="414"/>
      <c r="MRD103" s="445"/>
      <c r="MRE103" s="414"/>
      <c r="MRH103" s="445"/>
      <c r="MRI103" s="414"/>
      <c r="MRL103" s="445"/>
      <c r="MRM103" s="414"/>
      <c r="MRP103" s="445"/>
      <c r="MRQ103" s="414"/>
      <c r="MRT103" s="445"/>
      <c r="MRU103" s="414"/>
      <c r="MRX103" s="445"/>
      <c r="MRY103" s="414"/>
      <c r="MSB103" s="445"/>
      <c r="MSC103" s="414"/>
      <c r="MSF103" s="445"/>
      <c r="MSG103" s="414"/>
      <c r="MSJ103" s="445"/>
      <c r="MSK103" s="414"/>
      <c r="MSN103" s="445"/>
      <c r="MSO103" s="414"/>
      <c r="MSR103" s="445"/>
      <c r="MSS103" s="414"/>
      <c r="MSV103" s="445"/>
      <c r="MSW103" s="414"/>
      <c r="MSZ103" s="445"/>
      <c r="MTA103" s="414"/>
      <c r="MTD103" s="445"/>
      <c r="MTE103" s="414"/>
      <c r="MTH103" s="445"/>
      <c r="MTI103" s="414"/>
      <c r="MTL103" s="445"/>
      <c r="MTM103" s="414"/>
      <c r="MTP103" s="445"/>
      <c r="MTQ103" s="414"/>
      <c r="MTT103" s="445"/>
      <c r="MTU103" s="414"/>
      <c r="MTX103" s="445"/>
      <c r="MTY103" s="414"/>
      <c r="MUB103" s="445"/>
      <c r="MUC103" s="414"/>
      <c r="MUF103" s="445"/>
      <c r="MUG103" s="414"/>
      <c r="MUJ103" s="445"/>
      <c r="MUK103" s="414"/>
      <c r="MUN103" s="445"/>
      <c r="MUO103" s="414"/>
      <c r="MUR103" s="445"/>
      <c r="MUS103" s="414"/>
      <c r="MUV103" s="445"/>
      <c r="MUW103" s="414"/>
      <c r="MUZ103" s="445"/>
      <c r="MVA103" s="414"/>
      <c r="MVD103" s="445"/>
      <c r="MVE103" s="414"/>
      <c r="MVH103" s="445"/>
      <c r="MVI103" s="414"/>
      <c r="MVL103" s="445"/>
      <c r="MVM103" s="414"/>
      <c r="MVP103" s="445"/>
      <c r="MVQ103" s="414"/>
      <c r="MVT103" s="445"/>
      <c r="MVU103" s="414"/>
      <c r="MVX103" s="445"/>
      <c r="MVY103" s="414"/>
      <c r="MWB103" s="445"/>
      <c r="MWC103" s="414"/>
      <c r="MWF103" s="445"/>
      <c r="MWG103" s="414"/>
      <c r="MWJ103" s="445"/>
      <c r="MWK103" s="414"/>
      <c r="MWN103" s="445"/>
      <c r="MWO103" s="414"/>
      <c r="MWR103" s="445"/>
      <c r="MWS103" s="414"/>
      <c r="MWV103" s="445"/>
      <c r="MWW103" s="414"/>
      <c r="MWZ103" s="445"/>
      <c r="MXA103" s="414"/>
      <c r="MXD103" s="445"/>
      <c r="MXE103" s="414"/>
      <c r="MXH103" s="445"/>
      <c r="MXI103" s="414"/>
      <c r="MXL103" s="445"/>
      <c r="MXM103" s="414"/>
      <c r="MXP103" s="445"/>
      <c r="MXQ103" s="414"/>
      <c r="MXT103" s="445"/>
      <c r="MXU103" s="414"/>
      <c r="MXX103" s="445"/>
      <c r="MXY103" s="414"/>
      <c r="MYB103" s="445"/>
      <c r="MYC103" s="414"/>
      <c r="MYF103" s="445"/>
      <c r="MYG103" s="414"/>
      <c r="MYJ103" s="445"/>
      <c r="MYK103" s="414"/>
      <c r="MYN103" s="445"/>
      <c r="MYO103" s="414"/>
      <c r="MYR103" s="445"/>
      <c r="MYS103" s="414"/>
      <c r="MYV103" s="445"/>
      <c r="MYW103" s="414"/>
      <c r="MYZ103" s="445"/>
      <c r="MZA103" s="414"/>
      <c r="MZD103" s="445"/>
      <c r="MZE103" s="414"/>
      <c r="MZH103" s="445"/>
      <c r="MZI103" s="414"/>
      <c r="MZL103" s="445"/>
      <c r="MZM103" s="414"/>
      <c r="MZP103" s="445"/>
      <c r="MZQ103" s="414"/>
      <c r="MZT103" s="445"/>
      <c r="MZU103" s="414"/>
      <c r="MZX103" s="445"/>
      <c r="MZY103" s="414"/>
      <c r="NAB103" s="445"/>
      <c r="NAC103" s="414"/>
      <c r="NAF103" s="445"/>
      <c r="NAG103" s="414"/>
      <c r="NAJ103" s="445"/>
      <c r="NAK103" s="414"/>
      <c r="NAN103" s="445"/>
      <c r="NAO103" s="414"/>
      <c r="NAR103" s="445"/>
      <c r="NAS103" s="414"/>
      <c r="NAV103" s="445"/>
      <c r="NAW103" s="414"/>
      <c r="NAZ103" s="445"/>
      <c r="NBA103" s="414"/>
      <c r="NBD103" s="445"/>
      <c r="NBE103" s="414"/>
      <c r="NBH103" s="445"/>
      <c r="NBI103" s="414"/>
      <c r="NBL103" s="445"/>
      <c r="NBM103" s="414"/>
      <c r="NBP103" s="445"/>
      <c r="NBQ103" s="414"/>
      <c r="NBT103" s="445"/>
      <c r="NBU103" s="414"/>
      <c r="NBX103" s="445"/>
      <c r="NBY103" s="414"/>
      <c r="NCB103" s="445"/>
      <c r="NCC103" s="414"/>
      <c r="NCF103" s="445"/>
      <c r="NCG103" s="414"/>
      <c r="NCJ103" s="445"/>
      <c r="NCK103" s="414"/>
      <c r="NCN103" s="445"/>
      <c r="NCO103" s="414"/>
      <c r="NCR103" s="445"/>
      <c r="NCS103" s="414"/>
      <c r="NCV103" s="445"/>
      <c r="NCW103" s="414"/>
      <c r="NCZ103" s="445"/>
      <c r="NDA103" s="414"/>
      <c r="NDD103" s="445"/>
      <c r="NDE103" s="414"/>
      <c r="NDH103" s="445"/>
      <c r="NDI103" s="414"/>
      <c r="NDL103" s="445"/>
      <c r="NDM103" s="414"/>
      <c r="NDP103" s="445"/>
      <c r="NDQ103" s="414"/>
      <c r="NDT103" s="445"/>
      <c r="NDU103" s="414"/>
      <c r="NDX103" s="445"/>
      <c r="NDY103" s="414"/>
      <c r="NEB103" s="445"/>
      <c r="NEC103" s="414"/>
      <c r="NEF103" s="445"/>
      <c r="NEG103" s="414"/>
      <c r="NEJ103" s="445"/>
      <c r="NEK103" s="414"/>
      <c r="NEN103" s="445"/>
      <c r="NEO103" s="414"/>
      <c r="NER103" s="445"/>
      <c r="NES103" s="414"/>
      <c r="NEV103" s="445"/>
      <c r="NEW103" s="414"/>
      <c r="NEZ103" s="445"/>
      <c r="NFA103" s="414"/>
      <c r="NFD103" s="445"/>
      <c r="NFE103" s="414"/>
      <c r="NFH103" s="445"/>
      <c r="NFI103" s="414"/>
      <c r="NFL103" s="445"/>
      <c r="NFM103" s="414"/>
      <c r="NFP103" s="445"/>
      <c r="NFQ103" s="414"/>
      <c r="NFT103" s="445"/>
      <c r="NFU103" s="414"/>
      <c r="NFX103" s="445"/>
      <c r="NFY103" s="414"/>
      <c r="NGB103" s="445"/>
      <c r="NGC103" s="414"/>
      <c r="NGF103" s="445"/>
      <c r="NGG103" s="414"/>
      <c r="NGJ103" s="445"/>
      <c r="NGK103" s="414"/>
      <c r="NGN103" s="445"/>
      <c r="NGO103" s="414"/>
      <c r="NGR103" s="445"/>
      <c r="NGS103" s="414"/>
      <c r="NGV103" s="445"/>
      <c r="NGW103" s="414"/>
      <c r="NGZ103" s="445"/>
      <c r="NHA103" s="414"/>
      <c r="NHD103" s="445"/>
      <c r="NHE103" s="414"/>
      <c r="NHH103" s="445"/>
      <c r="NHI103" s="414"/>
      <c r="NHL103" s="445"/>
      <c r="NHM103" s="414"/>
      <c r="NHP103" s="445"/>
      <c r="NHQ103" s="414"/>
      <c r="NHT103" s="445"/>
      <c r="NHU103" s="414"/>
      <c r="NHX103" s="445"/>
      <c r="NHY103" s="414"/>
      <c r="NIB103" s="445"/>
      <c r="NIC103" s="414"/>
      <c r="NIF103" s="445"/>
      <c r="NIG103" s="414"/>
      <c r="NIJ103" s="445"/>
      <c r="NIK103" s="414"/>
      <c r="NIN103" s="445"/>
      <c r="NIO103" s="414"/>
      <c r="NIR103" s="445"/>
      <c r="NIS103" s="414"/>
      <c r="NIV103" s="445"/>
      <c r="NIW103" s="414"/>
      <c r="NIZ103" s="445"/>
      <c r="NJA103" s="414"/>
      <c r="NJD103" s="445"/>
      <c r="NJE103" s="414"/>
      <c r="NJH103" s="445"/>
      <c r="NJI103" s="414"/>
      <c r="NJL103" s="445"/>
      <c r="NJM103" s="414"/>
      <c r="NJP103" s="445"/>
      <c r="NJQ103" s="414"/>
      <c r="NJT103" s="445"/>
      <c r="NJU103" s="414"/>
      <c r="NJX103" s="445"/>
      <c r="NJY103" s="414"/>
      <c r="NKB103" s="445"/>
      <c r="NKC103" s="414"/>
      <c r="NKF103" s="445"/>
      <c r="NKG103" s="414"/>
      <c r="NKJ103" s="445"/>
      <c r="NKK103" s="414"/>
      <c r="NKN103" s="445"/>
      <c r="NKO103" s="414"/>
      <c r="NKR103" s="445"/>
      <c r="NKS103" s="414"/>
      <c r="NKV103" s="445"/>
      <c r="NKW103" s="414"/>
      <c r="NKZ103" s="445"/>
      <c r="NLA103" s="414"/>
      <c r="NLD103" s="445"/>
      <c r="NLE103" s="414"/>
      <c r="NLH103" s="445"/>
      <c r="NLI103" s="414"/>
      <c r="NLL103" s="445"/>
      <c r="NLM103" s="414"/>
      <c r="NLP103" s="445"/>
      <c r="NLQ103" s="414"/>
      <c r="NLT103" s="445"/>
      <c r="NLU103" s="414"/>
      <c r="NLX103" s="445"/>
      <c r="NLY103" s="414"/>
      <c r="NMB103" s="445"/>
      <c r="NMC103" s="414"/>
      <c r="NMF103" s="445"/>
      <c r="NMG103" s="414"/>
      <c r="NMJ103" s="445"/>
      <c r="NMK103" s="414"/>
      <c r="NMN103" s="445"/>
      <c r="NMO103" s="414"/>
      <c r="NMR103" s="445"/>
      <c r="NMS103" s="414"/>
      <c r="NMV103" s="445"/>
      <c r="NMW103" s="414"/>
      <c r="NMZ103" s="445"/>
      <c r="NNA103" s="414"/>
      <c r="NND103" s="445"/>
      <c r="NNE103" s="414"/>
      <c r="NNH103" s="445"/>
      <c r="NNI103" s="414"/>
      <c r="NNL103" s="445"/>
      <c r="NNM103" s="414"/>
      <c r="NNP103" s="445"/>
      <c r="NNQ103" s="414"/>
      <c r="NNT103" s="445"/>
      <c r="NNU103" s="414"/>
      <c r="NNX103" s="445"/>
      <c r="NNY103" s="414"/>
      <c r="NOB103" s="445"/>
      <c r="NOC103" s="414"/>
      <c r="NOF103" s="445"/>
      <c r="NOG103" s="414"/>
      <c r="NOJ103" s="445"/>
      <c r="NOK103" s="414"/>
      <c r="NON103" s="445"/>
      <c r="NOO103" s="414"/>
      <c r="NOR103" s="445"/>
      <c r="NOS103" s="414"/>
      <c r="NOV103" s="445"/>
      <c r="NOW103" s="414"/>
      <c r="NOZ103" s="445"/>
      <c r="NPA103" s="414"/>
      <c r="NPD103" s="445"/>
      <c r="NPE103" s="414"/>
      <c r="NPH103" s="445"/>
      <c r="NPI103" s="414"/>
      <c r="NPL103" s="445"/>
      <c r="NPM103" s="414"/>
      <c r="NPP103" s="445"/>
      <c r="NPQ103" s="414"/>
      <c r="NPT103" s="445"/>
      <c r="NPU103" s="414"/>
      <c r="NPX103" s="445"/>
      <c r="NPY103" s="414"/>
      <c r="NQB103" s="445"/>
      <c r="NQC103" s="414"/>
      <c r="NQF103" s="445"/>
      <c r="NQG103" s="414"/>
      <c r="NQJ103" s="445"/>
      <c r="NQK103" s="414"/>
      <c r="NQN103" s="445"/>
      <c r="NQO103" s="414"/>
      <c r="NQR103" s="445"/>
      <c r="NQS103" s="414"/>
      <c r="NQV103" s="445"/>
      <c r="NQW103" s="414"/>
      <c r="NQZ103" s="445"/>
      <c r="NRA103" s="414"/>
      <c r="NRD103" s="445"/>
      <c r="NRE103" s="414"/>
      <c r="NRH103" s="445"/>
      <c r="NRI103" s="414"/>
      <c r="NRL103" s="445"/>
      <c r="NRM103" s="414"/>
      <c r="NRP103" s="445"/>
      <c r="NRQ103" s="414"/>
      <c r="NRT103" s="445"/>
      <c r="NRU103" s="414"/>
      <c r="NRX103" s="445"/>
      <c r="NRY103" s="414"/>
      <c r="NSB103" s="445"/>
      <c r="NSC103" s="414"/>
      <c r="NSF103" s="445"/>
      <c r="NSG103" s="414"/>
      <c r="NSJ103" s="445"/>
      <c r="NSK103" s="414"/>
      <c r="NSN103" s="445"/>
      <c r="NSO103" s="414"/>
      <c r="NSR103" s="445"/>
      <c r="NSS103" s="414"/>
      <c r="NSV103" s="445"/>
      <c r="NSW103" s="414"/>
      <c r="NSZ103" s="445"/>
      <c r="NTA103" s="414"/>
      <c r="NTD103" s="445"/>
      <c r="NTE103" s="414"/>
      <c r="NTH103" s="445"/>
      <c r="NTI103" s="414"/>
      <c r="NTL103" s="445"/>
      <c r="NTM103" s="414"/>
      <c r="NTP103" s="445"/>
      <c r="NTQ103" s="414"/>
      <c r="NTT103" s="445"/>
      <c r="NTU103" s="414"/>
      <c r="NTX103" s="445"/>
      <c r="NTY103" s="414"/>
      <c r="NUB103" s="445"/>
      <c r="NUC103" s="414"/>
      <c r="NUF103" s="445"/>
      <c r="NUG103" s="414"/>
      <c r="NUJ103" s="445"/>
      <c r="NUK103" s="414"/>
      <c r="NUN103" s="445"/>
      <c r="NUO103" s="414"/>
      <c r="NUR103" s="445"/>
      <c r="NUS103" s="414"/>
      <c r="NUV103" s="445"/>
      <c r="NUW103" s="414"/>
      <c r="NUZ103" s="445"/>
      <c r="NVA103" s="414"/>
      <c r="NVD103" s="445"/>
      <c r="NVE103" s="414"/>
      <c r="NVH103" s="445"/>
      <c r="NVI103" s="414"/>
      <c r="NVL103" s="445"/>
      <c r="NVM103" s="414"/>
      <c r="NVP103" s="445"/>
      <c r="NVQ103" s="414"/>
      <c r="NVT103" s="445"/>
      <c r="NVU103" s="414"/>
      <c r="NVX103" s="445"/>
      <c r="NVY103" s="414"/>
      <c r="NWB103" s="445"/>
      <c r="NWC103" s="414"/>
      <c r="NWF103" s="445"/>
      <c r="NWG103" s="414"/>
      <c r="NWJ103" s="445"/>
      <c r="NWK103" s="414"/>
      <c r="NWN103" s="445"/>
      <c r="NWO103" s="414"/>
      <c r="NWR103" s="445"/>
      <c r="NWS103" s="414"/>
      <c r="NWV103" s="445"/>
      <c r="NWW103" s="414"/>
      <c r="NWZ103" s="445"/>
      <c r="NXA103" s="414"/>
      <c r="NXD103" s="445"/>
      <c r="NXE103" s="414"/>
      <c r="NXH103" s="445"/>
      <c r="NXI103" s="414"/>
      <c r="NXL103" s="445"/>
      <c r="NXM103" s="414"/>
      <c r="NXP103" s="445"/>
      <c r="NXQ103" s="414"/>
      <c r="NXT103" s="445"/>
      <c r="NXU103" s="414"/>
      <c r="NXX103" s="445"/>
      <c r="NXY103" s="414"/>
      <c r="NYB103" s="445"/>
      <c r="NYC103" s="414"/>
      <c r="NYF103" s="445"/>
      <c r="NYG103" s="414"/>
      <c r="NYJ103" s="445"/>
      <c r="NYK103" s="414"/>
      <c r="NYN103" s="445"/>
      <c r="NYO103" s="414"/>
      <c r="NYR103" s="445"/>
      <c r="NYS103" s="414"/>
      <c r="NYV103" s="445"/>
      <c r="NYW103" s="414"/>
      <c r="NYZ103" s="445"/>
      <c r="NZA103" s="414"/>
      <c r="NZD103" s="445"/>
      <c r="NZE103" s="414"/>
      <c r="NZH103" s="445"/>
      <c r="NZI103" s="414"/>
      <c r="NZL103" s="445"/>
      <c r="NZM103" s="414"/>
      <c r="NZP103" s="445"/>
      <c r="NZQ103" s="414"/>
      <c r="NZT103" s="445"/>
      <c r="NZU103" s="414"/>
      <c r="NZX103" s="445"/>
      <c r="NZY103" s="414"/>
      <c r="OAB103" s="445"/>
      <c r="OAC103" s="414"/>
      <c r="OAF103" s="445"/>
      <c r="OAG103" s="414"/>
      <c r="OAJ103" s="445"/>
      <c r="OAK103" s="414"/>
      <c r="OAN103" s="445"/>
      <c r="OAO103" s="414"/>
      <c r="OAR103" s="445"/>
      <c r="OAS103" s="414"/>
      <c r="OAV103" s="445"/>
      <c r="OAW103" s="414"/>
      <c r="OAZ103" s="445"/>
      <c r="OBA103" s="414"/>
      <c r="OBD103" s="445"/>
      <c r="OBE103" s="414"/>
      <c r="OBH103" s="445"/>
      <c r="OBI103" s="414"/>
      <c r="OBL103" s="445"/>
      <c r="OBM103" s="414"/>
      <c r="OBP103" s="445"/>
      <c r="OBQ103" s="414"/>
      <c r="OBT103" s="445"/>
      <c r="OBU103" s="414"/>
      <c r="OBX103" s="445"/>
      <c r="OBY103" s="414"/>
      <c r="OCB103" s="445"/>
      <c r="OCC103" s="414"/>
      <c r="OCF103" s="445"/>
      <c r="OCG103" s="414"/>
      <c r="OCJ103" s="445"/>
      <c r="OCK103" s="414"/>
      <c r="OCN103" s="445"/>
      <c r="OCO103" s="414"/>
      <c r="OCR103" s="445"/>
      <c r="OCS103" s="414"/>
      <c r="OCV103" s="445"/>
      <c r="OCW103" s="414"/>
      <c r="OCZ103" s="445"/>
      <c r="ODA103" s="414"/>
      <c r="ODD103" s="445"/>
      <c r="ODE103" s="414"/>
      <c r="ODH103" s="445"/>
      <c r="ODI103" s="414"/>
      <c r="ODL103" s="445"/>
      <c r="ODM103" s="414"/>
      <c r="ODP103" s="445"/>
      <c r="ODQ103" s="414"/>
      <c r="ODT103" s="445"/>
      <c r="ODU103" s="414"/>
      <c r="ODX103" s="445"/>
      <c r="ODY103" s="414"/>
      <c r="OEB103" s="445"/>
      <c r="OEC103" s="414"/>
      <c r="OEF103" s="445"/>
      <c r="OEG103" s="414"/>
      <c r="OEJ103" s="445"/>
      <c r="OEK103" s="414"/>
      <c r="OEN103" s="445"/>
      <c r="OEO103" s="414"/>
      <c r="OER103" s="445"/>
      <c r="OES103" s="414"/>
      <c r="OEV103" s="445"/>
      <c r="OEW103" s="414"/>
      <c r="OEZ103" s="445"/>
      <c r="OFA103" s="414"/>
      <c r="OFD103" s="445"/>
      <c r="OFE103" s="414"/>
      <c r="OFH103" s="445"/>
      <c r="OFI103" s="414"/>
      <c r="OFL103" s="445"/>
      <c r="OFM103" s="414"/>
      <c r="OFP103" s="445"/>
      <c r="OFQ103" s="414"/>
      <c r="OFT103" s="445"/>
      <c r="OFU103" s="414"/>
      <c r="OFX103" s="445"/>
      <c r="OFY103" s="414"/>
      <c r="OGB103" s="445"/>
      <c r="OGC103" s="414"/>
      <c r="OGF103" s="445"/>
      <c r="OGG103" s="414"/>
      <c r="OGJ103" s="445"/>
      <c r="OGK103" s="414"/>
      <c r="OGN103" s="445"/>
      <c r="OGO103" s="414"/>
      <c r="OGR103" s="445"/>
      <c r="OGS103" s="414"/>
      <c r="OGV103" s="445"/>
      <c r="OGW103" s="414"/>
      <c r="OGZ103" s="445"/>
      <c r="OHA103" s="414"/>
      <c r="OHD103" s="445"/>
      <c r="OHE103" s="414"/>
      <c r="OHH103" s="445"/>
      <c r="OHI103" s="414"/>
      <c r="OHL103" s="445"/>
      <c r="OHM103" s="414"/>
      <c r="OHP103" s="445"/>
      <c r="OHQ103" s="414"/>
      <c r="OHT103" s="445"/>
      <c r="OHU103" s="414"/>
      <c r="OHX103" s="445"/>
      <c r="OHY103" s="414"/>
      <c r="OIB103" s="445"/>
      <c r="OIC103" s="414"/>
      <c r="OIF103" s="445"/>
      <c r="OIG103" s="414"/>
      <c r="OIJ103" s="445"/>
      <c r="OIK103" s="414"/>
      <c r="OIN103" s="445"/>
      <c r="OIO103" s="414"/>
      <c r="OIR103" s="445"/>
      <c r="OIS103" s="414"/>
      <c r="OIV103" s="445"/>
      <c r="OIW103" s="414"/>
      <c r="OIZ103" s="445"/>
      <c r="OJA103" s="414"/>
      <c r="OJD103" s="445"/>
      <c r="OJE103" s="414"/>
      <c r="OJH103" s="445"/>
      <c r="OJI103" s="414"/>
      <c r="OJL103" s="445"/>
      <c r="OJM103" s="414"/>
      <c r="OJP103" s="445"/>
      <c r="OJQ103" s="414"/>
      <c r="OJT103" s="445"/>
      <c r="OJU103" s="414"/>
      <c r="OJX103" s="445"/>
      <c r="OJY103" s="414"/>
      <c r="OKB103" s="445"/>
      <c r="OKC103" s="414"/>
      <c r="OKF103" s="445"/>
      <c r="OKG103" s="414"/>
      <c r="OKJ103" s="445"/>
      <c r="OKK103" s="414"/>
      <c r="OKN103" s="445"/>
      <c r="OKO103" s="414"/>
      <c r="OKR103" s="445"/>
      <c r="OKS103" s="414"/>
      <c r="OKV103" s="445"/>
      <c r="OKW103" s="414"/>
      <c r="OKZ103" s="445"/>
      <c r="OLA103" s="414"/>
      <c r="OLD103" s="445"/>
      <c r="OLE103" s="414"/>
      <c r="OLH103" s="445"/>
      <c r="OLI103" s="414"/>
      <c r="OLL103" s="445"/>
      <c r="OLM103" s="414"/>
      <c r="OLP103" s="445"/>
      <c r="OLQ103" s="414"/>
      <c r="OLT103" s="445"/>
      <c r="OLU103" s="414"/>
      <c r="OLX103" s="445"/>
      <c r="OLY103" s="414"/>
      <c r="OMB103" s="445"/>
      <c r="OMC103" s="414"/>
      <c r="OMF103" s="445"/>
      <c r="OMG103" s="414"/>
      <c r="OMJ103" s="445"/>
      <c r="OMK103" s="414"/>
      <c r="OMN103" s="445"/>
      <c r="OMO103" s="414"/>
      <c r="OMR103" s="445"/>
      <c r="OMS103" s="414"/>
      <c r="OMV103" s="445"/>
      <c r="OMW103" s="414"/>
      <c r="OMZ103" s="445"/>
      <c r="ONA103" s="414"/>
      <c r="OND103" s="445"/>
      <c r="ONE103" s="414"/>
      <c r="ONH103" s="445"/>
      <c r="ONI103" s="414"/>
      <c r="ONL103" s="445"/>
      <c r="ONM103" s="414"/>
      <c r="ONP103" s="445"/>
      <c r="ONQ103" s="414"/>
      <c r="ONT103" s="445"/>
      <c r="ONU103" s="414"/>
      <c r="ONX103" s="445"/>
      <c r="ONY103" s="414"/>
      <c r="OOB103" s="445"/>
      <c r="OOC103" s="414"/>
      <c r="OOF103" s="445"/>
      <c r="OOG103" s="414"/>
      <c r="OOJ103" s="445"/>
      <c r="OOK103" s="414"/>
      <c r="OON103" s="445"/>
      <c r="OOO103" s="414"/>
      <c r="OOR103" s="445"/>
      <c r="OOS103" s="414"/>
      <c r="OOV103" s="445"/>
      <c r="OOW103" s="414"/>
      <c r="OOZ103" s="445"/>
      <c r="OPA103" s="414"/>
      <c r="OPD103" s="445"/>
      <c r="OPE103" s="414"/>
      <c r="OPH103" s="445"/>
      <c r="OPI103" s="414"/>
      <c r="OPL103" s="445"/>
      <c r="OPM103" s="414"/>
      <c r="OPP103" s="445"/>
      <c r="OPQ103" s="414"/>
      <c r="OPT103" s="445"/>
      <c r="OPU103" s="414"/>
      <c r="OPX103" s="445"/>
      <c r="OPY103" s="414"/>
      <c r="OQB103" s="445"/>
      <c r="OQC103" s="414"/>
      <c r="OQF103" s="445"/>
      <c r="OQG103" s="414"/>
      <c r="OQJ103" s="445"/>
      <c r="OQK103" s="414"/>
      <c r="OQN103" s="445"/>
      <c r="OQO103" s="414"/>
      <c r="OQR103" s="445"/>
      <c r="OQS103" s="414"/>
      <c r="OQV103" s="445"/>
      <c r="OQW103" s="414"/>
      <c r="OQZ103" s="445"/>
      <c r="ORA103" s="414"/>
      <c r="ORD103" s="445"/>
      <c r="ORE103" s="414"/>
      <c r="ORH103" s="445"/>
      <c r="ORI103" s="414"/>
      <c r="ORL103" s="445"/>
      <c r="ORM103" s="414"/>
      <c r="ORP103" s="445"/>
      <c r="ORQ103" s="414"/>
      <c r="ORT103" s="445"/>
      <c r="ORU103" s="414"/>
      <c r="ORX103" s="445"/>
      <c r="ORY103" s="414"/>
      <c r="OSB103" s="445"/>
      <c r="OSC103" s="414"/>
      <c r="OSF103" s="445"/>
      <c r="OSG103" s="414"/>
      <c r="OSJ103" s="445"/>
      <c r="OSK103" s="414"/>
      <c r="OSN103" s="445"/>
      <c r="OSO103" s="414"/>
      <c r="OSR103" s="445"/>
      <c r="OSS103" s="414"/>
      <c r="OSV103" s="445"/>
      <c r="OSW103" s="414"/>
      <c r="OSZ103" s="445"/>
      <c r="OTA103" s="414"/>
      <c r="OTD103" s="445"/>
      <c r="OTE103" s="414"/>
      <c r="OTH103" s="445"/>
      <c r="OTI103" s="414"/>
      <c r="OTL103" s="445"/>
      <c r="OTM103" s="414"/>
      <c r="OTP103" s="445"/>
      <c r="OTQ103" s="414"/>
      <c r="OTT103" s="445"/>
      <c r="OTU103" s="414"/>
      <c r="OTX103" s="445"/>
      <c r="OTY103" s="414"/>
      <c r="OUB103" s="445"/>
      <c r="OUC103" s="414"/>
      <c r="OUF103" s="445"/>
      <c r="OUG103" s="414"/>
      <c r="OUJ103" s="445"/>
      <c r="OUK103" s="414"/>
      <c r="OUN103" s="445"/>
      <c r="OUO103" s="414"/>
      <c r="OUR103" s="445"/>
      <c r="OUS103" s="414"/>
      <c r="OUV103" s="445"/>
      <c r="OUW103" s="414"/>
      <c r="OUZ103" s="445"/>
      <c r="OVA103" s="414"/>
      <c r="OVD103" s="445"/>
      <c r="OVE103" s="414"/>
      <c r="OVH103" s="445"/>
      <c r="OVI103" s="414"/>
      <c r="OVL103" s="445"/>
      <c r="OVM103" s="414"/>
      <c r="OVP103" s="445"/>
      <c r="OVQ103" s="414"/>
      <c r="OVT103" s="445"/>
      <c r="OVU103" s="414"/>
      <c r="OVX103" s="445"/>
      <c r="OVY103" s="414"/>
      <c r="OWB103" s="445"/>
      <c r="OWC103" s="414"/>
      <c r="OWF103" s="445"/>
      <c r="OWG103" s="414"/>
      <c r="OWJ103" s="445"/>
      <c r="OWK103" s="414"/>
      <c r="OWN103" s="445"/>
      <c r="OWO103" s="414"/>
      <c r="OWR103" s="445"/>
      <c r="OWS103" s="414"/>
      <c r="OWV103" s="445"/>
      <c r="OWW103" s="414"/>
      <c r="OWZ103" s="445"/>
      <c r="OXA103" s="414"/>
      <c r="OXD103" s="445"/>
      <c r="OXE103" s="414"/>
      <c r="OXH103" s="445"/>
      <c r="OXI103" s="414"/>
      <c r="OXL103" s="445"/>
      <c r="OXM103" s="414"/>
      <c r="OXP103" s="445"/>
      <c r="OXQ103" s="414"/>
      <c r="OXT103" s="445"/>
      <c r="OXU103" s="414"/>
      <c r="OXX103" s="445"/>
      <c r="OXY103" s="414"/>
      <c r="OYB103" s="445"/>
      <c r="OYC103" s="414"/>
      <c r="OYF103" s="445"/>
      <c r="OYG103" s="414"/>
      <c r="OYJ103" s="445"/>
      <c r="OYK103" s="414"/>
      <c r="OYN103" s="445"/>
      <c r="OYO103" s="414"/>
      <c r="OYR103" s="445"/>
      <c r="OYS103" s="414"/>
      <c r="OYV103" s="445"/>
      <c r="OYW103" s="414"/>
      <c r="OYZ103" s="445"/>
      <c r="OZA103" s="414"/>
      <c r="OZD103" s="445"/>
      <c r="OZE103" s="414"/>
      <c r="OZH103" s="445"/>
      <c r="OZI103" s="414"/>
      <c r="OZL103" s="445"/>
      <c r="OZM103" s="414"/>
      <c r="OZP103" s="445"/>
      <c r="OZQ103" s="414"/>
      <c r="OZT103" s="445"/>
      <c r="OZU103" s="414"/>
      <c r="OZX103" s="445"/>
      <c r="OZY103" s="414"/>
      <c r="PAB103" s="445"/>
      <c r="PAC103" s="414"/>
      <c r="PAF103" s="445"/>
      <c r="PAG103" s="414"/>
      <c r="PAJ103" s="445"/>
      <c r="PAK103" s="414"/>
      <c r="PAN103" s="445"/>
      <c r="PAO103" s="414"/>
      <c r="PAR103" s="445"/>
      <c r="PAS103" s="414"/>
      <c r="PAV103" s="445"/>
      <c r="PAW103" s="414"/>
      <c r="PAZ103" s="445"/>
      <c r="PBA103" s="414"/>
      <c r="PBD103" s="445"/>
      <c r="PBE103" s="414"/>
      <c r="PBH103" s="445"/>
      <c r="PBI103" s="414"/>
      <c r="PBL103" s="445"/>
      <c r="PBM103" s="414"/>
      <c r="PBP103" s="445"/>
      <c r="PBQ103" s="414"/>
      <c r="PBT103" s="445"/>
      <c r="PBU103" s="414"/>
      <c r="PBX103" s="445"/>
      <c r="PBY103" s="414"/>
      <c r="PCB103" s="445"/>
      <c r="PCC103" s="414"/>
      <c r="PCF103" s="445"/>
      <c r="PCG103" s="414"/>
      <c r="PCJ103" s="445"/>
      <c r="PCK103" s="414"/>
      <c r="PCN103" s="445"/>
      <c r="PCO103" s="414"/>
      <c r="PCR103" s="445"/>
      <c r="PCS103" s="414"/>
      <c r="PCV103" s="445"/>
      <c r="PCW103" s="414"/>
      <c r="PCZ103" s="445"/>
      <c r="PDA103" s="414"/>
      <c r="PDD103" s="445"/>
      <c r="PDE103" s="414"/>
      <c r="PDH103" s="445"/>
      <c r="PDI103" s="414"/>
      <c r="PDL103" s="445"/>
      <c r="PDM103" s="414"/>
      <c r="PDP103" s="445"/>
      <c r="PDQ103" s="414"/>
      <c r="PDT103" s="445"/>
      <c r="PDU103" s="414"/>
      <c r="PDX103" s="445"/>
      <c r="PDY103" s="414"/>
      <c r="PEB103" s="445"/>
      <c r="PEC103" s="414"/>
      <c r="PEF103" s="445"/>
      <c r="PEG103" s="414"/>
      <c r="PEJ103" s="445"/>
      <c r="PEK103" s="414"/>
      <c r="PEN103" s="445"/>
      <c r="PEO103" s="414"/>
      <c r="PER103" s="445"/>
      <c r="PES103" s="414"/>
      <c r="PEV103" s="445"/>
      <c r="PEW103" s="414"/>
      <c r="PEZ103" s="445"/>
      <c r="PFA103" s="414"/>
      <c r="PFD103" s="445"/>
      <c r="PFE103" s="414"/>
      <c r="PFH103" s="445"/>
      <c r="PFI103" s="414"/>
      <c r="PFL103" s="445"/>
      <c r="PFM103" s="414"/>
      <c r="PFP103" s="445"/>
      <c r="PFQ103" s="414"/>
      <c r="PFT103" s="445"/>
      <c r="PFU103" s="414"/>
      <c r="PFX103" s="445"/>
      <c r="PFY103" s="414"/>
      <c r="PGB103" s="445"/>
      <c r="PGC103" s="414"/>
      <c r="PGF103" s="445"/>
      <c r="PGG103" s="414"/>
      <c r="PGJ103" s="445"/>
      <c r="PGK103" s="414"/>
      <c r="PGN103" s="445"/>
      <c r="PGO103" s="414"/>
      <c r="PGR103" s="445"/>
      <c r="PGS103" s="414"/>
      <c r="PGV103" s="445"/>
      <c r="PGW103" s="414"/>
      <c r="PGZ103" s="445"/>
      <c r="PHA103" s="414"/>
      <c r="PHD103" s="445"/>
      <c r="PHE103" s="414"/>
      <c r="PHH103" s="445"/>
      <c r="PHI103" s="414"/>
      <c r="PHL103" s="445"/>
      <c r="PHM103" s="414"/>
      <c r="PHP103" s="445"/>
      <c r="PHQ103" s="414"/>
      <c r="PHT103" s="445"/>
      <c r="PHU103" s="414"/>
      <c r="PHX103" s="445"/>
      <c r="PHY103" s="414"/>
      <c r="PIB103" s="445"/>
      <c r="PIC103" s="414"/>
      <c r="PIF103" s="445"/>
      <c r="PIG103" s="414"/>
      <c r="PIJ103" s="445"/>
      <c r="PIK103" s="414"/>
      <c r="PIN103" s="445"/>
      <c r="PIO103" s="414"/>
      <c r="PIR103" s="445"/>
      <c r="PIS103" s="414"/>
      <c r="PIV103" s="445"/>
      <c r="PIW103" s="414"/>
      <c r="PIZ103" s="445"/>
      <c r="PJA103" s="414"/>
      <c r="PJD103" s="445"/>
      <c r="PJE103" s="414"/>
      <c r="PJH103" s="445"/>
      <c r="PJI103" s="414"/>
      <c r="PJL103" s="445"/>
      <c r="PJM103" s="414"/>
      <c r="PJP103" s="445"/>
      <c r="PJQ103" s="414"/>
      <c r="PJT103" s="445"/>
      <c r="PJU103" s="414"/>
      <c r="PJX103" s="445"/>
      <c r="PJY103" s="414"/>
      <c r="PKB103" s="445"/>
      <c r="PKC103" s="414"/>
      <c r="PKF103" s="445"/>
      <c r="PKG103" s="414"/>
      <c r="PKJ103" s="445"/>
      <c r="PKK103" s="414"/>
      <c r="PKN103" s="445"/>
      <c r="PKO103" s="414"/>
      <c r="PKR103" s="445"/>
      <c r="PKS103" s="414"/>
      <c r="PKV103" s="445"/>
      <c r="PKW103" s="414"/>
      <c r="PKZ103" s="445"/>
      <c r="PLA103" s="414"/>
      <c r="PLD103" s="445"/>
      <c r="PLE103" s="414"/>
      <c r="PLH103" s="445"/>
      <c r="PLI103" s="414"/>
      <c r="PLL103" s="445"/>
      <c r="PLM103" s="414"/>
      <c r="PLP103" s="445"/>
      <c r="PLQ103" s="414"/>
      <c r="PLT103" s="445"/>
      <c r="PLU103" s="414"/>
      <c r="PLX103" s="445"/>
      <c r="PLY103" s="414"/>
      <c r="PMB103" s="445"/>
      <c r="PMC103" s="414"/>
      <c r="PMF103" s="445"/>
      <c r="PMG103" s="414"/>
      <c r="PMJ103" s="445"/>
      <c r="PMK103" s="414"/>
      <c r="PMN103" s="445"/>
      <c r="PMO103" s="414"/>
      <c r="PMR103" s="445"/>
      <c r="PMS103" s="414"/>
      <c r="PMV103" s="445"/>
      <c r="PMW103" s="414"/>
      <c r="PMZ103" s="445"/>
      <c r="PNA103" s="414"/>
      <c r="PND103" s="445"/>
      <c r="PNE103" s="414"/>
      <c r="PNH103" s="445"/>
      <c r="PNI103" s="414"/>
      <c r="PNL103" s="445"/>
      <c r="PNM103" s="414"/>
      <c r="PNP103" s="445"/>
      <c r="PNQ103" s="414"/>
      <c r="PNT103" s="445"/>
      <c r="PNU103" s="414"/>
      <c r="PNX103" s="445"/>
      <c r="PNY103" s="414"/>
      <c r="POB103" s="445"/>
      <c r="POC103" s="414"/>
      <c r="POF103" s="445"/>
      <c r="POG103" s="414"/>
      <c r="POJ103" s="445"/>
      <c r="POK103" s="414"/>
      <c r="PON103" s="445"/>
      <c r="POO103" s="414"/>
      <c r="POR103" s="445"/>
      <c r="POS103" s="414"/>
      <c r="POV103" s="445"/>
      <c r="POW103" s="414"/>
      <c r="POZ103" s="445"/>
      <c r="PPA103" s="414"/>
      <c r="PPD103" s="445"/>
      <c r="PPE103" s="414"/>
      <c r="PPH103" s="445"/>
      <c r="PPI103" s="414"/>
      <c r="PPL103" s="445"/>
      <c r="PPM103" s="414"/>
      <c r="PPP103" s="445"/>
      <c r="PPQ103" s="414"/>
      <c r="PPT103" s="445"/>
      <c r="PPU103" s="414"/>
      <c r="PPX103" s="445"/>
      <c r="PPY103" s="414"/>
      <c r="PQB103" s="445"/>
      <c r="PQC103" s="414"/>
      <c r="PQF103" s="445"/>
      <c r="PQG103" s="414"/>
      <c r="PQJ103" s="445"/>
      <c r="PQK103" s="414"/>
      <c r="PQN103" s="445"/>
      <c r="PQO103" s="414"/>
      <c r="PQR103" s="445"/>
      <c r="PQS103" s="414"/>
      <c r="PQV103" s="445"/>
      <c r="PQW103" s="414"/>
      <c r="PQZ103" s="445"/>
      <c r="PRA103" s="414"/>
      <c r="PRD103" s="445"/>
      <c r="PRE103" s="414"/>
      <c r="PRH103" s="445"/>
      <c r="PRI103" s="414"/>
      <c r="PRL103" s="445"/>
      <c r="PRM103" s="414"/>
      <c r="PRP103" s="445"/>
      <c r="PRQ103" s="414"/>
      <c r="PRT103" s="445"/>
      <c r="PRU103" s="414"/>
      <c r="PRX103" s="445"/>
      <c r="PRY103" s="414"/>
      <c r="PSB103" s="445"/>
      <c r="PSC103" s="414"/>
      <c r="PSF103" s="445"/>
      <c r="PSG103" s="414"/>
      <c r="PSJ103" s="445"/>
      <c r="PSK103" s="414"/>
      <c r="PSN103" s="445"/>
      <c r="PSO103" s="414"/>
      <c r="PSR103" s="445"/>
      <c r="PSS103" s="414"/>
      <c r="PSV103" s="445"/>
      <c r="PSW103" s="414"/>
      <c r="PSZ103" s="445"/>
      <c r="PTA103" s="414"/>
      <c r="PTD103" s="445"/>
      <c r="PTE103" s="414"/>
      <c r="PTH103" s="445"/>
      <c r="PTI103" s="414"/>
      <c r="PTL103" s="445"/>
      <c r="PTM103" s="414"/>
      <c r="PTP103" s="445"/>
      <c r="PTQ103" s="414"/>
      <c r="PTT103" s="445"/>
      <c r="PTU103" s="414"/>
      <c r="PTX103" s="445"/>
      <c r="PTY103" s="414"/>
      <c r="PUB103" s="445"/>
      <c r="PUC103" s="414"/>
      <c r="PUF103" s="445"/>
      <c r="PUG103" s="414"/>
      <c r="PUJ103" s="445"/>
      <c r="PUK103" s="414"/>
      <c r="PUN103" s="445"/>
      <c r="PUO103" s="414"/>
      <c r="PUR103" s="445"/>
      <c r="PUS103" s="414"/>
      <c r="PUV103" s="445"/>
      <c r="PUW103" s="414"/>
      <c r="PUZ103" s="445"/>
      <c r="PVA103" s="414"/>
      <c r="PVD103" s="445"/>
      <c r="PVE103" s="414"/>
      <c r="PVH103" s="445"/>
      <c r="PVI103" s="414"/>
      <c r="PVL103" s="445"/>
      <c r="PVM103" s="414"/>
      <c r="PVP103" s="445"/>
      <c r="PVQ103" s="414"/>
      <c r="PVT103" s="445"/>
      <c r="PVU103" s="414"/>
      <c r="PVX103" s="445"/>
      <c r="PVY103" s="414"/>
      <c r="PWB103" s="445"/>
      <c r="PWC103" s="414"/>
      <c r="PWF103" s="445"/>
      <c r="PWG103" s="414"/>
      <c r="PWJ103" s="445"/>
      <c r="PWK103" s="414"/>
      <c r="PWN103" s="445"/>
      <c r="PWO103" s="414"/>
      <c r="PWR103" s="445"/>
      <c r="PWS103" s="414"/>
      <c r="PWV103" s="445"/>
      <c r="PWW103" s="414"/>
      <c r="PWZ103" s="445"/>
      <c r="PXA103" s="414"/>
      <c r="PXD103" s="445"/>
      <c r="PXE103" s="414"/>
      <c r="PXH103" s="445"/>
      <c r="PXI103" s="414"/>
      <c r="PXL103" s="445"/>
      <c r="PXM103" s="414"/>
      <c r="PXP103" s="445"/>
      <c r="PXQ103" s="414"/>
      <c r="PXT103" s="445"/>
      <c r="PXU103" s="414"/>
      <c r="PXX103" s="445"/>
      <c r="PXY103" s="414"/>
      <c r="PYB103" s="445"/>
      <c r="PYC103" s="414"/>
      <c r="PYF103" s="445"/>
      <c r="PYG103" s="414"/>
      <c r="PYJ103" s="445"/>
      <c r="PYK103" s="414"/>
      <c r="PYN103" s="445"/>
      <c r="PYO103" s="414"/>
      <c r="PYR103" s="445"/>
      <c r="PYS103" s="414"/>
      <c r="PYV103" s="445"/>
      <c r="PYW103" s="414"/>
      <c r="PYZ103" s="445"/>
      <c r="PZA103" s="414"/>
      <c r="PZD103" s="445"/>
      <c r="PZE103" s="414"/>
      <c r="PZH103" s="445"/>
      <c r="PZI103" s="414"/>
      <c r="PZL103" s="445"/>
      <c r="PZM103" s="414"/>
      <c r="PZP103" s="445"/>
      <c r="PZQ103" s="414"/>
      <c r="PZT103" s="445"/>
      <c r="PZU103" s="414"/>
      <c r="PZX103" s="445"/>
      <c r="PZY103" s="414"/>
      <c r="QAB103" s="445"/>
      <c r="QAC103" s="414"/>
      <c r="QAF103" s="445"/>
      <c r="QAG103" s="414"/>
      <c r="QAJ103" s="445"/>
      <c r="QAK103" s="414"/>
      <c r="QAN103" s="445"/>
      <c r="QAO103" s="414"/>
      <c r="QAR103" s="445"/>
      <c r="QAS103" s="414"/>
      <c r="QAV103" s="445"/>
      <c r="QAW103" s="414"/>
      <c r="QAZ103" s="445"/>
      <c r="QBA103" s="414"/>
      <c r="QBD103" s="445"/>
      <c r="QBE103" s="414"/>
      <c r="QBH103" s="445"/>
      <c r="QBI103" s="414"/>
      <c r="QBL103" s="445"/>
      <c r="QBM103" s="414"/>
      <c r="QBP103" s="445"/>
      <c r="QBQ103" s="414"/>
      <c r="QBT103" s="445"/>
      <c r="QBU103" s="414"/>
      <c r="QBX103" s="445"/>
      <c r="QBY103" s="414"/>
      <c r="QCB103" s="445"/>
      <c r="QCC103" s="414"/>
      <c r="QCF103" s="445"/>
      <c r="QCG103" s="414"/>
      <c r="QCJ103" s="445"/>
      <c r="QCK103" s="414"/>
      <c r="QCN103" s="445"/>
      <c r="QCO103" s="414"/>
      <c r="QCR103" s="445"/>
      <c r="QCS103" s="414"/>
      <c r="QCV103" s="445"/>
      <c r="QCW103" s="414"/>
      <c r="QCZ103" s="445"/>
      <c r="QDA103" s="414"/>
      <c r="QDD103" s="445"/>
      <c r="QDE103" s="414"/>
      <c r="QDH103" s="445"/>
      <c r="QDI103" s="414"/>
      <c r="QDL103" s="445"/>
      <c r="QDM103" s="414"/>
      <c r="QDP103" s="445"/>
      <c r="QDQ103" s="414"/>
      <c r="QDT103" s="445"/>
      <c r="QDU103" s="414"/>
      <c r="QDX103" s="445"/>
      <c r="QDY103" s="414"/>
      <c r="QEB103" s="445"/>
      <c r="QEC103" s="414"/>
      <c r="QEF103" s="445"/>
      <c r="QEG103" s="414"/>
      <c r="QEJ103" s="445"/>
      <c r="QEK103" s="414"/>
      <c r="QEN103" s="445"/>
      <c r="QEO103" s="414"/>
      <c r="QER103" s="445"/>
      <c r="QES103" s="414"/>
      <c r="QEV103" s="445"/>
      <c r="QEW103" s="414"/>
      <c r="QEZ103" s="445"/>
      <c r="QFA103" s="414"/>
      <c r="QFD103" s="445"/>
      <c r="QFE103" s="414"/>
      <c r="QFH103" s="445"/>
      <c r="QFI103" s="414"/>
      <c r="QFL103" s="445"/>
      <c r="QFM103" s="414"/>
      <c r="QFP103" s="445"/>
      <c r="QFQ103" s="414"/>
      <c r="QFT103" s="445"/>
      <c r="QFU103" s="414"/>
      <c r="QFX103" s="445"/>
      <c r="QFY103" s="414"/>
      <c r="QGB103" s="445"/>
      <c r="QGC103" s="414"/>
      <c r="QGF103" s="445"/>
      <c r="QGG103" s="414"/>
      <c r="QGJ103" s="445"/>
      <c r="QGK103" s="414"/>
      <c r="QGN103" s="445"/>
      <c r="QGO103" s="414"/>
      <c r="QGR103" s="445"/>
      <c r="QGS103" s="414"/>
      <c r="QGV103" s="445"/>
      <c r="QGW103" s="414"/>
      <c r="QGZ103" s="445"/>
      <c r="QHA103" s="414"/>
      <c r="QHD103" s="445"/>
      <c r="QHE103" s="414"/>
      <c r="QHH103" s="445"/>
      <c r="QHI103" s="414"/>
      <c r="QHL103" s="445"/>
      <c r="QHM103" s="414"/>
      <c r="QHP103" s="445"/>
      <c r="QHQ103" s="414"/>
      <c r="QHT103" s="445"/>
      <c r="QHU103" s="414"/>
      <c r="QHX103" s="445"/>
      <c r="QHY103" s="414"/>
      <c r="QIB103" s="445"/>
      <c r="QIC103" s="414"/>
      <c r="QIF103" s="445"/>
      <c r="QIG103" s="414"/>
      <c r="QIJ103" s="445"/>
      <c r="QIK103" s="414"/>
      <c r="QIN103" s="445"/>
      <c r="QIO103" s="414"/>
      <c r="QIR103" s="445"/>
      <c r="QIS103" s="414"/>
      <c r="QIV103" s="445"/>
      <c r="QIW103" s="414"/>
      <c r="QIZ103" s="445"/>
      <c r="QJA103" s="414"/>
      <c r="QJD103" s="445"/>
      <c r="QJE103" s="414"/>
      <c r="QJH103" s="445"/>
      <c r="QJI103" s="414"/>
      <c r="QJL103" s="445"/>
      <c r="QJM103" s="414"/>
      <c r="QJP103" s="445"/>
      <c r="QJQ103" s="414"/>
      <c r="QJT103" s="445"/>
      <c r="QJU103" s="414"/>
      <c r="QJX103" s="445"/>
      <c r="QJY103" s="414"/>
      <c r="QKB103" s="445"/>
      <c r="QKC103" s="414"/>
      <c r="QKF103" s="445"/>
      <c r="QKG103" s="414"/>
      <c r="QKJ103" s="445"/>
      <c r="QKK103" s="414"/>
      <c r="QKN103" s="445"/>
      <c r="QKO103" s="414"/>
      <c r="QKR103" s="445"/>
      <c r="QKS103" s="414"/>
      <c r="QKV103" s="445"/>
      <c r="QKW103" s="414"/>
      <c r="QKZ103" s="445"/>
      <c r="QLA103" s="414"/>
      <c r="QLD103" s="445"/>
      <c r="QLE103" s="414"/>
      <c r="QLH103" s="445"/>
      <c r="QLI103" s="414"/>
      <c r="QLL103" s="445"/>
      <c r="QLM103" s="414"/>
      <c r="QLP103" s="445"/>
      <c r="QLQ103" s="414"/>
      <c r="QLT103" s="445"/>
      <c r="QLU103" s="414"/>
      <c r="QLX103" s="445"/>
      <c r="QLY103" s="414"/>
      <c r="QMB103" s="445"/>
      <c r="QMC103" s="414"/>
      <c r="QMF103" s="445"/>
      <c r="QMG103" s="414"/>
      <c r="QMJ103" s="445"/>
      <c r="QMK103" s="414"/>
      <c r="QMN103" s="445"/>
      <c r="QMO103" s="414"/>
      <c r="QMR103" s="445"/>
      <c r="QMS103" s="414"/>
      <c r="QMV103" s="445"/>
      <c r="QMW103" s="414"/>
      <c r="QMZ103" s="445"/>
      <c r="QNA103" s="414"/>
      <c r="QND103" s="445"/>
      <c r="QNE103" s="414"/>
      <c r="QNH103" s="445"/>
      <c r="QNI103" s="414"/>
      <c r="QNL103" s="445"/>
      <c r="QNM103" s="414"/>
      <c r="QNP103" s="445"/>
      <c r="QNQ103" s="414"/>
      <c r="QNT103" s="445"/>
      <c r="QNU103" s="414"/>
      <c r="QNX103" s="445"/>
      <c r="QNY103" s="414"/>
      <c r="QOB103" s="445"/>
      <c r="QOC103" s="414"/>
      <c r="QOF103" s="445"/>
      <c r="QOG103" s="414"/>
      <c r="QOJ103" s="445"/>
      <c r="QOK103" s="414"/>
      <c r="QON103" s="445"/>
      <c r="QOO103" s="414"/>
      <c r="QOR103" s="445"/>
      <c r="QOS103" s="414"/>
      <c r="QOV103" s="445"/>
      <c r="QOW103" s="414"/>
      <c r="QOZ103" s="445"/>
      <c r="QPA103" s="414"/>
      <c r="QPD103" s="445"/>
      <c r="QPE103" s="414"/>
      <c r="QPH103" s="445"/>
      <c r="QPI103" s="414"/>
      <c r="QPL103" s="445"/>
      <c r="QPM103" s="414"/>
      <c r="QPP103" s="445"/>
      <c r="QPQ103" s="414"/>
      <c r="QPT103" s="445"/>
      <c r="QPU103" s="414"/>
      <c r="QPX103" s="445"/>
      <c r="QPY103" s="414"/>
      <c r="QQB103" s="445"/>
      <c r="QQC103" s="414"/>
      <c r="QQF103" s="445"/>
      <c r="QQG103" s="414"/>
      <c r="QQJ103" s="445"/>
      <c r="QQK103" s="414"/>
      <c r="QQN103" s="445"/>
      <c r="QQO103" s="414"/>
      <c r="QQR103" s="445"/>
      <c r="QQS103" s="414"/>
      <c r="QQV103" s="445"/>
      <c r="QQW103" s="414"/>
      <c r="QQZ103" s="445"/>
      <c r="QRA103" s="414"/>
      <c r="QRD103" s="445"/>
      <c r="QRE103" s="414"/>
      <c r="QRH103" s="445"/>
      <c r="QRI103" s="414"/>
      <c r="QRL103" s="445"/>
      <c r="QRM103" s="414"/>
      <c r="QRP103" s="445"/>
      <c r="QRQ103" s="414"/>
      <c r="QRT103" s="445"/>
      <c r="QRU103" s="414"/>
      <c r="QRX103" s="445"/>
      <c r="QRY103" s="414"/>
      <c r="QSB103" s="445"/>
      <c r="QSC103" s="414"/>
      <c r="QSF103" s="445"/>
      <c r="QSG103" s="414"/>
      <c r="QSJ103" s="445"/>
      <c r="QSK103" s="414"/>
      <c r="QSN103" s="445"/>
      <c r="QSO103" s="414"/>
      <c r="QSR103" s="445"/>
      <c r="QSS103" s="414"/>
      <c r="QSV103" s="445"/>
      <c r="QSW103" s="414"/>
      <c r="QSZ103" s="445"/>
      <c r="QTA103" s="414"/>
      <c r="QTD103" s="445"/>
      <c r="QTE103" s="414"/>
      <c r="QTH103" s="445"/>
      <c r="QTI103" s="414"/>
      <c r="QTL103" s="445"/>
      <c r="QTM103" s="414"/>
      <c r="QTP103" s="445"/>
      <c r="QTQ103" s="414"/>
      <c r="QTT103" s="445"/>
      <c r="QTU103" s="414"/>
      <c r="QTX103" s="445"/>
      <c r="QTY103" s="414"/>
      <c r="QUB103" s="445"/>
      <c r="QUC103" s="414"/>
      <c r="QUF103" s="445"/>
      <c r="QUG103" s="414"/>
      <c r="QUJ103" s="445"/>
      <c r="QUK103" s="414"/>
      <c r="QUN103" s="445"/>
      <c r="QUO103" s="414"/>
      <c r="QUR103" s="445"/>
      <c r="QUS103" s="414"/>
      <c r="QUV103" s="445"/>
      <c r="QUW103" s="414"/>
      <c r="QUZ103" s="445"/>
      <c r="QVA103" s="414"/>
      <c r="QVD103" s="445"/>
      <c r="QVE103" s="414"/>
      <c r="QVH103" s="445"/>
      <c r="QVI103" s="414"/>
      <c r="QVL103" s="445"/>
      <c r="QVM103" s="414"/>
      <c r="QVP103" s="445"/>
      <c r="QVQ103" s="414"/>
      <c r="QVT103" s="445"/>
      <c r="QVU103" s="414"/>
      <c r="QVX103" s="445"/>
      <c r="QVY103" s="414"/>
      <c r="QWB103" s="445"/>
      <c r="QWC103" s="414"/>
      <c r="QWF103" s="445"/>
      <c r="QWG103" s="414"/>
      <c r="QWJ103" s="445"/>
      <c r="QWK103" s="414"/>
      <c r="QWN103" s="445"/>
      <c r="QWO103" s="414"/>
      <c r="QWR103" s="445"/>
      <c r="QWS103" s="414"/>
      <c r="QWV103" s="445"/>
      <c r="QWW103" s="414"/>
      <c r="QWZ103" s="445"/>
      <c r="QXA103" s="414"/>
      <c r="QXD103" s="445"/>
      <c r="QXE103" s="414"/>
      <c r="QXH103" s="445"/>
      <c r="QXI103" s="414"/>
      <c r="QXL103" s="445"/>
      <c r="QXM103" s="414"/>
      <c r="QXP103" s="445"/>
      <c r="QXQ103" s="414"/>
      <c r="QXT103" s="445"/>
      <c r="QXU103" s="414"/>
      <c r="QXX103" s="445"/>
      <c r="QXY103" s="414"/>
      <c r="QYB103" s="445"/>
      <c r="QYC103" s="414"/>
      <c r="QYF103" s="445"/>
      <c r="QYG103" s="414"/>
      <c r="QYJ103" s="445"/>
      <c r="QYK103" s="414"/>
      <c r="QYN103" s="445"/>
      <c r="QYO103" s="414"/>
      <c r="QYR103" s="445"/>
      <c r="QYS103" s="414"/>
      <c r="QYV103" s="445"/>
      <c r="QYW103" s="414"/>
      <c r="QYZ103" s="445"/>
      <c r="QZA103" s="414"/>
      <c r="QZD103" s="445"/>
      <c r="QZE103" s="414"/>
      <c r="QZH103" s="445"/>
      <c r="QZI103" s="414"/>
      <c r="QZL103" s="445"/>
      <c r="QZM103" s="414"/>
      <c r="QZP103" s="445"/>
      <c r="QZQ103" s="414"/>
      <c r="QZT103" s="445"/>
      <c r="QZU103" s="414"/>
      <c r="QZX103" s="445"/>
      <c r="QZY103" s="414"/>
      <c r="RAB103" s="445"/>
      <c r="RAC103" s="414"/>
      <c r="RAF103" s="445"/>
      <c r="RAG103" s="414"/>
      <c r="RAJ103" s="445"/>
      <c r="RAK103" s="414"/>
      <c r="RAN103" s="445"/>
      <c r="RAO103" s="414"/>
      <c r="RAR103" s="445"/>
      <c r="RAS103" s="414"/>
      <c r="RAV103" s="445"/>
      <c r="RAW103" s="414"/>
      <c r="RAZ103" s="445"/>
      <c r="RBA103" s="414"/>
      <c r="RBD103" s="445"/>
      <c r="RBE103" s="414"/>
      <c r="RBH103" s="445"/>
      <c r="RBI103" s="414"/>
      <c r="RBL103" s="445"/>
      <c r="RBM103" s="414"/>
      <c r="RBP103" s="445"/>
      <c r="RBQ103" s="414"/>
      <c r="RBT103" s="445"/>
      <c r="RBU103" s="414"/>
      <c r="RBX103" s="445"/>
      <c r="RBY103" s="414"/>
      <c r="RCB103" s="445"/>
      <c r="RCC103" s="414"/>
      <c r="RCF103" s="445"/>
      <c r="RCG103" s="414"/>
      <c r="RCJ103" s="445"/>
      <c r="RCK103" s="414"/>
      <c r="RCN103" s="445"/>
      <c r="RCO103" s="414"/>
      <c r="RCR103" s="445"/>
      <c r="RCS103" s="414"/>
      <c r="RCV103" s="445"/>
      <c r="RCW103" s="414"/>
      <c r="RCZ103" s="445"/>
      <c r="RDA103" s="414"/>
      <c r="RDD103" s="445"/>
      <c r="RDE103" s="414"/>
      <c r="RDH103" s="445"/>
      <c r="RDI103" s="414"/>
      <c r="RDL103" s="445"/>
      <c r="RDM103" s="414"/>
      <c r="RDP103" s="445"/>
      <c r="RDQ103" s="414"/>
      <c r="RDT103" s="445"/>
      <c r="RDU103" s="414"/>
      <c r="RDX103" s="445"/>
      <c r="RDY103" s="414"/>
      <c r="REB103" s="445"/>
      <c r="REC103" s="414"/>
      <c r="REF103" s="445"/>
      <c r="REG103" s="414"/>
      <c r="REJ103" s="445"/>
      <c r="REK103" s="414"/>
      <c r="REN103" s="445"/>
      <c r="REO103" s="414"/>
      <c r="RER103" s="445"/>
      <c r="RES103" s="414"/>
      <c r="REV103" s="445"/>
      <c r="REW103" s="414"/>
      <c r="REZ103" s="445"/>
      <c r="RFA103" s="414"/>
      <c r="RFD103" s="445"/>
      <c r="RFE103" s="414"/>
      <c r="RFH103" s="445"/>
      <c r="RFI103" s="414"/>
      <c r="RFL103" s="445"/>
      <c r="RFM103" s="414"/>
      <c r="RFP103" s="445"/>
      <c r="RFQ103" s="414"/>
      <c r="RFT103" s="445"/>
      <c r="RFU103" s="414"/>
      <c r="RFX103" s="445"/>
      <c r="RFY103" s="414"/>
      <c r="RGB103" s="445"/>
      <c r="RGC103" s="414"/>
      <c r="RGF103" s="445"/>
      <c r="RGG103" s="414"/>
      <c r="RGJ103" s="445"/>
      <c r="RGK103" s="414"/>
      <c r="RGN103" s="445"/>
      <c r="RGO103" s="414"/>
      <c r="RGR103" s="445"/>
      <c r="RGS103" s="414"/>
      <c r="RGV103" s="445"/>
      <c r="RGW103" s="414"/>
      <c r="RGZ103" s="445"/>
      <c r="RHA103" s="414"/>
      <c r="RHD103" s="445"/>
      <c r="RHE103" s="414"/>
      <c r="RHH103" s="445"/>
      <c r="RHI103" s="414"/>
      <c r="RHL103" s="445"/>
      <c r="RHM103" s="414"/>
      <c r="RHP103" s="445"/>
      <c r="RHQ103" s="414"/>
      <c r="RHT103" s="445"/>
      <c r="RHU103" s="414"/>
      <c r="RHX103" s="445"/>
      <c r="RHY103" s="414"/>
      <c r="RIB103" s="445"/>
      <c r="RIC103" s="414"/>
      <c r="RIF103" s="445"/>
      <c r="RIG103" s="414"/>
      <c r="RIJ103" s="445"/>
      <c r="RIK103" s="414"/>
      <c r="RIN103" s="445"/>
      <c r="RIO103" s="414"/>
      <c r="RIR103" s="445"/>
      <c r="RIS103" s="414"/>
      <c r="RIV103" s="445"/>
      <c r="RIW103" s="414"/>
      <c r="RIZ103" s="445"/>
      <c r="RJA103" s="414"/>
      <c r="RJD103" s="445"/>
      <c r="RJE103" s="414"/>
      <c r="RJH103" s="445"/>
      <c r="RJI103" s="414"/>
      <c r="RJL103" s="445"/>
      <c r="RJM103" s="414"/>
      <c r="RJP103" s="445"/>
      <c r="RJQ103" s="414"/>
      <c r="RJT103" s="445"/>
      <c r="RJU103" s="414"/>
      <c r="RJX103" s="445"/>
      <c r="RJY103" s="414"/>
      <c r="RKB103" s="445"/>
      <c r="RKC103" s="414"/>
      <c r="RKF103" s="445"/>
      <c r="RKG103" s="414"/>
      <c r="RKJ103" s="445"/>
      <c r="RKK103" s="414"/>
      <c r="RKN103" s="445"/>
      <c r="RKO103" s="414"/>
      <c r="RKR103" s="445"/>
      <c r="RKS103" s="414"/>
      <c r="RKV103" s="445"/>
      <c r="RKW103" s="414"/>
      <c r="RKZ103" s="445"/>
      <c r="RLA103" s="414"/>
      <c r="RLD103" s="445"/>
      <c r="RLE103" s="414"/>
      <c r="RLH103" s="445"/>
      <c r="RLI103" s="414"/>
      <c r="RLL103" s="445"/>
      <c r="RLM103" s="414"/>
      <c r="RLP103" s="445"/>
      <c r="RLQ103" s="414"/>
      <c r="RLT103" s="445"/>
      <c r="RLU103" s="414"/>
      <c r="RLX103" s="445"/>
      <c r="RLY103" s="414"/>
      <c r="RMB103" s="445"/>
      <c r="RMC103" s="414"/>
      <c r="RMF103" s="445"/>
      <c r="RMG103" s="414"/>
      <c r="RMJ103" s="445"/>
      <c r="RMK103" s="414"/>
      <c r="RMN103" s="445"/>
      <c r="RMO103" s="414"/>
      <c r="RMR103" s="445"/>
      <c r="RMS103" s="414"/>
      <c r="RMV103" s="445"/>
      <c r="RMW103" s="414"/>
      <c r="RMZ103" s="445"/>
      <c r="RNA103" s="414"/>
      <c r="RND103" s="445"/>
      <c r="RNE103" s="414"/>
      <c r="RNH103" s="445"/>
      <c r="RNI103" s="414"/>
      <c r="RNL103" s="445"/>
      <c r="RNM103" s="414"/>
      <c r="RNP103" s="445"/>
      <c r="RNQ103" s="414"/>
      <c r="RNT103" s="445"/>
      <c r="RNU103" s="414"/>
      <c r="RNX103" s="445"/>
      <c r="RNY103" s="414"/>
      <c r="ROB103" s="445"/>
      <c r="ROC103" s="414"/>
      <c r="ROF103" s="445"/>
      <c r="ROG103" s="414"/>
      <c r="ROJ103" s="445"/>
      <c r="ROK103" s="414"/>
      <c r="RON103" s="445"/>
      <c r="ROO103" s="414"/>
      <c r="ROR103" s="445"/>
      <c r="ROS103" s="414"/>
      <c r="ROV103" s="445"/>
      <c r="ROW103" s="414"/>
      <c r="ROZ103" s="445"/>
      <c r="RPA103" s="414"/>
      <c r="RPD103" s="445"/>
      <c r="RPE103" s="414"/>
      <c r="RPH103" s="445"/>
      <c r="RPI103" s="414"/>
      <c r="RPL103" s="445"/>
      <c r="RPM103" s="414"/>
      <c r="RPP103" s="445"/>
      <c r="RPQ103" s="414"/>
      <c r="RPT103" s="445"/>
      <c r="RPU103" s="414"/>
      <c r="RPX103" s="445"/>
      <c r="RPY103" s="414"/>
      <c r="RQB103" s="445"/>
      <c r="RQC103" s="414"/>
      <c r="RQF103" s="445"/>
      <c r="RQG103" s="414"/>
      <c r="RQJ103" s="445"/>
      <c r="RQK103" s="414"/>
      <c r="RQN103" s="445"/>
      <c r="RQO103" s="414"/>
      <c r="RQR103" s="445"/>
      <c r="RQS103" s="414"/>
      <c r="RQV103" s="445"/>
      <c r="RQW103" s="414"/>
      <c r="RQZ103" s="445"/>
      <c r="RRA103" s="414"/>
      <c r="RRD103" s="445"/>
      <c r="RRE103" s="414"/>
      <c r="RRH103" s="445"/>
      <c r="RRI103" s="414"/>
      <c r="RRL103" s="445"/>
      <c r="RRM103" s="414"/>
      <c r="RRP103" s="445"/>
      <c r="RRQ103" s="414"/>
      <c r="RRT103" s="445"/>
      <c r="RRU103" s="414"/>
      <c r="RRX103" s="445"/>
      <c r="RRY103" s="414"/>
      <c r="RSB103" s="445"/>
      <c r="RSC103" s="414"/>
      <c r="RSF103" s="445"/>
      <c r="RSG103" s="414"/>
      <c r="RSJ103" s="445"/>
      <c r="RSK103" s="414"/>
      <c r="RSN103" s="445"/>
      <c r="RSO103" s="414"/>
      <c r="RSR103" s="445"/>
      <c r="RSS103" s="414"/>
      <c r="RSV103" s="445"/>
      <c r="RSW103" s="414"/>
      <c r="RSZ103" s="445"/>
      <c r="RTA103" s="414"/>
      <c r="RTD103" s="445"/>
      <c r="RTE103" s="414"/>
      <c r="RTH103" s="445"/>
      <c r="RTI103" s="414"/>
      <c r="RTL103" s="445"/>
      <c r="RTM103" s="414"/>
      <c r="RTP103" s="445"/>
      <c r="RTQ103" s="414"/>
      <c r="RTT103" s="445"/>
      <c r="RTU103" s="414"/>
      <c r="RTX103" s="445"/>
      <c r="RTY103" s="414"/>
      <c r="RUB103" s="445"/>
      <c r="RUC103" s="414"/>
      <c r="RUF103" s="445"/>
      <c r="RUG103" s="414"/>
      <c r="RUJ103" s="445"/>
      <c r="RUK103" s="414"/>
      <c r="RUN103" s="445"/>
      <c r="RUO103" s="414"/>
      <c r="RUR103" s="445"/>
      <c r="RUS103" s="414"/>
      <c r="RUV103" s="445"/>
      <c r="RUW103" s="414"/>
      <c r="RUZ103" s="445"/>
      <c r="RVA103" s="414"/>
      <c r="RVD103" s="445"/>
      <c r="RVE103" s="414"/>
      <c r="RVH103" s="445"/>
      <c r="RVI103" s="414"/>
      <c r="RVL103" s="445"/>
      <c r="RVM103" s="414"/>
      <c r="RVP103" s="445"/>
      <c r="RVQ103" s="414"/>
      <c r="RVT103" s="445"/>
      <c r="RVU103" s="414"/>
      <c r="RVX103" s="445"/>
      <c r="RVY103" s="414"/>
      <c r="RWB103" s="445"/>
      <c r="RWC103" s="414"/>
      <c r="RWF103" s="445"/>
      <c r="RWG103" s="414"/>
      <c r="RWJ103" s="445"/>
      <c r="RWK103" s="414"/>
      <c r="RWN103" s="445"/>
      <c r="RWO103" s="414"/>
      <c r="RWR103" s="445"/>
      <c r="RWS103" s="414"/>
      <c r="RWV103" s="445"/>
      <c r="RWW103" s="414"/>
      <c r="RWZ103" s="445"/>
      <c r="RXA103" s="414"/>
      <c r="RXD103" s="445"/>
      <c r="RXE103" s="414"/>
      <c r="RXH103" s="445"/>
      <c r="RXI103" s="414"/>
      <c r="RXL103" s="445"/>
      <c r="RXM103" s="414"/>
      <c r="RXP103" s="445"/>
      <c r="RXQ103" s="414"/>
      <c r="RXT103" s="445"/>
      <c r="RXU103" s="414"/>
      <c r="RXX103" s="445"/>
      <c r="RXY103" s="414"/>
      <c r="RYB103" s="445"/>
      <c r="RYC103" s="414"/>
      <c r="RYF103" s="445"/>
      <c r="RYG103" s="414"/>
      <c r="RYJ103" s="445"/>
      <c r="RYK103" s="414"/>
      <c r="RYN103" s="445"/>
      <c r="RYO103" s="414"/>
      <c r="RYR103" s="445"/>
      <c r="RYS103" s="414"/>
      <c r="RYV103" s="445"/>
      <c r="RYW103" s="414"/>
      <c r="RYZ103" s="445"/>
      <c r="RZA103" s="414"/>
      <c r="RZD103" s="445"/>
      <c r="RZE103" s="414"/>
      <c r="RZH103" s="445"/>
      <c r="RZI103" s="414"/>
      <c r="RZL103" s="445"/>
      <c r="RZM103" s="414"/>
      <c r="RZP103" s="445"/>
      <c r="RZQ103" s="414"/>
      <c r="RZT103" s="445"/>
      <c r="RZU103" s="414"/>
      <c r="RZX103" s="445"/>
      <c r="RZY103" s="414"/>
      <c r="SAB103" s="445"/>
      <c r="SAC103" s="414"/>
      <c r="SAF103" s="445"/>
      <c r="SAG103" s="414"/>
      <c r="SAJ103" s="445"/>
      <c r="SAK103" s="414"/>
      <c r="SAN103" s="445"/>
      <c r="SAO103" s="414"/>
      <c r="SAR103" s="445"/>
      <c r="SAS103" s="414"/>
      <c r="SAV103" s="445"/>
      <c r="SAW103" s="414"/>
      <c r="SAZ103" s="445"/>
      <c r="SBA103" s="414"/>
      <c r="SBD103" s="445"/>
      <c r="SBE103" s="414"/>
      <c r="SBH103" s="445"/>
      <c r="SBI103" s="414"/>
      <c r="SBL103" s="445"/>
      <c r="SBM103" s="414"/>
      <c r="SBP103" s="445"/>
      <c r="SBQ103" s="414"/>
      <c r="SBT103" s="445"/>
      <c r="SBU103" s="414"/>
      <c r="SBX103" s="445"/>
      <c r="SBY103" s="414"/>
      <c r="SCB103" s="445"/>
      <c r="SCC103" s="414"/>
      <c r="SCF103" s="445"/>
      <c r="SCG103" s="414"/>
      <c r="SCJ103" s="445"/>
      <c r="SCK103" s="414"/>
      <c r="SCN103" s="445"/>
      <c r="SCO103" s="414"/>
      <c r="SCR103" s="445"/>
      <c r="SCS103" s="414"/>
      <c r="SCV103" s="445"/>
      <c r="SCW103" s="414"/>
      <c r="SCZ103" s="445"/>
      <c r="SDA103" s="414"/>
      <c r="SDD103" s="445"/>
      <c r="SDE103" s="414"/>
      <c r="SDH103" s="445"/>
      <c r="SDI103" s="414"/>
      <c r="SDL103" s="445"/>
      <c r="SDM103" s="414"/>
      <c r="SDP103" s="445"/>
      <c r="SDQ103" s="414"/>
      <c r="SDT103" s="445"/>
      <c r="SDU103" s="414"/>
      <c r="SDX103" s="445"/>
      <c r="SDY103" s="414"/>
      <c r="SEB103" s="445"/>
      <c r="SEC103" s="414"/>
      <c r="SEF103" s="445"/>
      <c r="SEG103" s="414"/>
      <c r="SEJ103" s="445"/>
      <c r="SEK103" s="414"/>
      <c r="SEN103" s="445"/>
      <c r="SEO103" s="414"/>
      <c r="SER103" s="445"/>
      <c r="SES103" s="414"/>
      <c r="SEV103" s="445"/>
      <c r="SEW103" s="414"/>
      <c r="SEZ103" s="445"/>
      <c r="SFA103" s="414"/>
      <c r="SFD103" s="445"/>
      <c r="SFE103" s="414"/>
      <c r="SFH103" s="445"/>
      <c r="SFI103" s="414"/>
      <c r="SFL103" s="445"/>
      <c r="SFM103" s="414"/>
      <c r="SFP103" s="445"/>
      <c r="SFQ103" s="414"/>
      <c r="SFT103" s="445"/>
      <c r="SFU103" s="414"/>
      <c r="SFX103" s="445"/>
      <c r="SFY103" s="414"/>
      <c r="SGB103" s="445"/>
      <c r="SGC103" s="414"/>
      <c r="SGF103" s="445"/>
      <c r="SGG103" s="414"/>
      <c r="SGJ103" s="445"/>
      <c r="SGK103" s="414"/>
      <c r="SGN103" s="445"/>
      <c r="SGO103" s="414"/>
      <c r="SGR103" s="445"/>
      <c r="SGS103" s="414"/>
      <c r="SGV103" s="445"/>
      <c r="SGW103" s="414"/>
      <c r="SGZ103" s="445"/>
      <c r="SHA103" s="414"/>
      <c r="SHD103" s="445"/>
      <c r="SHE103" s="414"/>
      <c r="SHH103" s="445"/>
      <c r="SHI103" s="414"/>
      <c r="SHL103" s="445"/>
      <c r="SHM103" s="414"/>
      <c r="SHP103" s="445"/>
      <c r="SHQ103" s="414"/>
      <c r="SHT103" s="445"/>
      <c r="SHU103" s="414"/>
      <c r="SHX103" s="445"/>
      <c r="SHY103" s="414"/>
      <c r="SIB103" s="445"/>
      <c r="SIC103" s="414"/>
      <c r="SIF103" s="445"/>
      <c r="SIG103" s="414"/>
      <c r="SIJ103" s="445"/>
      <c r="SIK103" s="414"/>
      <c r="SIN103" s="445"/>
      <c r="SIO103" s="414"/>
      <c r="SIR103" s="445"/>
      <c r="SIS103" s="414"/>
      <c r="SIV103" s="445"/>
      <c r="SIW103" s="414"/>
      <c r="SIZ103" s="445"/>
      <c r="SJA103" s="414"/>
      <c r="SJD103" s="445"/>
      <c r="SJE103" s="414"/>
      <c r="SJH103" s="445"/>
      <c r="SJI103" s="414"/>
      <c r="SJL103" s="445"/>
      <c r="SJM103" s="414"/>
      <c r="SJP103" s="445"/>
      <c r="SJQ103" s="414"/>
      <c r="SJT103" s="445"/>
      <c r="SJU103" s="414"/>
      <c r="SJX103" s="445"/>
      <c r="SJY103" s="414"/>
      <c r="SKB103" s="445"/>
      <c r="SKC103" s="414"/>
      <c r="SKF103" s="445"/>
      <c r="SKG103" s="414"/>
      <c r="SKJ103" s="445"/>
      <c r="SKK103" s="414"/>
      <c r="SKN103" s="445"/>
      <c r="SKO103" s="414"/>
      <c r="SKR103" s="445"/>
      <c r="SKS103" s="414"/>
      <c r="SKV103" s="445"/>
      <c r="SKW103" s="414"/>
      <c r="SKZ103" s="445"/>
      <c r="SLA103" s="414"/>
      <c r="SLD103" s="445"/>
      <c r="SLE103" s="414"/>
      <c r="SLH103" s="445"/>
      <c r="SLI103" s="414"/>
      <c r="SLL103" s="445"/>
      <c r="SLM103" s="414"/>
      <c r="SLP103" s="445"/>
      <c r="SLQ103" s="414"/>
      <c r="SLT103" s="445"/>
      <c r="SLU103" s="414"/>
      <c r="SLX103" s="445"/>
      <c r="SLY103" s="414"/>
      <c r="SMB103" s="445"/>
      <c r="SMC103" s="414"/>
      <c r="SMF103" s="445"/>
      <c r="SMG103" s="414"/>
      <c r="SMJ103" s="445"/>
      <c r="SMK103" s="414"/>
      <c r="SMN103" s="445"/>
      <c r="SMO103" s="414"/>
      <c r="SMR103" s="445"/>
      <c r="SMS103" s="414"/>
      <c r="SMV103" s="445"/>
      <c r="SMW103" s="414"/>
      <c r="SMZ103" s="445"/>
      <c r="SNA103" s="414"/>
      <c r="SND103" s="445"/>
      <c r="SNE103" s="414"/>
      <c r="SNH103" s="445"/>
      <c r="SNI103" s="414"/>
      <c r="SNL103" s="445"/>
      <c r="SNM103" s="414"/>
      <c r="SNP103" s="445"/>
      <c r="SNQ103" s="414"/>
      <c r="SNT103" s="445"/>
      <c r="SNU103" s="414"/>
      <c r="SNX103" s="445"/>
      <c r="SNY103" s="414"/>
      <c r="SOB103" s="445"/>
      <c r="SOC103" s="414"/>
      <c r="SOF103" s="445"/>
      <c r="SOG103" s="414"/>
      <c r="SOJ103" s="445"/>
      <c r="SOK103" s="414"/>
      <c r="SON103" s="445"/>
      <c r="SOO103" s="414"/>
      <c r="SOR103" s="445"/>
      <c r="SOS103" s="414"/>
      <c r="SOV103" s="445"/>
      <c r="SOW103" s="414"/>
      <c r="SOZ103" s="445"/>
      <c r="SPA103" s="414"/>
      <c r="SPD103" s="445"/>
      <c r="SPE103" s="414"/>
      <c r="SPH103" s="445"/>
      <c r="SPI103" s="414"/>
      <c r="SPL103" s="445"/>
      <c r="SPM103" s="414"/>
      <c r="SPP103" s="445"/>
      <c r="SPQ103" s="414"/>
      <c r="SPT103" s="445"/>
      <c r="SPU103" s="414"/>
      <c r="SPX103" s="445"/>
      <c r="SPY103" s="414"/>
      <c r="SQB103" s="445"/>
      <c r="SQC103" s="414"/>
      <c r="SQF103" s="445"/>
      <c r="SQG103" s="414"/>
      <c r="SQJ103" s="445"/>
      <c r="SQK103" s="414"/>
      <c r="SQN103" s="445"/>
      <c r="SQO103" s="414"/>
      <c r="SQR103" s="445"/>
      <c r="SQS103" s="414"/>
      <c r="SQV103" s="445"/>
      <c r="SQW103" s="414"/>
      <c r="SQZ103" s="445"/>
      <c r="SRA103" s="414"/>
      <c r="SRD103" s="445"/>
      <c r="SRE103" s="414"/>
      <c r="SRH103" s="445"/>
      <c r="SRI103" s="414"/>
      <c r="SRL103" s="445"/>
      <c r="SRM103" s="414"/>
      <c r="SRP103" s="445"/>
      <c r="SRQ103" s="414"/>
      <c r="SRT103" s="445"/>
      <c r="SRU103" s="414"/>
      <c r="SRX103" s="445"/>
      <c r="SRY103" s="414"/>
      <c r="SSB103" s="445"/>
      <c r="SSC103" s="414"/>
      <c r="SSF103" s="445"/>
      <c r="SSG103" s="414"/>
      <c r="SSJ103" s="445"/>
      <c r="SSK103" s="414"/>
      <c r="SSN103" s="445"/>
      <c r="SSO103" s="414"/>
      <c r="SSR103" s="445"/>
      <c r="SSS103" s="414"/>
      <c r="SSV103" s="445"/>
      <c r="SSW103" s="414"/>
      <c r="SSZ103" s="445"/>
      <c r="STA103" s="414"/>
      <c r="STD103" s="445"/>
      <c r="STE103" s="414"/>
      <c r="STH103" s="445"/>
      <c r="STI103" s="414"/>
      <c r="STL103" s="445"/>
      <c r="STM103" s="414"/>
      <c r="STP103" s="445"/>
      <c r="STQ103" s="414"/>
      <c r="STT103" s="445"/>
      <c r="STU103" s="414"/>
      <c r="STX103" s="445"/>
      <c r="STY103" s="414"/>
      <c r="SUB103" s="445"/>
      <c r="SUC103" s="414"/>
      <c r="SUF103" s="445"/>
      <c r="SUG103" s="414"/>
      <c r="SUJ103" s="445"/>
      <c r="SUK103" s="414"/>
      <c r="SUN103" s="445"/>
      <c r="SUO103" s="414"/>
      <c r="SUR103" s="445"/>
      <c r="SUS103" s="414"/>
      <c r="SUV103" s="445"/>
      <c r="SUW103" s="414"/>
      <c r="SUZ103" s="445"/>
      <c r="SVA103" s="414"/>
      <c r="SVD103" s="445"/>
      <c r="SVE103" s="414"/>
      <c r="SVH103" s="445"/>
      <c r="SVI103" s="414"/>
      <c r="SVL103" s="445"/>
      <c r="SVM103" s="414"/>
      <c r="SVP103" s="445"/>
      <c r="SVQ103" s="414"/>
      <c r="SVT103" s="445"/>
      <c r="SVU103" s="414"/>
      <c r="SVX103" s="445"/>
      <c r="SVY103" s="414"/>
      <c r="SWB103" s="445"/>
      <c r="SWC103" s="414"/>
      <c r="SWF103" s="445"/>
      <c r="SWG103" s="414"/>
      <c r="SWJ103" s="445"/>
      <c r="SWK103" s="414"/>
      <c r="SWN103" s="445"/>
      <c r="SWO103" s="414"/>
      <c r="SWR103" s="445"/>
      <c r="SWS103" s="414"/>
      <c r="SWV103" s="445"/>
      <c r="SWW103" s="414"/>
      <c r="SWZ103" s="445"/>
      <c r="SXA103" s="414"/>
      <c r="SXD103" s="445"/>
      <c r="SXE103" s="414"/>
      <c r="SXH103" s="445"/>
      <c r="SXI103" s="414"/>
      <c r="SXL103" s="445"/>
      <c r="SXM103" s="414"/>
      <c r="SXP103" s="445"/>
      <c r="SXQ103" s="414"/>
      <c r="SXT103" s="445"/>
      <c r="SXU103" s="414"/>
      <c r="SXX103" s="445"/>
      <c r="SXY103" s="414"/>
      <c r="SYB103" s="445"/>
      <c r="SYC103" s="414"/>
      <c r="SYF103" s="445"/>
      <c r="SYG103" s="414"/>
      <c r="SYJ103" s="445"/>
      <c r="SYK103" s="414"/>
      <c r="SYN103" s="445"/>
      <c r="SYO103" s="414"/>
      <c r="SYR103" s="445"/>
      <c r="SYS103" s="414"/>
      <c r="SYV103" s="445"/>
      <c r="SYW103" s="414"/>
      <c r="SYZ103" s="445"/>
      <c r="SZA103" s="414"/>
      <c r="SZD103" s="445"/>
      <c r="SZE103" s="414"/>
      <c r="SZH103" s="445"/>
      <c r="SZI103" s="414"/>
      <c r="SZL103" s="445"/>
      <c r="SZM103" s="414"/>
      <c r="SZP103" s="445"/>
      <c r="SZQ103" s="414"/>
      <c r="SZT103" s="445"/>
      <c r="SZU103" s="414"/>
      <c r="SZX103" s="445"/>
      <c r="SZY103" s="414"/>
      <c r="TAB103" s="445"/>
      <c r="TAC103" s="414"/>
      <c r="TAF103" s="445"/>
      <c r="TAG103" s="414"/>
      <c r="TAJ103" s="445"/>
      <c r="TAK103" s="414"/>
      <c r="TAN103" s="445"/>
      <c r="TAO103" s="414"/>
      <c r="TAR103" s="445"/>
      <c r="TAS103" s="414"/>
      <c r="TAV103" s="445"/>
      <c r="TAW103" s="414"/>
      <c r="TAZ103" s="445"/>
      <c r="TBA103" s="414"/>
      <c r="TBD103" s="445"/>
      <c r="TBE103" s="414"/>
      <c r="TBH103" s="445"/>
      <c r="TBI103" s="414"/>
      <c r="TBL103" s="445"/>
      <c r="TBM103" s="414"/>
      <c r="TBP103" s="445"/>
      <c r="TBQ103" s="414"/>
      <c r="TBT103" s="445"/>
      <c r="TBU103" s="414"/>
      <c r="TBX103" s="445"/>
      <c r="TBY103" s="414"/>
      <c r="TCB103" s="445"/>
      <c r="TCC103" s="414"/>
      <c r="TCF103" s="445"/>
      <c r="TCG103" s="414"/>
      <c r="TCJ103" s="445"/>
      <c r="TCK103" s="414"/>
      <c r="TCN103" s="445"/>
      <c r="TCO103" s="414"/>
      <c r="TCR103" s="445"/>
      <c r="TCS103" s="414"/>
      <c r="TCV103" s="445"/>
      <c r="TCW103" s="414"/>
      <c r="TCZ103" s="445"/>
      <c r="TDA103" s="414"/>
      <c r="TDD103" s="445"/>
      <c r="TDE103" s="414"/>
      <c r="TDH103" s="445"/>
      <c r="TDI103" s="414"/>
      <c r="TDL103" s="445"/>
      <c r="TDM103" s="414"/>
      <c r="TDP103" s="445"/>
      <c r="TDQ103" s="414"/>
      <c r="TDT103" s="445"/>
      <c r="TDU103" s="414"/>
      <c r="TDX103" s="445"/>
      <c r="TDY103" s="414"/>
      <c r="TEB103" s="445"/>
      <c r="TEC103" s="414"/>
      <c r="TEF103" s="445"/>
      <c r="TEG103" s="414"/>
      <c r="TEJ103" s="445"/>
      <c r="TEK103" s="414"/>
      <c r="TEN103" s="445"/>
      <c r="TEO103" s="414"/>
      <c r="TER103" s="445"/>
      <c r="TES103" s="414"/>
      <c r="TEV103" s="445"/>
      <c r="TEW103" s="414"/>
      <c r="TEZ103" s="445"/>
      <c r="TFA103" s="414"/>
      <c r="TFD103" s="445"/>
      <c r="TFE103" s="414"/>
      <c r="TFH103" s="445"/>
      <c r="TFI103" s="414"/>
      <c r="TFL103" s="445"/>
      <c r="TFM103" s="414"/>
      <c r="TFP103" s="445"/>
      <c r="TFQ103" s="414"/>
      <c r="TFT103" s="445"/>
      <c r="TFU103" s="414"/>
      <c r="TFX103" s="445"/>
      <c r="TFY103" s="414"/>
      <c r="TGB103" s="445"/>
      <c r="TGC103" s="414"/>
      <c r="TGF103" s="445"/>
      <c r="TGG103" s="414"/>
      <c r="TGJ103" s="445"/>
      <c r="TGK103" s="414"/>
      <c r="TGN103" s="445"/>
      <c r="TGO103" s="414"/>
      <c r="TGR103" s="445"/>
      <c r="TGS103" s="414"/>
      <c r="TGV103" s="445"/>
      <c r="TGW103" s="414"/>
      <c r="TGZ103" s="445"/>
      <c r="THA103" s="414"/>
      <c r="THD103" s="445"/>
      <c r="THE103" s="414"/>
      <c r="THH103" s="445"/>
      <c r="THI103" s="414"/>
      <c r="THL103" s="445"/>
      <c r="THM103" s="414"/>
      <c r="THP103" s="445"/>
      <c r="THQ103" s="414"/>
      <c r="THT103" s="445"/>
      <c r="THU103" s="414"/>
      <c r="THX103" s="445"/>
      <c r="THY103" s="414"/>
      <c r="TIB103" s="445"/>
      <c r="TIC103" s="414"/>
      <c r="TIF103" s="445"/>
      <c r="TIG103" s="414"/>
      <c r="TIJ103" s="445"/>
      <c r="TIK103" s="414"/>
      <c r="TIN103" s="445"/>
      <c r="TIO103" s="414"/>
      <c r="TIR103" s="445"/>
      <c r="TIS103" s="414"/>
      <c r="TIV103" s="445"/>
      <c r="TIW103" s="414"/>
      <c r="TIZ103" s="445"/>
      <c r="TJA103" s="414"/>
      <c r="TJD103" s="445"/>
      <c r="TJE103" s="414"/>
      <c r="TJH103" s="445"/>
      <c r="TJI103" s="414"/>
      <c r="TJL103" s="445"/>
      <c r="TJM103" s="414"/>
      <c r="TJP103" s="445"/>
      <c r="TJQ103" s="414"/>
      <c r="TJT103" s="445"/>
      <c r="TJU103" s="414"/>
      <c r="TJX103" s="445"/>
      <c r="TJY103" s="414"/>
      <c r="TKB103" s="445"/>
      <c r="TKC103" s="414"/>
      <c r="TKF103" s="445"/>
      <c r="TKG103" s="414"/>
      <c r="TKJ103" s="445"/>
      <c r="TKK103" s="414"/>
      <c r="TKN103" s="445"/>
      <c r="TKO103" s="414"/>
      <c r="TKR103" s="445"/>
      <c r="TKS103" s="414"/>
      <c r="TKV103" s="445"/>
      <c r="TKW103" s="414"/>
      <c r="TKZ103" s="445"/>
      <c r="TLA103" s="414"/>
      <c r="TLD103" s="445"/>
      <c r="TLE103" s="414"/>
      <c r="TLH103" s="445"/>
      <c r="TLI103" s="414"/>
      <c r="TLL103" s="445"/>
      <c r="TLM103" s="414"/>
      <c r="TLP103" s="445"/>
      <c r="TLQ103" s="414"/>
      <c r="TLT103" s="445"/>
      <c r="TLU103" s="414"/>
      <c r="TLX103" s="445"/>
      <c r="TLY103" s="414"/>
      <c r="TMB103" s="445"/>
      <c r="TMC103" s="414"/>
      <c r="TMF103" s="445"/>
      <c r="TMG103" s="414"/>
      <c r="TMJ103" s="445"/>
      <c r="TMK103" s="414"/>
      <c r="TMN103" s="445"/>
      <c r="TMO103" s="414"/>
      <c r="TMR103" s="445"/>
      <c r="TMS103" s="414"/>
      <c r="TMV103" s="445"/>
      <c r="TMW103" s="414"/>
      <c r="TMZ103" s="445"/>
      <c r="TNA103" s="414"/>
      <c r="TND103" s="445"/>
      <c r="TNE103" s="414"/>
      <c r="TNH103" s="445"/>
      <c r="TNI103" s="414"/>
      <c r="TNL103" s="445"/>
      <c r="TNM103" s="414"/>
      <c r="TNP103" s="445"/>
      <c r="TNQ103" s="414"/>
      <c r="TNT103" s="445"/>
      <c r="TNU103" s="414"/>
      <c r="TNX103" s="445"/>
      <c r="TNY103" s="414"/>
      <c r="TOB103" s="445"/>
      <c r="TOC103" s="414"/>
      <c r="TOF103" s="445"/>
      <c r="TOG103" s="414"/>
      <c r="TOJ103" s="445"/>
      <c r="TOK103" s="414"/>
      <c r="TON103" s="445"/>
      <c r="TOO103" s="414"/>
      <c r="TOR103" s="445"/>
      <c r="TOS103" s="414"/>
      <c r="TOV103" s="445"/>
      <c r="TOW103" s="414"/>
      <c r="TOZ103" s="445"/>
      <c r="TPA103" s="414"/>
      <c r="TPD103" s="445"/>
      <c r="TPE103" s="414"/>
      <c r="TPH103" s="445"/>
      <c r="TPI103" s="414"/>
      <c r="TPL103" s="445"/>
      <c r="TPM103" s="414"/>
      <c r="TPP103" s="445"/>
      <c r="TPQ103" s="414"/>
      <c r="TPT103" s="445"/>
      <c r="TPU103" s="414"/>
      <c r="TPX103" s="445"/>
      <c r="TPY103" s="414"/>
      <c r="TQB103" s="445"/>
      <c r="TQC103" s="414"/>
      <c r="TQF103" s="445"/>
      <c r="TQG103" s="414"/>
      <c r="TQJ103" s="445"/>
      <c r="TQK103" s="414"/>
      <c r="TQN103" s="445"/>
      <c r="TQO103" s="414"/>
      <c r="TQR103" s="445"/>
      <c r="TQS103" s="414"/>
      <c r="TQV103" s="445"/>
      <c r="TQW103" s="414"/>
      <c r="TQZ103" s="445"/>
      <c r="TRA103" s="414"/>
      <c r="TRD103" s="445"/>
      <c r="TRE103" s="414"/>
      <c r="TRH103" s="445"/>
      <c r="TRI103" s="414"/>
      <c r="TRL103" s="445"/>
      <c r="TRM103" s="414"/>
      <c r="TRP103" s="445"/>
      <c r="TRQ103" s="414"/>
      <c r="TRT103" s="445"/>
      <c r="TRU103" s="414"/>
      <c r="TRX103" s="445"/>
      <c r="TRY103" s="414"/>
      <c r="TSB103" s="445"/>
      <c r="TSC103" s="414"/>
      <c r="TSF103" s="445"/>
      <c r="TSG103" s="414"/>
      <c r="TSJ103" s="445"/>
      <c r="TSK103" s="414"/>
      <c r="TSN103" s="445"/>
      <c r="TSO103" s="414"/>
      <c r="TSR103" s="445"/>
      <c r="TSS103" s="414"/>
      <c r="TSV103" s="445"/>
      <c r="TSW103" s="414"/>
      <c r="TSZ103" s="445"/>
      <c r="TTA103" s="414"/>
      <c r="TTD103" s="445"/>
      <c r="TTE103" s="414"/>
      <c r="TTH103" s="445"/>
      <c r="TTI103" s="414"/>
      <c r="TTL103" s="445"/>
      <c r="TTM103" s="414"/>
      <c r="TTP103" s="445"/>
      <c r="TTQ103" s="414"/>
      <c r="TTT103" s="445"/>
      <c r="TTU103" s="414"/>
      <c r="TTX103" s="445"/>
      <c r="TTY103" s="414"/>
      <c r="TUB103" s="445"/>
      <c r="TUC103" s="414"/>
      <c r="TUF103" s="445"/>
      <c r="TUG103" s="414"/>
      <c r="TUJ103" s="445"/>
      <c r="TUK103" s="414"/>
      <c r="TUN103" s="445"/>
      <c r="TUO103" s="414"/>
      <c r="TUR103" s="445"/>
      <c r="TUS103" s="414"/>
      <c r="TUV103" s="445"/>
      <c r="TUW103" s="414"/>
      <c r="TUZ103" s="445"/>
      <c r="TVA103" s="414"/>
      <c r="TVD103" s="445"/>
      <c r="TVE103" s="414"/>
      <c r="TVH103" s="445"/>
      <c r="TVI103" s="414"/>
      <c r="TVL103" s="445"/>
      <c r="TVM103" s="414"/>
      <c r="TVP103" s="445"/>
      <c r="TVQ103" s="414"/>
      <c r="TVT103" s="445"/>
      <c r="TVU103" s="414"/>
      <c r="TVX103" s="445"/>
      <c r="TVY103" s="414"/>
      <c r="TWB103" s="445"/>
      <c r="TWC103" s="414"/>
      <c r="TWF103" s="445"/>
      <c r="TWG103" s="414"/>
      <c r="TWJ103" s="445"/>
      <c r="TWK103" s="414"/>
      <c r="TWN103" s="445"/>
      <c r="TWO103" s="414"/>
      <c r="TWR103" s="445"/>
      <c r="TWS103" s="414"/>
      <c r="TWV103" s="445"/>
      <c r="TWW103" s="414"/>
      <c r="TWZ103" s="445"/>
      <c r="TXA103" s="414"/>
      <c r="TXD103" s="445"/>
      <c r="TXE103" s="414"/>
      <c r="TXH103" s="445"/>
      <c r="TXI103" s="414"/>
      <c r="TXL103" s="445"/>
      <c r="TXM103" s="414"/>
      <c r="TXP103" s="445"/>
      <c r="TXQ103" s="414"/>
      <c r="TXT103" s="445"/>
      <c r="TXU103" s="414"/>
      <c r="TXX103" s="445"/>
      <c r="TXY103" s="414"/>
      <c r="TYB103" s="445"/>
      <c r="TYC103" s="414"/>
      <c r="TYF103" s="445"/>
      <c r="TYG103" s="414"/>
      <c r="TYJ103" s="445"/>
      <c r="TYK103" s="414"/>
      <c r="TYN103" s="445"/>
      <c r="TYO103" s="414"/>
      <c r="TYR103" s="445"/>
      <c r="TYS103" s="414"/>
      <c r="TYV103" s="445"/>
      <c r="TYW103" s="414"/>
      <c r="TYZ103" s="445"/>
      <c r="TZA103" s="414"/>
      <c r="TZD103" s="445"/>
      <c r="TZE103" s="414"/>
      <c r="TZH103" s="445"/>
      <c r="TZI103" s="414"/>
      <c r="TZL103" s="445"/>
      <c r="TZM103" s="414"/>
      <c r="TZP103" s="445"/>
      <c r="TZQ103" s="414"/>
      <c r="TZT103" s="445"/>
      <c r="TZU103" s="414"/>
      <c r="TZX103" s="445"/>
      <c r="TZY103" s="414"/>
      <c r="UAB103" s="445"/>
      <c r="UAC103" s="414"/>
      <c r="UAF103" s="445"/>
      <c r="UAG103" s="414"/>
      <c r="UAJ103" s="445"/>
      <c r="UAK103" s="414"/>
      <c r="UAN103" s="445"/>
      <c r="UAO103" s="414"/>
      <c r="UAR103" s="445"/>
      <c r="UAS103" s="414"/>
      <c r="UAV103" s="445"/>
      <c r="UAW103" s="414"/>
      <c r="UAZ103" s="445"/>
      <c r="UBA103" s="414"/>
      <c r="UBD103" s="445"/>
      <c r="UBE103" s="414"/>
      <c r="UBH103" s="445"/>
      <c r="UBI103" s="414"/>
      <c r="UBL103" s="445"/>
      <c r="UBM103" s="414"/>
      <c r="UBP103" s="445"/>
      <c r="UBQ103" s="414"/>
      <c r="UBT103" s="445"/>
      <c r="UBU103" s="414"/>
      <c r="UBX103" s="445"/>
      <c r="UBY103" s="414"/>
      <c r="UCB103" s="445"/>
      <c r="UCC103" s="414"/>
      <c r="UCF103" s="445"/>
      <c r="UCG103" s="414"/>
      <c r="UCJ103" s="445"/>
      <c r="UCK103" s="414"/>
      <c r="UCN103" s="445"/>
      <c r="UCO103" s="414"/>
      <c r="UCR103" s="445"/>
      <c r="UCS103" s="414"/>
      <c r="UCV103" s="445"/>
      <c r="UCW103" s="414"/>
      <c r="UCZ103" s="445"/>
      <c r="UDA103" s="414"/>
      <c r="UDD103" s="445"/>
      <c r="UDE103" s="414"/>
      <c r="UDH103" s="445"/>
      <c r="UDI103" s="414"/>
      <c r="UDL103" s="445"/>
      <c r="UDM103" s="414"/>
      <c r="UDP103" s="445"/>
      <c r="UDQ103" s="414"/>
      <c r="UDT103" s="445"/>
      <c r="UDU103" s="414"/>
      <c r="UDX103" s="445"/>
      <c r="UDY103" s="414"/>
      <c r="UEB103" s="445"/>
      <c r="UEC103" s="414"/>
      <c r="UEF103" s="445"/>
      <c r="UEG103" s="414"/>
      <c r="UEJ103" s="445"/>
      <c r="UEK103" s="414"/>
      <c r="UEN103" s="445"/>
      <c r="UEO103" s="414"/>
      <c r="UER103" s="445"/>
      <c r="UES103" s="414"/>
      <c r="UEV103" s="445"/>
      <c r="UEW103" s="414"/>
      <c r="UEZ103" s="445"/>
      <c r="UFA103" s="414"/>
      <c r="UFD103" s="445"/>
      <c r="UFE103" s="414"/>
      <c r="UFH103" s="445"/>
      <c r="UFI103" s="414"/>
      <c r="UFL103" s="445"/>
      <c r="UFM103" s="414"/>
      <c r="UFP103" s="445"/>
      <c r="UFQ103" s="414"/>
      <c r="UFT103" s="445"/>
      <c r="UFU103" s="414"/>
      <c r="UFX103" s="445"/>
      <c r="UFY103" s="414"/>
      <c r="UGB103" s="445"/>
      <c r="UGC103" s="414"/>
      <c r="UGF103" s="445"/>
      <c r="UGG103" s="414"/>
      <c r="UGJ103" s="445"/>
      <c r="UGK103" s="414"/>
      <c r="UGN103" s="445"/>
      <c r="UGO103" s="414"/>
      <c r="UGR103" s="445"/>
      <c r="UGS103" s="414"/>
      <c r="UGV103" s="445"/>
      <c r="UGW103" s="414"/>
      <c r="UGZ103" s="445"/>
      <c r="UHA103" s="414"/>
      <c r="UHD103" s="445"/>
      <c r="UHE103" s="414"/>
      <c r="UHH103" s="445"/>
      <c r="UHI103" s="414"/>
      <c r="UHL103" s="445"/>
      <c r="UHM103" s="414"/>
      <c r="UHP103" s="445"/>
      <c r="UHQ103" s="414"/>
      <c r="UHT103" s="445"/>
      <c r="UHU103" s="414"/>
      <c r="UHX103" s="445"/>
      <c r="UHY103" s="414"/>
      <c r="UIB103" s="445"/>
      <c r="UIC103" s="414"/>
      <c r="UIF103" s="445"/>
      <c r="UIG103" s="414"/>
      <c r="UIJ103" s="445"/>
      <c r="UIK103" s="414"/>
      <c r="UIN103" s="445"/>
      <c r="UIO103" s="414"/>
      <c r="UIR103" s="445"/>
      <c r="UIS103" s="414"/>
      <c r="UIV103" s="445"/>
      <c r="UIW103" s="414"/>
      <c r="UIZ103" s="445"/>
      <c r="UJA103" s="414"/>
      <c r="UJD103" s="445"/>
      <c r="UJE103" s="414"/>
      <c r="UJH103" s="445"/>
      <c r="UJI103" s="414"/>
      <c r="UJL103" s="445"/>
      <c r="UJM103" s="414"/>
      <c r="UJP103" s="445"/>
      <c r="UJQ103" s="414"/>
      <c r="UJT103" s="445"/>
      <c r="UJU103" s="414"/>
      <c r="UJX103" s="445"/>
      <c r="UJY103" s="414"/>
      <c r="UKB103" s="445"/>
      <c r="UKC103" s="414"/>
      <c r="UKF103" s="445"/>
      <c r="UKG103" s="414"/>
      <c r="UKJ103" s="445"/>
      <c r="UKK103" s="414"/>
      <c r="UKN103" s="445"/>
      <c r="UKO103" s="414"/>
      <c r="UKR103" s="445"/>
      <c r="UKS103" s="414"/>
      <c r="UKV103" s="445"/>
      <c r="UKW103" s="414"/>
      <c r="UKZ103" s="445"/>
      <c r="ULA103" s="414"/>
      <c r="ULD103" s="445"/>
      <c r="ULE103" s="414"/>
      <c r="ULH103" s="445"/>
      <c r="ULI103" s="414"/>
      <c r="ULL103" s="445"/>
      <c r="ULM103" s="414"/>
      <c r="ULP103" s="445"/>
      <c r="ULQ103" s="414"/>
      <c r="ULT103" s="445"/>
      <c r="ULU103" s="414"/>
      <c r="ULX103" s="445"/>
      <c r="ULY103" s="414"/>
      <c r="UMB103" s="445"/>
      <c r="UMC103" s="414"/>
      <c r="UMF103" s="445"/>
      <c r="UMG103" s="414"/>
      <c r="UMJ103" s="445"/>
      <c r="UMK103" s="414"/>
      <c r="UMN103" s="445"/>
      <c r="UMO103" s="414"/>
      <c r="UMR103" s="445"/>
      <c r="UMS103" s="414"/>
      <c r="UMV103" s="445"/>
      <c r="UMW103" s="414"/>
      <c r="UMZ103" s="445"/>
      <c r="UNA103" s="414"/>
      <c r="UND103" s="445"/>
      <c r="UNE103" s="414"/>
      <c r="UNH103" s="445"/>
      <c r="UNI103" s="414"/>
      <c r="UNL103" s="445"/>
      <c r="UNM103" s="414"/>
      <c r="UNP103" s="445"/>
      <c r="UNQ103" s="414"/>
      <c r="UNT103" s="445"/>
      <c r="UNU103" s="414"/>
      <c r="UNX103" s="445"/>
      <c r="UNY103" s="414"/>
      <c r="UOB103" s="445"/>
      <c r="UOC103" s="414"/>
      <c r="UOF103" s="445"/>
      <c r="UOG103" s="414"/>
      <c r="UOJ103" s="445"/>
      <c r="UOK103" s="414"/>
      <c r="UON103" s="445"/>
      <c r="UOO103" s="414"/>
      <c r="UOR103" s="445"/>
      <c r="UOS103" s="414"/>
      <c r="UOV103" s="445"/>
      <c r="UOW103" s="414"/>
      <c r="UOZ103" s="445"/>
      <c r="UPA103" s="414"/>
      <c r="UPD103" s="445"/>
      <c r="UPE103" s="414"/>
      <c r="UPH103" s="445"/>
      <c r="UPI103" s="414"/>
      <c r="UPL103" s="445"/>
      <c r="UPM103" s="414"/>
      <c r="UPP103" s="445"/>
      <c r="UPQ103" s="414"/>
      <c r="UPT103" s="445"/>
      <c r="UPU103" s="414"/>
      <c r="UPX103" s="445"/>
      <c r="UPY103" s="414"/>
      <c r="UQB103" s="445"/>
      <c r="UQC103" s="414"/>
      <c r="UQF103" s="445"/>
      <c r="UQG103" s="414"/>
      <c r="UQJ103" s="445"/>
      <c r="UQK103" s="414"/>
      <c r="UQN103" s="445"/>
      <c r="UQO103" s="414"/>
      <c r="UQR103" s="445"/>
      <c r="UQS103" s="414"/>
      <c r="UQV103" s="445"/>
      <c r="UQW103" s="414"/>
      <c r="UQZ103" s="445"/>
      <c r="URA103" s="414"/>
      <c r="URD103" s="445"/>
      <c r="URE103" s="414"/>
      <c r="URH103" s="445"/>
      <c r="URI103" s="414"/>
      <c r="URL103" s="445"/>
      <c r="URM103" s="414"/>
      <c r="URP103" s="445"/>
      <c r="URQ103" s="414"/>
      <c r="URT103" s="445"/>
      <c r="URU103" s="414"/>
      <c r="URX103" s="445"/>
      <c r="URY103" s="414"/>
      <c r="USB103" s="445"/>
      <c r="USC103" s="414"/>
      <c r="USF103" s="445"/>
      <c r="USG103" s="414"/>
      <c r="USJ103" s="445"/>
      <c r="USK103" s="414"/>
      <c r="USN103" s="445"/>
      <c r="USO103" s="414"/>
      <c r="USR103" s="445"/>
      <c r="USS103" s="414"/>
      <c r="USV103" s="445"/>
      <c r="USW103" s="414"/>
      <c r="USZ103" s="445"/>
      <c r="UTA103" s="414"/>
      <c r="UTD103" s="445"/>
      <c r="UTE103" s="414"/>
      <c r="UTH103" s="445"/>
      <c r="UTI103" s="414"/>
      <c r="UTL103" s="445"/>
      <c r="UTM103" s="414"/>
      <c r="UTP103" s="445"/>
      <c r="UTQ103" s="414"/>
      <c r="UTT103" s="445"/>
      <c r="UTU103" s="414"/>
      <c r="UTX103" s="445"/>
      <c r="UTY103" s="414"/>
      <c r="UUB103" s="445"/>
      <c r="UUC103" s="414"/>
      <c r="UUF103" s="445"/>
      <c r="UUG103" s="414"/>
      <c r="UUJ103" s="445"/>
      <c r="UUK103" s="414"/>
      <c r="UUN103" s="445"/>
      <c r="UUO103" s="414"/>
      <c r="UUR103" s="445"/>
      <c r="UUS103" s="414"/>
      <c r="UUV103" s="445"/>
      <c r="UUW103" s="414"/>
      <c r="UUZ103" s="445"/>
      <c r="UVA103" s="414"/>
      <c r="UVD103" s="445"/>
      <c r="UVE103" s="414"/>
      <c r="UVH103" s="445"/>
      <c r="UVI103" s="414"/>
      <c r="UVL103" s="445"/>
      <c r="UVM103" s="414"/>
      <c r="UVP103" s="445"/>
      <c r="UVQ103" s="414"/>
      <c r="UVT103" s="445"/>
      <c r="UVU103" s="414"/>
      <c r="UVX103" s="445"/>
      <c r="UVY103" s="414"/>
      <c r="UWB103" s="445"/>
      <c r="UWC103" s="414"/>
      <c r="UWF103" s="445"/>
      <c r="UWG103" s="414"/>
      <c r="UWJ103" s="445"/>
      <c r="UWK103" s="414"/>
      <c r="UWN103" s="445"/>
      <c r="UWO103" s="414"/>
      <c r="UWR103" s="445"/>
      <c r="UWS103" s="414"/>
      <c r="UWV103" s="445"/>
      <c r="UWW103" s="414"/>
      <c r="UWZ103" s="445"/>
      <c r="UXA103" s="414"/>
      <c r="UXD103" s="445"/>
      <c r="UXE103" s="414"/>
      <c r="UXH103" s="445"/>
      <c r="UXI103" s="414"/>
      <c r="UXL103" s="445"/>
      <c r="UXM103" s="414"/>
      <c r="UXP103" s="445"/>
      <c r="UXQ103" s="414"/>
      <c r="UXT103" s="445"/>
      <c r="UXU103" s="414"/>
      <c r="UXX103" s="445"/>
      <c r="UXY103" s="414"/>
      <c r="UYB103" s="445"/>
      <c r="UYC103" s="414"/>
      <c r="UYF103" s="445"/>
      <c r="UYG103" s="414"/>
      <c r="UYJ103" s="445"/>
      <c r="UYK103" s="414"/>
      <c r="UYN103" s="445"/>
      <c r="UYO103" s="414"/>
      <c r="UYR103" s="445"/>
      <c r="UYS103" s="414"/>
      <c r="UYV103" s="445"/>
      <c r="UYW103" s="414"/>
      <c r="UYZ103" s="445"/>
      <c r="UZA103" s="414"/>
      <c r="UZD103" s="445"/>
      <c r="UZE103" s="414"/>
      <c r="UZH103" s="445"/>
      <c r="UZI103" s="414"/>
      <c r="UZL103" s="445"/>
      <c r="UZM103" s="414"/>
      <c r="UZP103" s="445"/>
      <c r="UZQ103" s="414"/>
      <c r="UZT103" s="445"/>
      <c r="UZU103" s="414"/>
      <c r="UZX103" s="445"/>
      <c r="UZY103" s="414"/>
      <c r="VAB103" s="445"/>
      <c r="VAC103" s="414"/>
      <c r="VAF103" s="445"/>
      <c r="VAG103" s="414"/>
      <c r="VAJ103" s="445"/>
      <c r="VAK103" s="414"/>
      <c r="VAN103" s="445"/>
      <c r="VAO103" s="414"/>
      <c r="VAR103" s="445"/>
      <c r="VAS103" s="414"/>
      <c r="VAV103" s="445"/>
      <c r="VAW103" s="414"/>
      <c r="VAZ103" s="445"/>
      <c r="VBA103" s="414"/>
      <c r="VBD103" s="445"/>
      <c r="VBE103" s="414"/>
      <c r="VBH103" s="445"/>
      <c r="VBI103" s="414"/>
      <c r="VBL103" s="445"/>
      <c r="VBM103" s="414"/>
      <c r="VBP103" s="445"/>
      <c r="VBQ103" s="414"/>
      <c r="VBT103" s="445"/>
      <c r="VBU103" s="414"/>
      <c r="VBX103" s="445"/>
      <c r="VBY103" s="414"/>
      <c r="VCB103" s="445"/>
      <c r="VCC103" s="414"/>
      <c r="VCF103" s="445"/>
      <c r="VCG103" s="414"/>
      <c r="VCJ103" s="445"/>
      <c r="VCK103" s="414"/>
      <c r="VCN103" s="445"/>
      <c r="VCO103" s="414"/>
      <c r="VCR103" s="445"/>
      <c r="VCS103" s="414"/>
      <c r="VCV103" s="445"/>
      <c r="VCW103" s="414"/>
      <c r="VCZ103" s="445"/>
      <c r="VDA103" s="414"/>
      <c r="VDD103" s="445"/>
      <c r="VDE103" s="414"/>
      <c r="VDH103" s="445"/>
      <c r="VDI103" s="414"/>
      <c r="VDL103" s="445"/>
      <c r="VDM103" s="414"/>
      <c r="VDP103" s="445"/>
      <c r="VDQ103" s="414"/>
      <c r="VDT103" s="445"/>
      <c r="VDU103" s="414"/>
      <c r="VDX103" s="445"/>
      <c r="VDY103" s="414"/>
      <c r="VEB103" s="445"/>
      <c r="VEC103" s="414"/>
      <c r="VEF103" s="445"/>
      <c r="VEG103" s="414"/>
      <c r="VEJ103" s="445"/>
      <c r="VEK103" s="414"/>
      <c r="VEN103" s="445"/>
      <c r="VEO103" s="414"/>
      <c r="VER103" s="445"/>
      <c r="VES103" s="414"/>
      <c r="VEV103" s="445"/>
      <c r="VEW103" s="414"/>
      <c r="VEZ103" s="445"/>
      <c r="VFA103" s="414"/>
      <c r="VFD103" s="445"/>
      <c r="VFE103" s="414"/>
      <c r="VFH103" s="445"/>
      <c r="VFI103" s="414"/>
      <c r="VFL103" s="445"/>
      <c r="VFM103" s="414"/>
      <c r="VFP103" s="445"/>
      <c r="VFQ103" s="414"/>
      <c r="VFT103" s="445"/>
      <c r="VFU103" s="414"/>
      <c r="VFX103" s="445"/>
      <c r="VFY103" s="414"/>
      <c r="VGB103" s="445"/>
      <c r="VGC103" s="414"/>
      <c r="VGF103" s="445"/>
      <c r="VGG103" s="414"/>
      <c r="VGJ103" s="445"/>
      <c r="VGK103" s="414"/>
      <c r="VGN103" s="445"/>
      <c r="VGO103" s="414"/>
      <c r="VGR103" s="445"/>
      <c r="VGS103" s="414"/>
      <c r="VGV103" s="445"/>
      <c r="VGW103" s="414"/>
      <c r="VGZ103" s="445"/>
      <c r="VHA103" s="414"/>
      <c r="VHD103" s="445"/>
      <c r="VHE103" s="414"/>
      <c r="VHH103" s="445"/>
      <c r="VHI103" s="414"/>
      <c r="VHL103" s="445"/>
      <c r="VHM103" s="414"/>
      <c r="VHP103" s="445"/>
      <c r="VHQ103" s="414"/>
      <c r="VHT103" s="445"/>
      <c r="VHU103" s="414"/>
      <c r="VHX103" s="445"/>
      <c r="VHY103" s="414"/>
      <c r="VIB103" s="445"/>
      <c r="VIC103" s="414"/>
      <c r="VIF103" s="445"/>
      <c r="VIG103" s="414"/>
      <c r="VIJ103" s="445"/>
      <c r="VIK103" s="414"/>
      <c r="VIN103" s="445"/>
      <c r="VIO103" s="414"/>
      <c r="VIR103" s="445"/>
      <c r="VIS103" s="414"/>
      <c r="VIV103" s="445"/>
      <c r="VIW103" s="414"/>
      <c r="VIZ103" s="445"/>
      <c r="VJA103" s="414"/>
      <c r="VJD103" s="445"/>
      <c r="VJE103" s="414"/>
      <c r="VJH103" s="445"/>
      <c r="VJI103" s="414"/>
      <c r="VJL103" s="445"/>
      <c r="VJM103" s="414"/>
      <c r="VJP103" s="445"/>
      <c r="VJQ103" s="414"/>
      <c r="VJT103" s="445"/>
      <c r="VJU103" s="414"/>
      <c r="VJX103" s="445"/>
      <c r="VJY103" s="414"/>
      <c r="VKB103" s="445"/>
      <c r="VKC103" s="414"/>
      <c r="VKF103" s="445"/>
      <c r="VKG103" s="414"/>
      <c r="VKJ103" s="445"/>
      <c r="VKK103" s="414"/>
      <c r="VKN103" s="445"/>
      <c r="VKO103" s="414"/>
      <c r="VKR103" s="445"/>
      <c r="VKS103" s="414"/>
      <c r="VKV103" s="445"/>
      <c r="VKW103" s="414"/>
      <c r="VKZ103" s="445"/>
      <c r="VLA103" s="414"/>
      <c r="VLD103" s="445"/>
      <c r="VLE103" s="414"/>
      <c r="VLH103" s="445"/>
      <c r="VLI103" s="414"/>
      <c r="VLL103" s="445"/>
      <c r="VLM103" s="414"/>
      <c r="VLP103" s="445"/>
      <c r="VLQ103" s="414"/>
      <c r="VLT103" s="445"/>
      <c r="VLU103" s="414"/>
      <c r="VLX103" s="445"/>
      <c r="VLY103" s="414"/>
      <c r="VMB103" s="445"/>
      <c r="VMC103" s="414"/>
      <c r="VMF103" s="445"/>
      <c r="VMG103" s="414"/>
      <c r="VMJ103" s="445"/>
      <c r="VMK103" s="414"/>
      <c r="VMN103" s="445"/>
      <c r="VMO103" s="414"/>
      <c r="VMR103" s="445"/>
      <c r="VMS103" s="414"/>
      <c r="VMV103" s="445"/>
      <c r="VMW103" s="414"/>
      <c r="VMZ103" s="445"/>
      <c r="VNA103" s="414"/>
      <c r="VND103" s="445"/>
      <c r="VNE103" s="414"/>
      <c r="VNH103" s="445"/>
      <c r="VNI103" s="414"/>
      <c r="VNL103" s="445"/>
      <c r="VNM103" s="414"/>
      <c r="VNP103" s="445"/>
      <c r="VNQ103" s="414"/>
      <c r="VNT103" s="445"/>
      <c r="VNU103" s="414"/>
      <c r="VNX103" s="445"/>
      <c r="VNY103" s="414"/>
      <c r="VOB103" s="445"/>
      <c r="VOC103" s="414"/>
      <c r="VOF103" s="445"/>
      <c r="VOG103" s="414"/>
      <c r="VOJ103" s="445"/>
      <c r="VOK103" s="414"/>
      <c r="VON103" s="445"/>
      <c r="VOO103" s="414"/>
      <c r="VOR103" s="445"/>
      <c r="VOS103" s="414"/>
      <c r="VOV103" s="445"/>
      <c r="VOW103" s="414"/>
      <c r="VOZ103" s="445"/>
      <c r="VPA103" s="414"/>
      <c r="VPD103" s="445"/>
      <c r="VPE103" s="414"/>
      <c r="VPH103" s="445"/>
      <c r="VPI103" s="414"/>
      <c r="VPL103" s="445"/>
      <c r="VPM103" s="414"/>
      <c r="VPP103" s="445"/>
      <c r="VPQ103" s="414"/>
      <c r="VPT103" s="445"/>
      <c r="VPU103" s="414"/>
      <c r="VPX103" s="445"/>
      <c r="VPY103" s="414"/>
      <c r="VQB103" s="445"/>
      <c r="VQC103" s="414"/>
      <c r="VQF103" s="445"/>
      <c r="VQG103" s="414"/>
      <c r="VQJ103" s="445"/>
      <c r="VQK103" s="414"/>
      <c r="VQN103" s="445"/>
      <c r="VQO103" s="414"/>
      <c r="VQR103" s="445"/>
      <c r="VQS103" s="414"/>
      <c r="VQV103" s="445"/>
      <c r="VQW103" s="414"/>
      <c r="VQZ103" s="445"/>
      <c r="VRA103" s="414"/>
      <c r="VRD103" s="445"/>
      <c r="VRE103" s="414"/>
      <c r="VRH103" s="445"/>
      <c r="VRI103" s="414"/>
      <c r="VRL103" s="445"/>
      <c r="VRM103" s="414"/>
      <c r="VRP103" s="445"/>
      <c r="VRQ103" s="414"/>
      <c r="VRT103" s="445"/>
      <c r="VRU103" s="414"/>
      <c r="VRX103" s="445"/>
      <c r="VRY103" s="414"/>
      <c r="VSB103" s="445"/>
      <c r="VSC103" s="414"/>
      <c r="VSF103" s="445"/>
      <c r="VSG103" s="414"/>
      <c r="VSJ103" s="445"/>
      <c r="VSK103" s="414"/>
      <c r="VSN103" s="445"/>
      <c r="VSO103" s="414"/>
      <c r="VSR103" s="445"/>
      <c r="VSS103" s="414"/>
      <c r="VSV103" s="445"/>
      <c r="VSW103" s="414"/>
      <c r="VSZ103" s="445"/>
      <c r="VTA103" s="414"/>
      <c r="VTD103" s="445"/>
      <c r="VTE103" s="414"/>
      <c r="VTH103" s="445"/>
      <c r="VTI103" s="414"/>
      <c r="VTL103" s="445"/>
      <c r="VTM103" s="414"/>
      <c r="VTP103" s="445"/>
      <c r="VTQ103" s="414"/>
      <c r="VTT103" s="445"/>
      <c r="VTU103" s="414"/>
      <c r="VTX103" s="445"/>
      <c r="VTY103" s="414"/>
      <c r="VUB103" s="445"/>
      <c r="VUC103" s="414"/>
      <c r="VUF103" s="445"/>
      <c r="VUG103" s="414"/>
      <c r="VUJ103" s="445"/>
      <c r="VUK103" s="414"/>
      <c r="VUN103" s="445"/>
      <c r="VUO103" s="414"/>
      <c r="VUR103" s="445"/>
      <c r="VUS103" s="414"/>
      <c r="VUV103" s="445"/>
      <c r="VUW103" s="414"/>
      <c r="VUZ103" s="445"/>
      <c r="VVA103" s="414"/>
      <c r="VVD103" s="445"/>
      <c r="VVE103" s="414"/>
      <c r="VVH103" s="445"/>
      <c r="VVI103" s="414"/>
      <c r="VVL103" s="445"/>
      <c r="VVM103" s="414"/>
      <c r="VVP103" s="445"/>
      <c r="VVQ103" s="414"/>
      <c r="VVT103" s="445"/>
      <c r="VVU103" s="414"/>
      <c r="VVX103" s="445"/>
      <c r="VVY103" s="414"/>
      <c r="VWB103" s="445"/>
      <c r="VWC103" s="414"/>
      <c r="VWF103" s="445"/>
      <c r="VWG103" s="414"/>
      <c r="VWJ103" s="445"/>
      <c r="VWK103" s="414"/>
      <c r="VWN103" s="445"/>
      <c r="VWO103" s="414"/>
      <c r="VWR103" s="445"/>
      <c r="VWS103" s="414"/>
      <c r="VWV103" s="445"/>
      <c r="VWW103" s="414"/>
      <c r="VWZ103" s="445"/>
      <c r="VXA103" s="414"/>
      <c r="VXD103" s="445"/>
      <c r="VXE103" s="414"/>
      <c r="VXH103" s="445"/>
      <c r="VXI103" s="414"/>
      <c r="VXL103" s="445"/>
      <c r="VXM103" s="414"/>
      <c r="VXP103" s="445"/>
      <c r="VXQ103" s="414"/>
      <c r="VXT103" s="445"/>
      <c r="VXU103" s="414"/>
      <c r="VXX103" s="445"/>
      <c r="VXY103" s="414"/>
      <c r="VYB103" s="445"/>
      <c r="VYC103" s="414"/>
      <c r="VYF103" s="445"/>
      <c r="VYG103" s="414"/>
      <c r="VYJ103" s="445"/>
      <c r="VYK103" s="414"/>
      <c r="VYN103" s="445"/>
      <c r="VYO103" s="414"/>
      <c r="VYR103" s="445"/>
      <c r="VYS103" s="414"/>
      <c r="VYV103" s="445"/>
      <c r="VYW103" s="414"/>
      <c r="VYZ103" s="445"/>
      <c r="VZA103" s="414"/>
      <c r="VZD103" s="445"/>
      <c r="VZE103" s="414"/>
      <c r="VZH103" s="445"/>
      <c r="VZI103" s="414"/>
      <c r="VZL103" s="445"/>
      <c r="VZM103" s="414"/>
      <c r="VZP103" s="445"/>
      <c r="VZQ103" s="414"/>
      <c r="VZT103" s="445"/>
      <c r="VZU103" s="414"/>
      <c r="VZX103" s="445"/>
      <c r="VZY103" s="414"/>
      <c r="WAB103" s="445"/>
      <c r="WAC103" s="414"/>
      <c r="WAF103" s="445"/>
      <c r="WAG103" s="414"/>
      <c r="WAJ103" s="445"/>
      <c r="WAK103" s="414"/>
      <c r="WAN103" s="445"/>
      <c r="WAO103" s="414"/>
      <c r="WAR103" s="445"/>
      <c r="WAS103" s="414"/>
      <c r="WAV103" s="445"/>
      <c r="WAW103" s="414"/>
      <c r="WAZ103" s="445"/>
      <c r="WBA103" s="414"/>
      <c r="WBD103" s="445"/>
      <c r="WBE103" s="414"/>
      <c r="WBH103" s="445"/>
      <c r="WBI103" s="414"/>
      <c r="WBL103" s="445"/>
      <c r="WBM103" s="414"/>
      <c r="WBP103" s="445"/>
      <c r="WBQ103" s="414"/>
      <c r="WBT103" s="445"/>
      <c r="WBU103" s="414"/>
      <c r="WBX103" s="445"/>
      <c r="WBY103" s="414"/>
      <c r="WCB103" s="445"/>
      <c r="WCC103" s="414"/>
      <c r="WCF103" s="445"/>
      <c r="WCG103" s="414"/>
      <c r="WCJ103" s="445"/>
      <c r="WCK103" s="414"/>
      <c r="WCN103" s="445"/>
      <c r="WCO103" s="414"/>
      <c r="WCR103" s="445"/>
      <c r="WCS103" s="414"/>
      <c r="WCV103" s="445"/>
      <c r="WCW103" s="414"/>
      <c r="WCZ103" s="445"/>
      <c r="WDA103" s="414"/>
      <c r="WDD103" s="445"/>
      <c r="WDE103" s="414"/>
      <c r="WDH103" s="445"/>
      <c r="WDI103" s="414"/>
      <c r="WDL103" s="445"/>
      <c r="WDM103" s="414"/>
      <c r="WDP103" s="445"/>
      <c r="WDQ103" s="414"/>
      <c r="WDT103" s="445"/>
      <c r="WDU103" s="414"/>
      <c r="WDX103" s="445"/>
      <c r="WDY103" s="414"/>
      <c r="WEB103" s="445"/>
      <c r="WEC103" s="414"/>
      <c r="WEF103" s="445"/>
      <c r="WEG103" s="414"/>
      <c r="WEJ103" s="445"/>
      <c r="WEK103" s="414"/>
      <c r="WEN103" s="445"/>
      <c r="WEO103" s="414"/>
      <c r="WER103" s="445"/>
      <c r="WES103" s="414"/>
      <c r="WEV103" s="445"/>
      <c r="WEW103" s="414"/>
      <c r="WEZ103" s="445"/>
      <c r="WFA103" s="414"/>
      <c r="WFD103" s="445"/>
      <c r="WFE103" s="414"/>
      <c r="WFH103" s="445"/>
      <c r="WFI103" s="414"/>
      <c r="WFL103" s="445"/>
      <c r="WFM103" s="414"/>
      <c r="WFP103" s="445"/>
      <c r="WFQ103" s="414"/>
      <c r="WFT103" s="445"/>
      <c r="WFU103" s="414"/>
      <c r="WFX103" s="445"/>
      <c r="WFY103" s="414"/>
      <c r="WGB103" s="445"/>
      <c r="WGC103" s="414"/>
      <c r="WGF103" s="445"/>
      <c r="WGG103" s="414"/>
      <c r="WGJ103" s="445"/>
      <c r="WGK103" s="414"/>
      <c r="WGN103" s="445"/>
      <c r="WGO103" s="414"/>
      <c r="WGR103" s="445"/>
      <c r="WGS103" s="414"/>
      <c r="WGV103" s="445"/>
      <c r="WGW103" s="414"/>
      <c r="WGZ103" s="445"/>
      <c r="WHA103" s="414"/>
      <c r="WHD103" s="445"/>
      <c r="WHE103" s="414"/>
      <c r="WHH103" s="445"/>
      <c r="WHI103" s="414"/>
      <c r="WHL103" s="445"/>
      <c r="WHM103" s="414"/>
      <c r="WHP103" s="445"/>
      <c r="WHQ103" s="414"/>
      <c r="WHT103" s="445"/>
      <c r="WHU103" s="414"/>
      <c r="WHX103" s="445"/>
      <c r="WHY103" s="414"/>
      <c r="WIB103" s="445"/>
      <c r="WIC103" s="414"/>
      <c r="WIF103" s="445"/>
      <c r="WIG103" s="414"/>
      <c r="WIJ103" s="445"/>
      <c r="WIK103" s="414"/>
      <c r="WIN103" s="445"/>
      <c r="WIO103" s="414"/>
      <c r="WIR103" s="445"/>
      <c r="WIS103" s="414"/>
      <c r="WIV103" s="445"/>
      <c r="WIW103" s="414"/>
      <c r="WIZ103" s="445"/>
      <c r="WJA103" s="414"/>
      <c r="WJD103" s="445"/>
      <c r="WJE103" s="414"/>
      <c r="WJH103" s="445"/>
      <c r="WJI103" s="414"/>
      <c r="WJL103" s="445"/>
      <c r="WJM103" s="414"/>
      <c r="WJP103" s="445"/>
      <c r="WJQ103" s="414"/>
      <c r="WJT103" s="445"/>
      <c r="WJU103" s="414"/>
      <c r="WJX103" s="445"/>
      <c r="WJY103" s="414"/>
      <c r="WKB103" s="445"/>
      <c r="WKC103" s="414"/>
      <c r="WKF103" s="445"/>
      <c r="WKG103" s="414"/>
      <c r="WKJ103" s="445"/>
      <c r="WKK103" s="414"/>
      <c r="WKN103" s="445"/>
      <c r="WKO103" s="414"/>
      <c r="WKR103" s="445"/>
      <c r="WKS103" s="414"/>
      <c r="WKV103" s="445"/>
      <c r="WKW103" s="414"/>
      <c r="WKZ103" s="445"/>
      <c r="WLA103" s="414"/>
      <c r="WLD103" s="445"/>
      <c r="WLE103" s="414"/>
      <c r="WLH103" s="445"/>
      <c r="WLI103" s="414"/>
      <c r="WLL103" s="445"/>
      <c r="WLM103" s="414"/>
      <c r="WLP103" s="445"/>
      <c r="WLQ103" s="414"/>
      <c r="WLT103" s="445"/>
      <c r="WLU103" s="414"/>
      <c r="WLX103" s="445"/>
      <c r="WLY103" s="414"/>
      <c r="WMB103" s="445"/>
      <c r="WMC103" s="414"/>
      <c r="WMF103" s="445"/>
      <c r="WMG103" s="414"/>
      <c r="WMJ103" s="445"/>
      <c r="WMK103" s="414"/>
      <c r="WMN103" s="445"/>
      <c r="WMO103" s="414"/>
      <c r="WMR103" s="445"/>
      <c r="WMS103" s="414"/>
      <c r="WMV103" s="445"/>
      <c r="WMW103" s="414"/>
      <c r="WMZ103" s="445"/>
      <c r="WNA103" s="414"/>
      <c r="WND103" s="445"/>
      <c r="WNE103" s="414"/>
      <c r="WNH103" s="445"/>
      <c r="WNI103" s="414"/>
      <c r="WNL103" s="445"/>
      <c r="WNM103" s="414"/>
      <c r="WNP103" s="445"/>
      <c r="WNQ103" s="414"/>
      <c r="WNT103" s="445"/>
      <c r="WNU103" s="414"/>
      <c r="WNX103" s="445"/>
      <c r="WNY103" s="414"/>
      <c r="WOB103" s="445"/>
      <c r="WOC103" s="414"/>
      <c r="WOF103" s="445"/>
      <c r="WOG103" s="414"/>
      <c r="WOJ103" s="445"/>
      <c r="WOK103" s="414"/>
      <c r="WON103" s="445"/>
      <c r="WOO103" s="414"/>
      <c r="WOR103" s="445"/>
      <c r="WOS103" s="414"/>
      <c r="WOV103" s="445"/>
      <c r="WOW103" s="414"/>
      <c r="WOZ103" s="445"/>
      <c r="WPA103" s="414"/>
      <c r="WPD103" s="445"/>
      <c r="WPE103" s="414"/>
      <c r="WPH103" s="445"/>
      <c r="WPI103" s="414"/>
      <c r="WPL103" s="445"/>
      <c r="WPM103" s="414"/>
      <c r="WPP103" s="445"/>
      <c r="WPQ103" s="414"/>
      <c r="WPT103" s="445"/>
      <c r="WPU103" s="414"/>
      <c r="WPX103" s="445"/>
      <c r="WPY103" s="414"/>
      <c r="WQB103" s="445"/>
      <c r="WQC103" s="414"/>
      <c r="WQF103" s="445"/>
      <c r="WQG103" s="414"/>
      <c r="WQJ103" s="445"/>
      <c r="WQK103" s="414"/>
      <c r="WQN103" s="445"/>
      <c r="WQO103" s="414"/>
      <c r="WQR103" s="445"/>
      <c r="WQS103" s="414"/>
      <c r="WQV103" s="445"/>
      <c r="WQW103" s="414"/>
      <c r="WQZ103" s="445"/>
      <c r="WRA103" s="414"/>
      <c r="WRD103" s="445"/>
      <c r="WRE103" s="414"/>
      <c r="WRH103" s="445"/>
      <c r="WRI103" s="414"/>
      <c r="WRL103" s="445"/>
      <c r="WRM103" s="414"/>
      <c r="WRP103" s="445"/>
      <c r="WRQ103" s="414"/>
      <c r="WRT103" s="445"/>
      <c r="WRU103" s="414"/>
      <c r="WRX103" s="445"/>
      <c r="WRY103" s="414"/>
      <c r="WSB103" s="445"/>
      <c r="WSC103" s="414"/>
      <c r="WSF103" s="445"/>
      <c r="WSG103" s="414"/>
      <c r="WSJ103" s="445"/>
      <c r="WSK103" s="414"/>
      <c r="WSN103" s="445"/>
      <c r="WSO103" s="414"/>
      <c r="WSR103" s="445"/>
      <c r="WSS103" s="414"/>
      <c r="WSV103" s="445"/>
      <c r="WSW103" s="414"/>
      <c r="WSZ103" s="445"/>
      <c r="WTA103" s="414"/>
      <c r="WTD103" s="445"/>
      <c r="WTE103" s="414"/>
      <c r="WTH103" s="445"/>
      <c r="WTI103" s="414"/>
      <c r="WTL103" s="445"/>
      <c r="WTM103" s="414"/>
      <c r="WTP103" s="445"/>
      <c r="WTQ103" s="414"/>
      <c r="WTT103" s="445"/>
      <c r="WTU103" s="414"/>
      <c r="WTX103" s="445"/>
      <c r="WTY103" s="414"/>
      <c r="WUB103" s="445"/>
      <c r="WUC103" s="414"/>
      <c r="WUF103" s="445"/>
      <c r="WUG103" s="414"/>
      <c r="WUJ103" s="445"/>
      <c r="WUK103" s="414"/>
      <c r="WUN103" s="445"/>
      <c r="WUO103" s="414"/>
      <c r="WUR103" s="445"/>
      <c r="WUS103" s="414"/>
      <c r="WUV103" s="445"/>
      <c r="WUW103" s="414"/>
      <c r="WUZ103" s="445"/>
      <c r="WVA103" s="414"/>
      <c r="WVD103" s="445"/>
      <c r="WVE103" s="414"/>
      <c r="WVH103" s="445"/>
      <c r="WVI103" s="414"/>
      <c r="WVL103" s="445"/>
      <c r="WVM103" s="414"/>
      <c r="WVP103" s="445"/>
      <c r="WVQ103" s="414"/>
      <c r="WVT103" s="445"/>
      <c r="WVU103" s="414"/>
      <c r="WVX103" s="445"/>
      <c r="WVY103" s="414"/>
      <c r="WWB103" s="445"/>
      <c r="WWC103" s="414"/>
      <c r="WWF103" s="445"/>
      <c r="WWG103" s="414"/>
      <c r="WWJ103" s="445"/>
      <c r="WWK103" s="414"/>
      <c r="WWN103" s="445"/>
      <c r="WWO103" s="414"/>
      <c r="WWR103" s="445"/>
      <c r="WWS103" s="414"/>
      <c r="WWV103" s="445"/>
      <c r="WWW103" s="414"/>
      <c r="WWZ103" s="445"/>
      <c r="WXA103" s="414"/>
      <c r="WXD103" s="445"/>
      <c r="WXE103" s="414"/>
      <c r="WXH103" s="445"/>
      <c r="WXI103" s="414"/>
      <c r="WXL103" s="445"/>
      <c r="WXM103" s="414"/>
      <c r="WXP103" s="445"/>
      <c r="WXQ103" s="414"/>
      <c r="WXT103" s="445"/>
      <c r="WXU103" s="414"/>
      <c r="WXX103" s="445"/>
      <c r="WXY103" s="414"/>
      <c r="WYB103" s="445"/>
      <c r="WYC103" s="414"/>
      <c r="WYF103" s="445"/>
      <c r="WYG103" s="414"/>
      <c r="WYJ103" s="445"/>
      <c r="WYK103" s="414"/>
      <c r="WYN103" s="445"/>
      <c r="WYO103" s="414"/>
      <c r="WYR103" s="445"/>
      <c r="WYS103" s="414"/>
      <c r="WYV103" s="445"/>
      <c r="WYW103" s="414"/>
      <c r="WYZ103" s="445"/>
      <c r="WZA103" s="414"/>
      <c r="WZD103" s="445"/>
      <c r="WZE103" s="414"/>
      <c r="WZH103" s="445"/>
      <c r="WZI103" s="414"/>
      <c r="WZL103" s="445"/>
      <c r="WZM103" s="414"/>
      <c r="WZP103" s="445"/>
      <c r="WZQ103" s="414"/>
      <c r="WZT103" s="445"/>
      <c r="WZU103" s="414"/>
      <c r="WZX103" s="445"/>
      <c r="WZY103" s="414"/>
      <c r="XAB103" s="445"/>
      <c r="XAC103" s="414"/>
      <c r="XAF103" s="445"/>
      <c r="XAG103" s="414"/>
      <c r="XAJ103" s="445"/>
      <c r="XAK103" s="414"/>
      <c r="XAN103" s="445"/>
      <c r="XAO103" s="414"/>
      <c r="XAR103" s="445"/>
      <c r="XAS103" s="414"/>
      <c r="XAV103" s="445"/>
      <c r="XAW103" s="414"/>
      <c r="XAZ103" s="445"/>
      <c r="XBA103" s="414"/>
      <c r="XBD103" s="445"/>
      <c r="XBE103" s="414"/>
      <c r="XBH103" s="445"/>
      <c r="XBI103" s="414"/>
      <c r="XBL103" s="445"/>
      <c r="XBM103" s="414"/>
      <c r="XBP103" s="445"/>
      <c r="XBQ103" s="414"/>
      <c r="XBT103" s="445"/>
      <c r="XBU103" s="414"/>
      <c r="XBX103" s="445"/>
      <c r="XBY103" s="414"/>
      <c r="XCB103" s="445"/>
      <c r="XCC103" s="414"/>
      <c r="XCF103" s="445"/>
      <c r="XCG103" s="414"/>
      <c r="XCJ103" s="445"/>
      <c r="XCK103" s="414"/>
      <c r="XCN103" s="445"/>
      <c r="XCO103" s="414"/>
      <c r="XCR103" s="445"/>
      <c r="XCS103" s="414"/>
      <c r="XCV103" s="445"/>
      <c r="XCW103" s="414"/>
      <c r="XCZ103" s="445"/>
      <c r="XDA103" s="414"/>
      <c r="XDD103" s="445"/>
      <c r="XDE103" s="414"/>
      <c r="XDH103" s="445"/>
      <c r="XDI103" s="414"/>
      <c r="XDL103" s="445"/>
      <c r="XDM103" s="414"/>
      <c r="XDP103" s="445"/>
      <c r="XDQ103" s="414"/>
      <c r="XDT103" s="445"/>
      <c r="XDU103" s="414"/>
      <c r="XDX103" s="445"/>
      <c r="XDY103" s="414"/>
      <c r="XEB103" s="445"/>
      <c r="XEC103" s="414"/>
      <c r="XEF103" s="445"/>
      <c r="XEG103" s="414"/>
      <c r="XEJ103" s="445"/>
      <c r="XEK103" s="414"/>
      <c r="XEN103" s="445"/>
      <c r="XEO103" s="414"/>
      <c r="XER103" s="445"/>
      <c r="XES103" s="414"/>
      <c r="XEV103" s="445"/>
      <c r="XEW103" s="414"/>
      <c r="XEZ103" s="445"/>
    </row>
    <row r="104" spans="1:16380" s="436" customFormat="1" ht="12.75">
      <c r="A104" s="445"/>
      <c r="B104" s="443">
        <v>103</v>
      </c>
      <c r="C104" s="447"/>
      <c r="D104" s="613" t="s">
        <v>2147</v>
      </c>
      <c r="E104" s="447" t="s">
        <v>2002</v>
      </c>
      <c r="F104" s="444" t="s">
        <v>133</v>
      </c>
      <c r="G104" s="621"/>
      <c r="H104" s="634"/>
      <c r="I104" s="636"/>
      <c r="AP104" s="414"/>
    </row>
    <row r="105" spans="1:16380" s="436" customFormat="1" ht="12.75">
      <c r="A105" s="445"/>
      <c r="B105" s="443">
        <v>104</v>
      </c>
      <c r="C105" s="447"/>
      <c r="D105" s="613" t="s">
        <v>2078</v>
      </c>
      <c r="E105" s="447" t="s">
        <v>2003</v>
      </c>
      <c r="F105" s="444" t="s">
        <v>133</v>
      </c>
      <c r="G105" s="621"/>
      <c r="H105" s="629">
        <v>35819</v>
      </c>
      <c r="I105" s="432" t="s">
        <v>2004</v>
      </c>
      <c r="AP105" s="414"/>
    </row>
    <row r="106" spans="1:16380" s="436" customFormat="1" ht="12.75">
      <c r="A106" s="445"/>
      <c r="B106" s="443">
        <v>105</v>
      </c>
      <c r="C106" s="447"/>
      <c r="D106" s="613" t="s">
        <v>2079</v>
      </c>
      <c r="E106" s="447" t="s">
        <v>2005</v>
      </c>
      <c r="F106" s="444" t="s">
        <v>133</v>
      </c>
      <c r="G106" s="621"/>
      <c r="H106" s="629">
        <v>33178</v>
      </c>
      <c r="I106" s="626" t="s">
        <v>2006</v>
      </c>
      <c r="AP106" s="414"/>
    </row>
    <row r="107" spans="1:16380" s="436" customFormat="1" ht="12.75">
      <c r="A107" s="445"/>
      <c r="B107" s="443">
        <v>106</v>
      </c>
      <c r="C107" s="447"/>
      <c r="D107" s="613" t="s">
        <v>2133</v>
      </c>
      <c r="E107" s="447" t="s">
        <v>2007</v>
      </c>
      <c r="F107" s="444" t="s">
        <v>133</v>
      </c>
      <c r="G107" s="621"/>
      <c r="H107" s="629">
        <v>35574</v>
      </c>
      <c r="I107" s="626" t="s">
        <v>2008</v>
      </c>
      <c r="M107" s="436">
        <v>119</v>
      </c>
      <c r="AP107" s="414"/>
    </row>
    <row r="108" spans="1:16380" s="436" customFormat="1" ht="12.75">
      <c r="A108" s="445"/>
      <c r="B108" s="443">
        <v>107</v>
      </c>
      <c r="C108" s="447"/>
      <c r="D108" s="613" t="s">
        <v>2070</v>
      </c>
      <c r="E108" s="447" t="s">
        <v>2010</v>
      </c>
      <c r="F108" s="444" t="s">
        <v>133</v>
      </c>
      <c r="G108" s="621"/>
      <c r="H108" s="629">
        <v>35924</v>
      </c>
      <c r="I108" s="626" t="s">
        <v>2011</v>
      </c>
      <c r="M108" s="436">
        <v>119</v>
      </c>
      <c r="AP108" s="414"/>
    </row>
    <row r="109" spans="1:16380" s="436" customFormat="1" ht="12.75">
      <c r="A109" s="445"/>
      <c r="B109" s="443">
        <v>108</v>
      </c>
      <c r="C109" s="447"/>
      <c r="D109" s="613" t="s">
        <v>2060</v>
      </c>
      <c r="E109" s="447" t="s">
        <v>2014</v>
      </c>
      <c r="F109" s="616" t="s">
        <v>133</v>
      </c>
      <c r="G109" s="620"/>
      <c r="H109" s="635">
        <v>36703</v>
      </c>
      <c r="I109" s="637" t="s">
        <v>2015</v>
      </c>
      <c r="AP109" s="414"/>
    </row>
    <row r="110" spans="1:16380" s="436" customFormat="1" ht="12.75">
      <c r="A110" s="445"/>
      <c r="B110" s="443">
        <v>109</v>
      </c>
      <c r="C110" s="447"/>
      <c r="D110" s="618" t="s">
        <v>2071</v>
      </c>
      <c r="E110" s="447" t="s">
        <v>2016</v>
      </c>
      <c r="F110" s="616" t="s">
        <v>133</v>
      </c>
      <c r="G110" s="620"/>
      <c r="H110" s="635">
        <v>34914</v>
      </c>
      <c r="I110" s="637" t="s">
        <v>2017</v>
      </c>
      <c r="AP110" s="414"/>
    </row>
    <row r="111" spans="1:16380" s="436" customFormat="1" ht="12.75">
      <c r="A111" s="445"/>
      <c r="B111" s="443">
        <v>110</v>
      </c>
      <c r="C111" s="447"/>
      <c r="D111" s="613" t="s">
        <v>2137</v>
      </c>
      <c r="E111" s="447" t="s">
        <v>2020</v>
      </c>
      <c r="F111" s="616" t="s">
        <v>133</v>
      </c>
      <c r="G111" s="621"/>
      <c r="H111" s="634"/>
      <c r="I111" s="636"/>
      <c r="AP111" s="414"/>
    </row>
    <row r="112" spans="1:16380" s="436" customFormat="1" ht="12.75">
      <c r="A112" s="445"/>
      <c r="B112" s="443">
        <v>111</v>
      </c>
      <c r="C112" s="447"/>
      <c r="D112" s="613" t="s">
        <v>2072</v>
      </c>
      <c r="E112" s="447" t="s">
        <v>2021</v>
      </c>
      <c r="F112" s="616" t="s">
        <v>133</v>
      </c>
      <c r="G112" s="621"/>
      <c r="H112" s="634"/>
      <c r="I112" s="636"/>
      <c r="AP112" s="414"/>
    </row>
    <row r="113" spans="1:42" s="436" customFormat="1" ht="12.75">
      <c r="A113" s="445"/>
      <c r="B113" s="443">
        <v>112</v>
      </c>
      <c r="C113" s="447"/>
      <c r="D113" s="613" t="s">
        <v>2059</v>
      </c>
      <c r="E113" s="447" t="s">
        <v>2059</v>
      </c>
      <c r="F113" s="616"/>
      <c r="G113" s="621"/>
      <c r="H113" s="634"/>
      <c r="I113" s="636"/>
      <c r="AP113" s="414"/>
    </row>
    <row r="114" spans="1:42" s="436" customFormat="1" ht="12.75">
      <c r="A114" s="445"/>
      <c r="B114" s="443">
        <v>113</v>
      </c>
      <c r="C114" s="447"/>
      <c r="D114" s="613" t="s">
        <v>2073</v>
      </c>
      <c r="E114" s="447"/>
      <c r="F114" s="616"/>
      <c r="G114" s="621"/>
      <c r="H114" s="634"/>
      <c r="I114" s="636"/>
      <c r="AP114" s="414"/>
    </row>
    <row r="115" spans="1:42" s="436" customFormat="1" ht="12.75">
      <c r="A115" s="445"/>
      <c r="B115" s="443">
        <v>114</v>
      </c>
      <c r="C115" s="447"/>
      <c r="D115" s="613" t="s">
        <v>2074</v>
      </c>
      <c r="E115" s="447"/>
      <c r="F115" s="616"/>
      <c r="G115" s="621"/>
      <c r="H115" s="634"/>
      <c r="I115" s="636"/>
      <c r="AP115" s="414"/>
    </row>
    <row r="116" spans="1:42" s="436" customFormat="1" ht="12.75">
      <c r="A116" s="445"/>
      <c r="B116" s="443">
        <v>115</v>
      </c>
      <c r="C116" s="447"/>
      <c r="D116" s="613" t="s">
        <v>2095</v>
      </c>
      <c r="E116" s="447"/>
      <c r="F116" s="616"/>
      <c r="G116" s="621"/>
      <c r="H116" s="634"/>
      <c r="I116" s="636"/>
      <c r="AP116" s="414"/>
    </row>
    <row r="117" spans="1:42" s="436" customFormat="1" ht="12.75">
      <c r="A117" s="445"/>
      <c r="B117" s="443">
        <v>116</v>
      </c>
      <c r="C117" s="447"/>
      <c r="D117" s="613" t="s">
        <v>2118</v>
      </c>
      <c r="E117" s="447"/>
      <c r="F117" s="616"/>
      <c r="G117" s="621"/>
      <c r="H117" s="634"/>
      <c r="I117" s="636"/>
      <c r="AP117" s="414"/>
    </row>
    <row r="118" spans="1:42" s="436" customFormat="1" ht="12.75">
      <c r="A118" s="445"/>
      <c r="B118" s="443">
        <v>117</v>
      </c>
      <c r="C118" s="447"/>
      <c r="D118" s="613" t="s">
        <v>2136</v>
      </c>
      <c r="E118" s="447"/>
      <c r="F118" s="616"/>
      <c r="G118" s="621"/>
      <c r="H118" s="634"/>
      <c r="I118" s="636"/>
      <c r="AP118" s="414"/>
    </row>
    <row r="119" spans="1:42" s="436" customFormat="1" ht="12.75">
      <c r="A119" s="445"/>
      <c r="B119" s="443">
        <v>118</v>
      </c>
      <c r="C119" s="447"/>
      <c r="D119" s="613" t="s">
        <v>2138</v>
      </c>
      <c r="E119" s="447" t="s">
        <v>2139</v>
      </c>
      <c r="F119" s="616"/>
      <c r="G119" s="621"/>
      <c r="H119" s="634"/>
      <c r="I119" s="636"/>
      <c r="AP119" s="414"/>
    </row>
  </sheetData>
  <mergeCells count="1">
    <mergeCell ref="B1:C1"/>
  </mergeCells>
  <conditionalFormatting sqref="E2:E76 E78:E84 E86:E112">
    <cfRule type="duplicateValues" dxfId="8" priority="10"/>
  </conditionalFormatting>
  <conditionalFormatting sqref="E113">
    <cfRule type="duplicateValues" dxfId="7" priority="9"/>
  </conditionalFormatting>
  <conditionalFormatting sqref="E114">
    <cfRule type="duplicateValues" dxfId="6" priority="8"/>
  </conditionalFormatting>
  <conditionalFormatting sqref="E115">
    <cfRule type="duplicateValues" dxfId="5" priority="7"/>
  </conditionalFormatting>
  <conditionalFormatting sqref="E116">
    <cfRule type="duplicateValues" dxfId="4" priority="6"/>
  </conditionalFormatting>
  <conditionalFormatting sqref="E117">
    <cfRule type="duplicateValues" dxfId="3" priority="4"/>
  </conditionalFormatting>
  <conditionalFormatting sqref="D103">
    <cfRule type="duplicateValues" dxfId="2" priority="3"/>
  </conditionalFormatting>
  <conditionalFormatting sqref="D110">
    <cfRule type="duplicateValues" dxfId="1" priority="2"/>
  </conditionalFormatting>
  <conditionalFormatting sqref="E118:E119">
    <cfRule type="duplicateValues" dxfId="0" priority="1"/>
  </conditionalFormatting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8"/>
  <sheetViews>
    <sheetView workbookViewId="0">
      <selection activeCell="F1" sqref="F1"/>
    </sheetView>
  </sheetViews>
  <sheetFormatPr defaultColWidth="8.85546875" defaultRowHeight="15"/>
  <cols>
    <col min="1" max="1" width="3.42578125" customWidth="1"/>
    <col min="2" max="2" width="40.28515625" customWidth="1"/>
    <col min="3" max="3" width="23" customWidth="1"/>
    <col min="5" max="6" width="15.28515625" customWidth="1"/>
    <col min="7" max="7" width="4.85546875" style="563" customWidth="1"/>
    <col min="8" max="8" width="31.7109375" customWidth="1"/>
    <col min="9" max="9" width="4.42578125" customWidth="1"/>
    <col min="10" max="10" width="15.85546875" customWidth="1"/>
  </cols>
  <sheetData>
    <row r="1" spans="1:10">
      <c r="A1" s="876" t="s">
        <v>1558</v>
      </c>
      <c r="B1" s="876"/>
      <c r="C1" s="876"/>
      <c r="D1" s="876"/>
      <c r="E1" s="876"/>
      <c r="F1" s="567"/>
    </row>
    <row r="2" spans="1:10">
      <c r="A2" s="877" t="s">
        <v>1557</v>
      </c>
      <c r="B2" s="877"/>
      <c r="C2" s="877"/>
      <c r="D2" s="877"/>
      <c r="E2" s="877"/>
      <c r="F2" s="572"/>
    </row>
    <row r="3" spans="1:10" s="563" customFormat="1">
      <c r="A3" s="565" t="s">
        <v>1556</v>
      </c>
      <c r="B3" s="565" t="s">
        <v>1553</v>
      </c>
      <c r="C3" s="565" t="s">
        <v>1435</v>
      </c>
      <c r="D3" s="565" t="s">
        <v>1554</v>
      </c>
      <c r="E3" s="565" t="s">
        <v>1555</v>
      </c>
      <c r="F3" s="507"/>
      <c r="G3" s="565" t="s">
        <v>1556</v>
      </c>
      <c r="H3" s="565" t="s">
        <v>344</v>
      </c>
      <c r="I3" s="565" t="s">
        <v>1556</v>
      </c>
      <c r="J3" s="565" t="s">
        <v>1243</v>
      </c>
    </row>
    <row r="4" spans="1:10">
      <c r="A4" s="564">
        <v>1</v>
      </c>
      <c r="B4" s="437" t="s">
        <v>74</v>
      </c>
      <c r="C4" s="440" t="s">
        <v>992</v>
      </c>
      <c r="D4" s="440" t="s">
        <v>344</v>
      </c>
      <c r="E4" s="441">
        <v>43202</v>
      </c>
      <c r="F4" s="507"/>
      <c r="G4" s="564">
        <v>1</v>
      </c>
      <c r="H4" s="437" t="s">
        <v>74</v>
      </c>
      <c r="I4" s="564">
        <v>53</v>
      </c>
      <c r="J4" s="437" t="s">
        <v>1607</v>
      </c>
    </row>
    <row r="5" spans="1:10">
      <c r="A5" s="564">
        <v>2</v>
      </c>
      <c r="B5" s="437" t="s">
        <v>66</v>
      </c>
      <c r="C5" s="440" t="s">
        <v>989</v>
      </c>
      <c r="D5" s="440" t="s">
        <v>344</v>
      </c>
      <c r="E5" s="441">
        <v>43635</v>
      </c>
      <c r="F5" s="507"/>
      <c r="G5" s="564">
        <v>2</v>
      </c>
      <c r="H5" s="437" t="s">
        <v>88</v>
      </c>
      <c r="I5" s="564">
        <v>54</v>
      </c>
      <c r="J5" s="437" t="s">
        <v>1608</v>
      </c>
    </row>
    <row r="6" spans="1:10">
      <c r="A6" s="564">
        <v>3</v>
      </c>
      <c r="B6" s="437" t="s">
        <v>687</v>
      </c>
      <c r="C6" s="440" t="s">
        <v>988</v>
      </c>
      <c r="D6" s="440" t="s">
        <v>344</v>
      </c>
      <c r="E6" s="441">
        <v>43643</v>
      </c>
      <c r="F6" s="507"/>
      <c r="G6" s="564">
        <v>3</v>
      </c>
      <c r="H6" s="437" t="s">
        <v>211</v>
      </c>
      <c r="I6" s="564">
        <v>55</v>
      </c>
      <c r="J6" s="437" t="s">
        <v>1609</v>
      </c>
    </row>
    <row r="7" spans="1:10">
      <c r="A7" s="564">
        <v>4</v>
      </c>
      <c r="B7" s="437" t="s">
        <v>88</v>
      </c>
      <c r="C7" s="440" t="s">
        <v>67</v>
      </c>
      <c r="D7" s="440" t="s">
        <v>344</v>
      </c>
      <c r="E7" s="441">
        <v>43202</v>
      </c>
      <c r="F7" s="507"/>
      <c r="G7" s="564">
        <v>4</v>
      </c>
      <c r="H7" s="437" t="s">
        <v>217</v>
      </c>
      <c r="I7" s="564">
        <v>56</v>
      </c>
      <c r="J7" s="437" t="s">
        <v>1610</v>
      </c>
    </row>
    <row r="8" spans="1:10">
      <c r="A8" s="564">
        <v>5</v>
      </c>
      <c r="B8" s="437" t="s">
        <v>211</v>
      </c>
      <c r="C8" s="440" t="s">
        <v>1033</v>
      </c>
      <c r="D8" s="440" t="s">
        <v>344</v>
      </c>
      <c r="E8" s="441">
        <v>43202</v>
      </c>
      <c r="F8" s="507"/>
      <c r="G8" s="564">
        <v>5</v>
      </c>
      <c r="H8" s="437" t="s">
        <v>688</v>
      </c>
      <c r="I8" s="564">
        <v>57</v>
      </c>
      <c r="J8" s="437" t="s">
        <v>1611</v>
      </c>
    </row>
    <row r="9" spans="1:10">
      <c r="A9" s="564">
        <v>6</v>
      </c>
      <c r="B9" s="437" t="s">
        <v>217</v>
      </c>
      <c r="C9" s="440" t="s">
        <v>991</v>
      </c>
      <c r="D9" s="440" t="s">
        <v>344</v>
      </c>
      <c r="E9" s="441">
        <v>43202</v>
      </c>
      <c r="F9" s="507"/>
      <c r="G9" s="564">
        <v>6</v>
      </c>
      <c r="H9" s="498" t="s">
        <v>846</v>
      </c>
      <c r="I9" s="564">
        <v>58</v>
      </c>
      <c r="J9" s="437" t="s">
        <v>1612</v>
      </c>
    </row>
    <row r="10" spans="1:10">
      <c r="A10" s="564">
        <v>7</v>
      </c>
      <c r="B10" s="437" t="s">
        <v>688</v>
      </c>
      <c r="C10" s="440" t="s">
        <v>990</v>
      </c>
      <c r="D10" s="440" t="s">
        <v>344</v>
      </c>
      <c r="E10" s="441">
        <v>43643</v>
      </c>
      <c r="F10" s="507"/>
      <c r="G10" s="564">
        <v>7</v>
      </c>
      <c r="H10" s="437" t="s">
        <v>183</v>
      </c>
      <c r="I10" s="564">
        <v>59</v>
      </c>
      <c r="J10" s="437" t="s">
        <v>1613</v>
      </c>
    </row>
    <row r="11" spans="1:10">
      <c r="A11" s="564">
        <v>8</v>
      </c>
      <c r="B11" s="498" t="s">
        <v>846</v>
      </c>
      <c r="C11" s="499" t="s">
        <v>847</v>
      </c>
      <c r="D11" s="440" t="s">
        <v>344</v>
      </c>
      <c r="E11" s="441">
        <v>43715</v>
      </c>
      <c r="F11" s="507"/>
      <c r="G11" s="564">
        <v>8</v>
      </c>
      <c r="H11" s="437" t="s">
        <v>191</v>
      </c>
      <c r="I11" s="564">
        <v>60</v>
      </c>
      <c r="J11" s="437" t="s">
        <v>1614</v>
      </c>
    </row>
    <row r="12" spans="1:10">
      <c r="A12" s="564">
        <v>9</v>
      </c>
      <c r="B12" s="437" t="s">
        <v>183</v>
      </c>
      <c r="C12" s="440" t="s">
        <v>144</v>
      </c>
      <c r="D12" s="440" t="s">
        <v>344</v>
      </c>
      <c r="E12" s="441">
        <v>43202</v>
      </c>
      <c r="F12" s="507"/>
      <c r="G12" s="564">
        <v>9</v>
      </c>
      <c r="H12" s="437" t="s">
        <v>165</v>
      </c>
      <c r="I12" s="564">
        <v>61</v>
      </c>
      <c r="J12" s="437" t="s">
        <v>1615</v>
      </c>
    </row>
    <row r="13" spans="1:10">
      <c r="A13" s="564">
        <v>10</v>
      </c>
      <c r="B13" s="437" t="s">
        <v>191</v>
      </c>
      <c r="C13" s="440" t="s">
        <v>144</v>
      </c>
      <c r="D13" s="440" t="s">
        <v>344</v>
      </c>
      <c r="E13" s="441">
        <v>43202</v>
      </c>
      <c r="F13" s="507"/>
      <c r="G13" s="564">
        <v>10</v>
      </c>
      <c r="H13" s="396" t="s">
        <v>678</v>
      </c>
      <c r="I13" s="564">
        <v>62</v>
      </c>
      <c r="J13" s="437" t="s">
        <v>1616</v>
      </c>
    </row>
    <row r="14" spans="1:10">
      <c r="A14" s="564">
        <v>11</v>
      </c>
      <c r="B14" s="437" t="s">
        <v>165</v>
      </c>
      <c r="C14" s="440" t="s">
        <v>144</v>
      </c>
      <c r="D14" s="440" t="s">
        <v>344</v>
      </c>
      <c r="E14" s="441">
        <v>43202</v>
      </c>
      <c r="F14" s="507"/>
      <c r="G14" s="564">
        <v>11</v>
      </c>
      <c r="H14" s="437" t="s">
        <v>355</v>
      </c>
      <c r="I14" s="564">
        <v>63</v>
      </c>
      <c r="J14" s="437" t="s">
        <v>1617</v>
      </c>
    </row>
    <row r="15" spans="1:10">
      <c r="A15" s="564">
        <v>12</v>
      </c>
      <c r="B15" s="396" t="s">
        <v>678</v>
      </c>
      <c r="C15" s="440" t="s">
        <v>1043</v>
      </c>
      <c r="D15" s="440" t="s">
        <v>344</v>
      </c>
      <c r="E15" s="441">
        <v>43637</v>
      </c>
      <c r="F15" s="507"/>
      <c r="G15" s="564">
        <v>12</v>
      </c>
      <c r="H15" s="437" t="s">
        <v>159</v>
      </c>
      <c r="I15" s="564">
        <v>64</v>
      </c>
      <c r="J15" s="437" t="s">
        <v>1618</v>
      </c>
    </row>
    <row r="16" spans="1:10">
      <c r="A16" s="564">
        <v>13</v>
      </c>
      <c r="B16" s="437" t="s">
        <v>355</v>
      </c>
      <c r="C16" s="440" t="s">
        <v>144</v>
      </c>
      <c r="D16" s="440" t="s">
        <v>344</v>
      </c>
      <c r="E16" s="441">
        <v>43202</v>
      </c>
      <c r="F16" s="507"/>
      <c r="G16" s="564">
        <v>13</v>
      </c>
      <c r="H16" s="437" t="s">
        <v>218</v>
      </c>
      <c r="I16" s="564">
        <v>65</v>
      </c>
      <c r="J16" s="437" t="s">
        <v>1619</v>
      </c>
    </row>
    <row r="17" spans="1:10">
      <c r="A17" s="564">
        <v>14</v>
      </c>
      <c r="B17" s="437" t="s">
        <v>159</v>
      </c>
      <c r="C17" s="440" t="s">
        <v>144</v>
      </c>
      <c r="D17" s="440" t="s">
        <v>344</v>
      </c>
      <c r="E17" s="441">
        <v>43202</v>
      </c>
      <c r="F17" s="507"/>
      <c r="G17" s="564">
        <v>14</v>
      </c>
      <c r="H17" s="437" t="s">
        <v>401</v>
      </c>
      <c r="I17" s="564">
        <v>66</v>
      </c>
      <c r="J17" s="437" t="s">
        <v>1620</v>
      </c>
    </row>
    <row r="18" spans="1:10">
      <c r="A18" s="564">
        <v>15</v>
      </c>
      <c r="B18" s="437" t="s">
        <v>218</v>
      </c>
      <c r="C18" s="440" t="s">
        <v>144</v>
      </c>
      <c r="D18" s="440" t="s">
        <v>344</v>
      </c>
      <c r="E18" s="441">
        <v>43202</v>
      </c>
      <c r="F18" s="507"/>
      <c r="G18" s="564">
        <v>15</v>
      </c>
      <c r="H18" s="396" t="s">
        <v>500</v>
      </c>
      <c r="I18" s="564">
        <v>67</v>
      </c>
      <c r="J18" s="437" t="s">
        <v>1621</v>
      </c>
    </row>
    <row r="19" spans="1:10">
      <c r="A19" s="564">
        <v>16</v>
      </c>
      <c r="B19" s="437" t="s">
        <v>401</v>
      </c>
      <c r="C19" s="440" t="s">
        <v>996</v>
      </c>
      <c r="D19" s="440" t="s">
        <v>344</v>
      </c>
      <c r="E19" s="441">
        <v>43330</v>
      </c>
      <c r="F19" s="507"/>
      <c r="G19" s="564">
        <v>16</v>
      </c>
      <c r="H19" s="437" t="s">
        <v>473</v>
      </c>
      <c r="I19" s="564">
        <v>68</v>
      </c>
      <c r="J19" s="437" t="s">
        <v>1622</v>
      </c>
    </row>
    <row r="20" spans="1:10">
      <c r="A20" s="564">
        <v>17</v>
      </c>
      <c r="B20" s="396" t="s">
        <v>500</v>
      </c>
      <c r="C20" s="440" t="s">
        <v>997</v>
      </c>
      <c r="D20" s="440" t="s">
        <v>344</v>
      </c>
      <c r="E20" s="441">
        <v>43475</v>
      </c>
      <c r="F20" s="507"/>
      <c r="G20" s="564">
        <v>17</v>
      </c>
      <c r="H20" s="396" t="s">
        <v>492</v>
      </c>
      <c r="I20" s="564">
        <v>69</v>
      </c>
      <c r="J20" s="437" t="s">
        <v>1623</v>
      </c>
    </row>
    <row r="21" spans="1:10">
      <c r="A21" s="564">
        <v>18</v>
      </c>
      <c r="B21" s="437" t="s">
        <v>473</v>
      </c>
      <c r="C21" s="440" t="s">
        <v>997</v>
      </c>
      <c r="D21" s="440" t="s">
        <v>344</v>
      </c>
      <c r="E21" s="441">
        <v>43474</v>
      </c>
      <c r="F21" s="507"/>
      <c r="G21" s="564">
        <v>18</v>
      </c>
      <c r="H21" s="437" t="s">
        <v>590</v>
      </c>
      <c r="I21" s="564">
        <v>70</v>
      </c>
      <c r="J21" s="437" t="s">
        <v>1624</v>
      </c>
    </row>
    <row r="22" spans="1:10">
      <c r="A22" s="564">
        <v>19</v>
      </c>
      <c r="B22" s="396" t="s">
        <v>492</v>
      </c>
      <c r="C22" s="440" t="s">
        <v>144</v>
      </c>
      <c r="D22" s="440" t="s">
        <v>344</v>
      </c>
      <c r="E22" s="441">
        <v>43481</v>
      </c>
      <c r="F22" s="507"/>
      <c r="G22" s="564">
        <v>19</v>
      </c>
      <c r="H22" s="437" t="s">
        <v>427</v>
      </c>
      <c r="I22" s="564">
        <v>71</v>
      </c>
      <c r="J22" s="437" t="s">
        <v>1625</v>
      </c>
    </row>
    <row r="23" spans="1:10">
      <c r="A23" s="564">
        <v>20</v>
      </c>
      <c r="B23" s="437" t="s">
        <v>590</v>
      </c>
      <c r="C23" s="440" t="s">
        <v>144</v>
      </c>
      <c r="D23" s="440" t="s">
        <v>344</v>
      </c>
      <c r="E23" s="441">
        <v>43556</v>
      </c>
      <c r="F23" s="507"/>
      <c r="G23" s="564">
        <v>20</v>
      </c>
      <c r="H23" s="437" t="s">
        <v>400</v>
      </c>
      <c r="I23" s="564">
        <v>72</v>
      </c>
      <c r="J23" s="437" t="s">
        <v>1626</v>
      </c>
    </row>
    <row r="24" spans="1:10">
      <c r="A24" s="564">
        <v>21</v>
      </c>
      <c r="B24" s="437" t="s">
        <v>427</v>
      </c>
      <c r="C24" s="440" t="s">
        <v>821</v>
      </c>
      <c r="D24" s="440" t="s">
        <v>344</v>
      </c>
      <c r="E24" s="441">
        <v>43435</v>
      </c>
      <c r="F24" s="507"/>
      <c r="G24" s="564">
        <v>21</v>
      </c>
      <c r="H24" s="396" t="s">
        <v>672</v>
      </c>
      <c r="I24" s="564">
        <v>73</v>
      </c>
      <c r="J24" s="437" t="s">
        <v>1627</v>
      </c>
    </row>
    <row r="25" spans="1:10">
      <c r="A25" s="564">
        <v>22</v>
      </c>
      <c r="B25" s="437" t="s">
        <v>400</v>
      </c>
      <c r="C25" s="440" t="s">
        <v>821</v>
      </c>
      <c r="D25" s="440" t="s">
        <v>344</v>
      </c>
      <c r="E25" s="441">
        <v>43398</v>
      </c>
      <c r="F25" s="507"/>
      <c r="G25" s="564">
        <v>22</v>
      </c>
      <c r="H25" s="437" t="s">
        <v>686</v>
      </c>
      <c r="I25" s="564">
        <v>74</v>
      </c>
      <c r="J25" s="437" t="s">
        <v>1628</v>
      </c>
    </row>
    <row r="26" spans="1:10">
      <c r="A26" s="564">
        <v>23</v>
      </c>
      <c r="B26" s="396" t="s">
        <v>672</v>
      </c>
      <c r="C26" s="440" t="s">
        <v>144</v>
      </c>
      <c r="D26" s="440" t="s">
        <v>344</v>
      </c>
      <c r="E26" s="441">
        <v>43637</v>
      </c>
      <c r="F26" s="507"/>
      <c r="G26" s="564">
        <v>23</v>
      </c>
      <c r="H26" s="437" t="s">
        <v>715</v>
      </c>
      <c r="I26" s="564">
        <v>75</v>
      </c>
      <c r="J26" s="437" t="s">
        <v>1629</v>
      </c>
    </row>
    <row r="27" spans="1:10">
      <c r="A27" s="564">
        <v>24</v>
      </c>
      <c r="B27" s="437" t="s">
        <v>686</v>
      </c>
      <c r="C27" s="440" t="s">
        <v>144</v>
      </c>
      <c r="D27" s="440" t="s">
        <v>344</v>
      </c>
      <c r="E27" s="441">
        <v>43643</v>
      </c>
      <c r="F27" s="507"/>
      <c r="G27" s="564">
        <v>24</v>
      </c>
      <c r="H27" s="437" t="s">
        <v>720</v>
      </c>
      <c r="I27" s="564">
        <v>76</v>
      </c>
      <c r="J27" s="437" t="s">
        <v>1630</v>
      </c>
    </row>
    <row r="28" spans="1:10">
      <c r="A28" s="564">
        <v>25</v>
      </c>
      <c r="B28" s="437" t="s">
        <v>715</v>
      </c>
      <c r="C28" s="440" t="s">
        <v>144</v>
      </c>
      <c r="D28" s="440" t="s">
        <v>344</v>
      </c>
      <c r="E28" s="441">
        <v>43651</v>
      </c>
      <c r="F28" s="507"/>
      <c r="G28" s="564">
        <v>25</v>
      </c>
      <c r="H28" s="437" t="s">
        <v>723</v>
      </c>
      <c r="I28" s="564">
        <v>77</v>
      </c>
      <c r="J28" s="437" t="s">
        <v>1631</v>
      </c>
    </row>
    <row r="29" spans="1:10">
      <c r="A29" s="564">
        <v>26</v>
      </c>
      <c r="B29" s="437" t="s">
        <v>720</v>
      </c>
      <c r="C29" s="440" t="s">
        <v>998</v>
      </c>
      <c r="D29" s="440" t="s">
        <v>344</v>
      </c>
      <c r="E29" s="441">
        <v>43656</v>
      </c>
      <c r="F29" s="507"/>
      <c r="G29" s="564">
        <v>26</v>
      </c>
      <c r="H29" s="437" t="s">
        <v>724</v>
      </c>
      <c r="I29" s="564">
        <v>78</v>
      </c>
      <c r="J29" s="437" t="s">
        <v>1632</v>
      </c>
    </row>
    <row r="30" spans="1:10">
      <c r="A30" s="564">
        <v>27</v>
      </c>
      <c r="B30" s="437" t="s">
        <v>723</v>
      </c>
      <c r="C30" s="440" t="s">
        <v>997</v>
      </c>
      <c r="D30" s="440" t="s">
        <v>344</v>
      </c>
      <c r="E30" s="441">
        <v>43656</v>
      </c>
      <c r="F30" s="507"/>
      <c r="G30" s="564">
        <v>27</v>
      </c>
      <c r="H30" s="437" t="s">
        <v>756</v>
      </c>
      <c r="I30" s="564">
        <v>79</v>
      </c>
      <c r="J30" s="437" t="s">
        <v>1633</v>
      </c>
    </row>
    <row r="31" spans="1:10">
      <c r="A31" s="564">
        <v>28</v>
      </c>
      <c r="B31" s="437" t="s">
        <v>724</v>
      </c>
      <c r="C31" s="440" t="s">
        <v>998</v>
      </c>
      <c r="D31" s="440" t="s">
        <v>344</v>
      </c>
      <c r="E31" s="441">
        <v>43656</v>
      </c>
      <c r="F31" s="507"/>
      <c r="G31" s="564">
        <v>28</v>
      </c>
      <c r="H31" s="437" t="s">
        <v>763</v>
      </c>
      <c r="I31" s="564">
        <v>80</v>
      </c>
      <c r="J31" s="437" t="s">
        <v>1634</v>
      </c>
    </row>
    <row r="32" spans="1:10">
      <c r="A32" s="564">
        <v>29</v>
      </c>
      <c r="B32" s="437" t="s">
        <v>756</v>
      </c>
      <c r="C32" s="440" t="s">
        <v>144</v>
      </c>
      <c r="D32" s="440" t="s">
        <v>344</v>
      </c>
      <c r="E32" s="441">
        <v>43656</v>
      </c>
      <c r="F32" s="507"/>
      <c r="G32" s="564">
        <v>29</v>
      </c>
      <c r="H32" s="437" t="s">
        <v>814</v>
      </c>
      <c r="I32" s="564">
        <v>81</v>
      </c>
      <c r="J32" s="437" t="s">
        <v>1635</v>
      </c>
    </row>
    <row r="33" spans="1:10">
      <c r="A33" s="564">
        <v>30</v>
      </c>
      <c r="B33" s="437" t="s">
        <v>763</v>
      </c>
      <c r="C33" s="440" t="s">
        <v>721</v>
      </c>
      <c r="D33" s="440" t="s">
        <v>344</v>
      </c>
      <c r="E33" s="441">
        <v>43668</v>
      </c>
      <c r="F33" s="507"/>
      <c r="G33" s="564">
        <v>30</v>
      </c>
      <c r="H33" s="437" t="s">
        <v>1034</v>
      </c>
      <c r="I33" s="564">
        <v>82</v>
      </c>
      <c r="J33" s="437" t="s">
        <v>1636</v>
      </c>
    </row>
    <row r="34" spans="1:10">
      <c r="A34" s="564">
        <v>31</v>
      </c>
      <c r="B34" s="437" t="s">
        <v>814</v>
      </c>
      <c r="C34" s="440" t="s">
        <v>144</v>
      </c>
      <c r="D34" s="440" t="s">
        <v>344</v>
      </c>
      <c r="E34" s="441">
        <v>43684</v>
      </c>
      <c r="F34" s="507"/>
      <c r="G34" s="564">
        <v>31</v>
      </c>
      <c r="H34" s="437" t="s">
        <v>1308</v>
      </c>
      <c r="I34" s="564">
        <v>83</v>
      </c>
      <c r="J34" s="437" t="s">
        <v>1637</v>
      </c>
    </row>
    <row r="35" spans="1:10">
      <c r="A35" s="564">
        <v>32</v>
      </c>
      <c r="B35" s="437" t="s">
        <v>1034</v>
      </c>
      <c r="C35" s="439" t="s">
        <v>1036</v>
      </c>
      <c r="D35" s="440" t="s">
        <v>344</v>
      </c>
      <c r="E35" s="441">
        <v>43809</v>
      </c>
      <c r="F35" s="507"/>
      <c r="G35" s="564">
        <v>32</v>
      </c>
      <c r="H35" s="437" t="s">
        <v>1312</v>
      </c>
      <c r="I35" s="564">
        <v>84</v>
      </c>
      <c r="J35" s="437" t="s">
        <v>1638</v>
      </c>
    </row>
    <row r="36" spans="1:10">
      <c r="A36" s="564">
        <v>33</v>
      </c>
      <c r="B36" s="437" t="s">
        <v>1308</v>
      </c>
      <c r="C36" s="439" t="s">
        <v>1310</v>
      </c>
      <c r="D36" s="440" t="s">
        <v>344</v>
      </c>
      <c r="E36" s="441">
        <v>43851</v>
      </c>
      <c r="F36" s="507"/>
      <c r="G36" s="564">
        <v>33</v>
      </c>
      <c r="H36" s="396" t="s">
        <v>1046</v>
      </c>
      <c r="I36" s="564">
        <v>85</v>
      </c>
      <c r="J36" s="437" t="s">
        <v>1639</v>
      </c>
    </row>
    <row r="37" spans="1:10">
      <c r="A37" s="564">
        <v>34</v>
      </c>
      <c r="B37" s="437" t="s">
        <v>1312</v>
      </c>
      <c r="C37" s="439" t="s">
        <v>1310</v>
      </c>
      <c r="D37" s="440" t="s">
        <v>344</v>
      </c>
      <c r="E37" s="441">
        <v>43851</v>
      </c>
      <c r="F37" s="507"/>
      <c r="G37" s="564">
        <v>34</v>
      </c>
      <c r="H37" s="396" t="s">
        <v>1542</v>
      </c>
      <c r="I37" s="564">
        <v>86</v>
      </c>
      <c r="J37" s="437" t="s">
        <v>1640</v>
      </c>
    </row>
    <row r="38" spans="1:10">
      <c r="A38" s="564">
        <v>35</v>
      </c>
      <c r="B38" s="531" t="s">
        <v>1046</v>
      </c>
      <c r="C38" s="372" t="s">
        <v>821</v>
      </c>
      <c r="D38" s="372" t="s">
        <v>344</v>
      </c>
      <c r="E38" s="389">
        <v>43811</v>
      </c>
      <c r="F38" s="507"/>
      <c r="G38" s="564">
        <v>35</v>
      </c>
      <c r="H38" s="437" t="s">
        <v>503</v>
      </c>
      <c r="I38" s="564">
        <v>87</v>
      </c>
      <c r="J38" s="437" t="s">
        <v>1641</v>
      </c>
    </row>
    <row r="39" spans="1:10">
      <c r="A39" s="564">
        <v>36</v>
      </c>
      <c r="B39" s="531" t="s">
        <v>1542</v>
      </c>
      <c r="C39" s="440" t="s">
        <v>992</v>
      </c>
      <c r="D39" s="372" t="s">
        <v>344</v>
      </c>
      <c r="E39" s="389">
        <v>44038</v>
      </c>
      <c r="F39" s="507"/>
      <c r="G39" s="564">
        <v>36</v>
      </c>
      <c r="H39" s="437" t="s">
        <v>112</v>
      </c>
      <c r="I39" s="564">
        <v>88</v>
      </c>
      <c r="J39" s="437" t="s">
        <v>1642</v>
      </c>
    </row>
    <row r="40" spans="1:10">
      <c r="A40" s="564">
        <v>37</v>
      </c>
      <c r="B40" s="437" t="s">
        <v>208</v>
      </c>
      <c r="C40" s="440" t="s">
        <v>501</v>
      </c>
      <c r="D40" s="440" t="s">
        <v>344</v>
      </c>
      <c r="E40" s="441">
        <v>43202</v>
      </c>
      <c r="F40" s="507"/>
      <c r="G40" s="564">
        <v>37</v>
      </c>
      <c r="H40" s="437" t="s">
        <v>216</v>
      </c>
      <c r="I40" s="564">
        <v>89</v>
      </c>
      <c r="J40" s="437" t="s">
        <v>1643</v>
      </c>
    </row>
    <row r="41" spans="1:10">
      <c r="A41" s="564">
        <v>38</v>
      </c>
      <c r="B41" s="406" t="s">
        <v>553</v>
      </c>
      <c r="C41" s="440" t="s">
        <v>144</v>
      </c>
      <c r="D41" s="440" t="s">
        <v>344</v>
      </c>
      <c r="E41" s="441">
        <v>43202</v>
      </c>
      <c r="F41" s="507"/>
      <c r="G41" s="564">
        <v>38</v>
      </c>
      <c r="H41" s="437" t="s">
        <v>1145</v>
      </c>
      <c r="I41" s="564">
        <v>90</v>
      </c>
      <c r="J41" s="437" t="s">
        <v>1644</v>
      </c>
    </row>
    <row r="42" spans="1:10">
      <c r="A42" s="564">
        <v>39</v>
      </c>
      <c r="B42" s="437" t="s">
        <v>196</v>
      </c>
      <c r="C42" s="440" t="s">
        <v>113</v>
      </c>
      <c r="D42" s="440" t="s">
        <v>344</v>
      </c>
      <c r="E42" s="441">
        <v>43202</v>
      </c>
      <c r="F42" s="507"/>
      <c r="G42" s="564">
        <v>39</v>
      </c>
      <c r="H42" s="377" t="s">
        <v>617</v>
      </c>
      <c r="I42" s="564">
        <v>91</v>
      </c>
      <c r="J42" s="437" t="s">
        <v>1645</v>
      </c>
    </row>
    <row r="43" spans="1:10">
      <c r="A43" s="564">
        <v>40</v>
      </c>
      <c r="B43" s="406" t="s">
        <v>552</v>
      </c>
      <c r="C43" s="440" t="s">
        <v>144</v>
      </c>
      <c r="D43" s="440" t="s">
        <v>344</v>
      </c>
      <c r="E43" s="441">
        <v>43202</v>
      </c>
      <c r="F43" s="507"/>
      <c r="G43" s="564">
        <v>40</v>
      </c>
      <c r="H43" s="437" t="s">
        <v>629</v>
      </c>
      <c r="I43" s="564">
        <v>92</v>
      </c>
      <c r="J43" s="437" t="s">
        <v>1646</v>
      </c>
    </row>
    <row r="44" spans="1:10">
      <c r="A44" s="564">
        <v>41</v>
      </c>
      <c r="B44" s="406" t="s">
        <v>550</v>
      </c>
      <c r="C44" s="440" t="s">
        <v>1000</v>
      </c>
      <c r="D44" s="440" t="s">
        <v>344</v>
      </c>
      <c r="E44" s="441">
        <v>43202</v>
      </c>
      <c r="F44" s="507"/>
      <c r="G44" s="564">
        <v>41</v>
      </c>
      <c r="H44" s="437" t="s">
        <v>925</v>
      </c>
      <c r="I44" s="564">
        <v>93</v>
      </c>
      <c r="J44" s="437" t="s">
        <v>1647</v>
      </c>
    </row>
    <row r="45" spans="1:10">
      <c r="A45" s="564">
        <v>42</v>
      </c>
      <c r="B45" s="437" t="s">
        <v>781</v>
      </c>
      <c r="C45" s="440" t="s">
        <v>144</v>
      </c>
      <c r="D45" s="440" t="s">
        <v>344</v>
      </c>
      <c r="E45" s="441">
        <v>43663</v>
      </c>
      <c r="F45" s="507"/>
      <c r="G45" s="564">
        <v>42</v>
      </c>
      <c r="H45" s="437" t="s">
        <v>768</v>
      </c>
      <c r="I45" s="564">
        <v>94</v>
      </c>
      <c r="J45" s="437" t="s">
        <v>1648</v>
      </c>
    </row>
    <row r="46" spans="1:10">
      <c r="A46" s="564">
        <v>43</v>
      </c>
      <c r="B46" s="437" t="s">
        <v>220</v>
      </c>
      <c r="C46" s="440" t="s">
        <v>144</v>
      </c>
      <c r="D46" s="440" t="s">
        <v>344</v>
      </c>
      <c r="E46" s="441">
        <v>43202</v>
      </c>
      <c r="F46" s="507"/>
      <c r="G46" s="564">
        <v>43</v>
      </c>
      <c r="H46" s="396" t="s">
        <v>1078</v>
      </c>
      <c r="I46" s="564">
        <v>95</v>
      </c>
      <c r="J46" s="437" t="s">
        <v>1649</v>
      </c>
    </row>
    <row r="47" spans="1:10">
      <c r="A47" s="564">
        <v>44</v>
      </c>
      <c r="B47" s="406" t="s">
        <v>644</v>
      </c>
      <c r="C47" s="440" t="s">
        <v>144</v>
      </c>
      <c r="D47" s="440" t="s">
        <v>344</v>
      </c>
      <c r="E47" s="441">
        <v>43633</v>
      </c>
      <c r="F47" s="507"/>
      <c r="G47" s="564">
        <v>44</v>
      </c>
      <c r="H47" s="437" t="s">
        <v>382</v>
      </c>
      <c r="I47" s="564">
        <v>96</v>
      </c>
      <c r="J47" s="437" t="s">
        <v>1650</v>
      </c>
    </row>
    <row r="48" spans="1:10">
      <c r="A48" s="564">
        <v>45</v>
      </c>
      <c r="B48" s="437" t="s">
        <v>775</v>
      </c>
      <c r="C48" s="440" t="s">
        <v>144</v>
      </c>
      <c r="D48" s="440" t="s">
        <v>344</v>
      </c>
      <c r="E48" s="441">
        <v>43661</v>
      </c>
      <c r="F48" s="507"/>
      <c r="G48" s="564">
        <v>45</v>
      </c>
      <c r="H48" s="406" t="s">
        <v>873</v>
      </c>
      <c r="I48" s="564">
        <v>97</v>
      </c>
      <c r="J48" s="437" t="s">
        <v>1651</v>
      </c>
    </row>
    <row r="49" spans="1:10">
      <c r="A49" s="564">
        <v>46</v>
      </c>
      <c r="B49" s="437" t="s">
        <v>774</v>
      </c>
      <c r="C49" s="440" t="s">
        <v>144</v>
      </c>
      <c r="D49" s="440" t="s">
        <v>344</v>
      </c>
      <c r="E49" s="441">
        <v>43647</v>
      </c>
      <c r="F49" s="507"/>
      <c r="G49" s="564">
        <v>46</v>
      </c>
      <c r="H49" s="437" t="s">
        <v>1309</v>
      </c>
      <c r="I49" s="564">
        <v>98</v>
      </c>
      <c r="J49" s="437" t="s">
        <v>1652</v>
      </c>
    </row>
    <row r="50" spans="1:10" ht="15" customHeight="1">
      <c r="A50" s="564">
        <v>47</v>
      </c>
      <c r="B50" s="437" t="s">
        <v>840</v>
      </c>
      <c r="C50" s="440" t="s">
        <v>144</v>
      </c>
      <c r="D50" s="440" t="s">
        <v>344</v>
      </c>
      <c r="E50" s="441">
        <v>43703</v>
      </c>
      <c r="F50" s="507"/>
      <c r="G50" s="564">
        <v>47</v>
      </c>
      <c r="H50" s="546" t="s">
        <v>1410</v>
      </c>
      <c r="I50" s="564">
        <v>99</v>
      </c>
      <c r="J50" s="437" t="s">
        <v>1653</v>
      </c>
    </row>
    <row r="51" spans="1:10">
      <c r="A51" s="564">
        <v>48</v>
      </c>
      <c r="B51" s="437" t="s">
        <v>900</v>
      </c>
      <c r="C51" s="440" t="s">
        <v>144</v>
      </c>
      <c r="D51" s="440" t="s">
        <v>344</v>
      </c>
      <c r="E51" s="441">
        <v>43752</v>
      </c>
      <c r="F51" s="507"/>
      <c r="G51" s="564">
        <v>48</v>
      </c>
      <c r="H51" s="546" t="s">
        <v>1559</v>
      </c>
      <c r="I51" s="564">
        <v>100</v>
      </c>
      <c r="J51" s="437" t="s">
        <v>1654</v>
      </c>
    </row>
    <row r="52" spans="1:10">
      <c r="A52" s="564">
        <v>49</v>
      </c>
      <c r="B52" s="437" t="s">
        <v>809</v>
      </c>
      <c r="C52" s="440" t="s">
        <v>144</v>
      </c>
      <c r="D52" s="440" t="s">
        <v>344</v>
      </c>
      <c r="E52" s="441">
        <v>43680</v>
      </c>
      <c r="F52" s="507"/>
      <c r="G52" s="564">
        <v>49</v>
      </c>
      <c r="H52" s="437" t="s">
        <v>1404</v>
      </c>
      <c r="I52" s="564">
        <v>101</v>
      </c>
      <c r="J52" s="437" t="s">
        <v>1655</v>
      </c>
    </row>
    <row r="53" spans="1:10">
      <c r="A53" s="564">
        <v>50</v>
      </c>
      <c r="B53" s="437" t="s">
        <v>1058</v>
      </c>
      <c r="C53" s="440" t="s">
        <v>144</v>
      </c>
      <c r="D53" s="440" t="s">
        <v>344</v>
      </c>
      <c r="E53" s="441">
        <v>43812</v>
      </c>
      <c r="F53" s="507"/>
      <c r="G53" s="564">
        <v>50</v>
      </c>
      <c r="H53" s="437" t="s">
        <v>1382</v>
      </c>
      <c r="I53" s="564">
        <v>102</v>
      </c>
      <c r="J53" s="437" t="s">
        <v>1656</v>
      </c>
    </row>
    <row r="54" spans="1:10">
      <c r="A54" s="564">
        <v>51</v>
      </c>
      <c r="B54" s="437" t="s">
        <v>1066</v>
      </c>
      <c r="C54" s="440" t="s">
        <v>144</v>
      </c>
      <c r="D54" s="440" t="s">
        <v>344</v>
      </c>
      <c r="E54" s="441">
        <v>43813</v>
      </c>
      <c r="F54" s="507"/>
      <c r="G54" s="564">
        <v>51</v>
      </c>
      <c r="H54" s="437" t="s">
        <v>920</v>
      </c>
      <c r="I54" s="564">
        <v>103</v>
      </c>
      <c r="J54" s="437" t="s">
        <v>1657</v>
      </c>
    </row>
    <row r="55" spans="1:10">
      <c r="A55" s="564">
        <v>52</v>
      </c>
      <c r="B55" s="437" t="s">
        <v>1099</v>
      </c>
      <c r="C55" s="440" t="s">
        <v>144</v>
      </c>
      <c r="D55" s="440" t="s">
        <v>344</v>
      </c>
      <c r="E55" s="441">
        <v>43819</v>
      </c>
      <c r="F55" s="507"/>
      <c r="G55" s="564">
        <v>52</v>
      </c>
      <c r="H55" s="437" t="s">
        <v>1446</v>
      </c>
      <c r="I55" s="564">
        <v>104</v>
      </c>
      <c r="J55" s="437" t="s">
        <v>1658</v>
      </c>
    </row>
    <row r="56" spans="1:10">
      <c r="A56" s="564">
        <v>53</v>
      </c>
      <c r="B56" s="437" t="s">
        <v>1159</v>
      </c>
      <c r="C56" s="440" t="s">
        <v>144</v>
      </c>
      <c r="D56" s="440" t="s">
        <v>344</v>
      </c>
      <c r="E56" s="441">
        <v>43822</v>
      </c>
      <c r="F56" s="507"/>
      <c r="I56" s="564">
        <v>105</v>
      </c>
      <c r="J56" s="437" t="s">
        <v>1659</v>
      </c>
    </row>
    <row r="57" spans="1:10">
      <c r="A57" s="564">
        <v>54</v>
      </c>
      <c r="B57" s="437" t="s">
        <v>1156</v>
      </c>
      <c r="C57" s="440" t="s">
        <v>144</v>
      </c>
      <c r="D57" s="440" t="s">
        <v>344</v>
      </c>
      <c r="E57" s="441">
        <v>43823</v>
      </c>
      <c r="F57" s="507"/>
      <c r="I57" s="564">
        <v>106</v>
      </c>
      <c r="J57" s="437" t="s">
        <v>1660</v>
      </c>
    </row>
    <row r="58" spans="1:10">
      <c r="A58" s="564">
        <v>55</v>
      </c>
      <c r="B58" s="437" t="s">
        <v>1158</v>
      </c>
      <c r="C58" s="440" t="s">
        <v>144</v>
      </c>
      <c r="D58" s="440" t="s">
        <v>344</v>
      </c>
      <c r="E58" s="441">
        <v>43823</v>
      </c>
      <c r="F58" s="507"/>
    </row>
    <row r="59" spans="1:10">
      <c r="A59" s="564">
        <v>56</v>
      </c>
      <c r="B59" s="437" t="s">
        <v>1157</v>
      </c>
      <c r="C59" s="440" t="s">
        <v>144</v>
      </c>
      <c r="D59" s="440" t="s">
        <v>344</v>
      </c>
      <c r="E59" s="441">
        <v>43823</v>
      </c>
      <c r="F59" s="507"/>
    </row>
    <row r="60" spans="1:10">
      <c r="A60" s="564">
        <v>57</v>
      </c>
      <c r="B60" s="437" t="s">
        <v>1178</v>
      </c>
      <c r="C60" s="440" t="s">
        <v>144</v>
      </c>
      <c r="D60" s="440" t="s">
        <v>344</v>
      </c>
      <c r="E60" s="441">
        <v>43836</v>
      </c>
      <c r="F60" s="507"/>
    </row>
    <row r="61" spans="1:10">
      <c r="A61" s="564">
        <v>58</v>
      </c>
      <c r="B61" s="437" t="s">
        <v>1179</v>
      </c>
      <c r="C61" s="440" t="s">
        <v>144</v>
      </c>
      <c r="D61" s="440" t="s">
        <v>344</v>
      </c>
      <c r="E61" s="441">
        <v>43836</v>
      </c>
      <c r="F61" s="507"/>
    </row>
    <row r="62" spans="1:10">
      <c r="A62" s="564">
        <v>59</v>
      </c>
      <c r="B62" s="437" t="s">
        <v>1186</v>
      </c>
      <c r="C62" s="440" t="s">
        <v>144</v>
      </c>
      <c r="D62" s="440" t="s">
        <v>344</v>
      </c>
      <c r="E62" s="441">
        <v>43837</v>
      </c>
      <c r="F62" s="507"/>
    </row>
    <row r="63" spans="1:10">
      <c r="A63" s="564">
        <v>60</v>
      </c>
      <c r="B63" s="437" t="s">
        <v>1195</v>
      </c>
      <c r="C63" s="440" t="s">
        <v>144</v>
      </c>
      <c r="D63" s="440" t="s">
        <v>344</v>
      </c>
      <c r="E63" s="441">
        <v>43838</v>
      </c>
      <c r="F63" s="507"/>
    </row>
    <row r="64" spans="1:10">
      <c r="A64" s="564">
        <v>61</v>
      </c>
      <c r="B64" s="437" t="s">
        <v>1198</v>
      </c>
      <c r="C64" s="440" t="s">
        <v>144</v>
      </c>
      <c r="D64" s="440" t="s">
        <v>344</v>
      </c>
      <c r="E64" s="441">
        <v>43838</v>
      </c>
      <c r="F64" s="507"/>
    </row>
    <row r="65" spans="1:10">
      <c r="A65" s="564">
        <v>62</v>
      </c>
      <c r="B65" s="437" t="s">
        <v>1209</v>
      </c>
      <c r="C65" s="440" t="s">
        <v>144</v>
      </c>
      <c r="D65" s="440" t="s">
        <v>344</v>
      </c>
      <c r="E65" s="441">
        <v>43838</v>
      </c>
      <c r="F65" s="507"/>
    </row>
    <row r="66" spans="1:10">
      <c r="A66" s="564">
        <v>63</v>
      </c>
      <c r="B66" s="437" t="s">
        <v>1282</v>
      </c>
      <c r="C66" s="440" t="s">
        <v>144</v>
      </c>
      <c r="D66" s="440" t="s">
        <v>344</v>
      </c>
      <c r="E66" s="441">
        <v>43846</v>
      </c>
      <c r="F66" s="507"/>
    </row>
    <row r="67" spans="1:10">
      <c r="A67" s="564">
        <v>64</v>
      </c>
      <c r="B67" s="437" t="s">
        <v>1286</v>
      </c>
      <c r="C67" s="440" t="s">
        <v>144</v>
      </c>
      <c r="D67" s="440" t="s">
        <v>344</v>
      </c>
      <c r="E67" s="441">
        <v>43846</v>
      </c>
      <c r="F67" s="507"/>
    </row>
    <row r="68" spans="1:10">
      <c r="A68" s="564">
        <v>65</v>
      </c>
      <c r="B68" s="437" t="s">
        <v>1190</v>
      </c>
      <c r="C68" s="440" t="s">
        <v>144</v>
      </c>
      <c r="D68" s="440" t="s">
        <v>344</v>
      </c>
      <c r="E68" s="441">
        <v>43836</v>
      </c>
      <c r="F68" s="507"/>
    </row>
    <row r="69" spans="1:10">
      <c r="A69" s="564">
        <v>66</v>
      </c>
      <c r="B69" s="437" t="s">
        <v>1470</v>
      </c>
      <c r="C69" s="440" t="s">
        <v>144</v>
      </c>
      <c r="D69" s="440" t="s">
        <v>344</v>
      </c>
      <c r="E69" s="441">
        <v>44000</v>
      </c>
      <c r="F69" s="507"/>
    </row>
    <row r="70" spans="1:10">
      <c r="A70" s="564">
        <v>67</v>
      </c>
      <c r="B70" s="437" t="s">
        <v>1474</v>
      </c>
      <c r="C70" s="440" t="s">
        <v>144</v>
      </c>
      <c r="D70" s="440" t="s">
        <v>344</v>
      </c>
      <c r="E70" s="441">
        <v>44004</v>
      </c>
      <c r="F70" s="507"/>
      <c r="H70" s="573"/>
      <c r="I70" s="573"/>
      <c r="J70" s="573"/>
    </row>
    <row r="71" spans="1:10">
      <c r="A71" s="564">
        <v>68</v>
      </c>
      <c r="B71" s="437" t="s">
        <v>551</v>
      </c>
      <c r="C71" s="440" t="s">
        <v>144</v>
      </c>
      <c r="D71" s="440" t="s">
        <v>344</v>
      </c>
      <c r="E71" s="441">
        <v>44025</v>
      </c>
      <c r="F71" s="507"/>
      <c r="H71" s="573"/>
      <c r="I71" s="573"/>
      <c r="J71" s="573"/>
    </row>
    <row r="72" spans="1:10">
      <c r="A72" s="564">
        <v>69</v>
      </c>
      <c r="B72" s="437" t="s">
        <v>1499</v>
      </c>
      <c r="C72" s="440" t="s">
        <v>144</v>
      </c>
      <c r="D72" s="440" t="s">
        <v>344</v>
      </c>
      <c r="E72" s="441">
        <v>44027</v>
      </c>
      <c r="F72" s="507"/>
      <c r="H72" s="573"/>
      <c r="I72" s="573"/>
      <c r="J72" s="573"/>
    </row>
    <row r="73" spans="1:10">
      <c r="A73" s="564">
        <v>70</v>
      </c>
      <c r="B73" s="437" t="s">
        <v>1503</v>
      </c>
      <c r="C73" s="440" t="s">
        <v>144</v>
      </c>
      <c r="D73" s="440" t="s">
        <v>344</v>
      </c>
      <c r="E73" s="441">
        <v>44027</v>
      </c>
      <c r="F73" s="507"/>
      <c r="H73" s="573"/>
      <c r="I73" s="573"/>
      <c r="J73" s="573"/>
    </row>
    <row r="74" spans="1:10">
      <c r="A74" s="564">
        <v>71</v>
      </c>
      <c r="B74" s="437" t="s">
        <v>1159</v>
      </c>
      <c r="C74" s="440" t="s">
        <v>144</v>
      </c>
      <c r="D74" s="440" t="s">
        <v>344</v>
      </c>
      <c r="E74" s="441">
        <v>44028</v>
      </c>
      <c r="F74" s="507"/>
      <c r="H74" s="573"/>
      <c r="I74" s="573"/>
      <c r="J74" s="573"/>
    </row>
    <row r="75" spans="1:10">
      <c r="A75" s="564">
        <v>72</v>
      </c>
      <c r="B75" s="437" t="s">
        <v>1509</v>
      </c>
      <c r="C75" s="440" t="s">
        <v>144</v>
      </c>
      <c r="D75" s="440" t="s">
        <v>344</v>
      </c>
      <c r="E75" s="441">
        <v>44028</v>
      </c>
      <c r="F75" s="507"/>
    </row>
    <row r="76" spans="1:10">
      <c r="A76" s="564">
        <v>73</v>
      </c>
      <c r="B76" s="437" t="s">
        <v>1514</v>
      </c>
      <c r="C76" s="440" t="s">
        <v>144</v>
      </c>
      <c r="D76" s="440" t="s">
        <v>344</v>
      </c>
      <c r="E76" s="441">
        <v>44034</v>
      </c>
      <c r="F76" s="507"/>
    </row>
    <row r="77" spans="1:10">
      <c r="A77" s="564">
        <v>74</v>
      </c>
      <c r="B77" s="437" t="s">
        <v>1515</v>
      </c>
      <c r="C77" s="440" t="s">
        <v>144</v>
      </c>
      <c r="D77" s="440" t="s">
        <v>344</v>
      </c>
      <c r="E77" s="441">
        <v>44034</v>
      </c>
      <c r="F77" s="507"/>
    </row>
    <row r="78" spans="1:10">
      <c r="A78" s="564">
        <v>75</v>
      </c>
      <c r="B78" s="437" t="s">
        <v>1516</v>
      </c>
      <c r="C78" s="440" t="s">
        <v>144</v>
      </c>
      <c r="D78" s="440" t="s">
        <v>344</v>
      </c>
      <c r="E78" s="441">
        <v>44034</v>
      </c>
      <c r="F78" s="507"/>
    </row>
  </sheetData>
  <mergeCells count="2">
    <mergeCell ref="A1:E1"/>
    <mergeCell ref="A2:E2"/>
  </mergeCells>
  <pageMargins left="2.06" right="0.4" top="0.75" bottom="0.75" header="0.3" footer="0.3"/>
  <pageSetup paperSize="9" scale="90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D14"/>
  <sheetViews>
    <sheetView workbookViewId="0">
      <selection activeCell="J22" sqref="J22"/>
    </sheetView>
  </sheetViews>
  <sheetFormatPr defaultColWidth="8.85546875" defaultRowHeight="15"/>
  <cols>
    <col min="3" max="3" width="32.28515625" bestFit="1" customWidth="1"/>
  </cols>
  <sheetData>
    <row r="5" spans="3:4">
      <c r="C5" s="437" t="s">
        <v>1491</v>
      </c>
      <c r="D5" s="441">
        <v>44013</v>
      </c>
    </row>
    <row r="6" spans="3:4">
      <c r="C6" s="437" t="s">
        <v>551</v>
      </c>
      <c r="D6" s="441">
        <v>44025</v>
      </c>
    </row>
    <row r="7" spans="3:4">
      <c r="C7" s="437" t="s">
        <v>1499</v>
      </c>
      <c r="D7" s="441">
        <v>44027</v>
      </c>
    </row>
    <row r="8" spans="3:4">
      <c r="C8" s="437" t="s">
        <v>1503</v>
      </c>
      <c r="D8" s="441">
        <v>44027</v>
      </c>
    </row>
    <row r="9" spans="3:4">
      <c r="C9" s="437" t="s">
        <v>1159</v>
      </c>
      <c r="D9" s="441">
        <v>44028</v>
      </c>
    </row>
    <row r="10" spans="3:4">
      <c r="C10" s="437" t="s">
        <v>1509</v>
      </c>
      <c r="D10" s="441">
        <v>44028</v>
      </c>
    </row>
    <row r="11" spans="3:4">
      <c r="C11" s="437" t="s">
        <v>1514</v>
      </c>
      <c r="D11" s="441">
        <v>44034</v>
      </c>
    </row>
    <row r="12" spans="3:4">
      <c r="C12" s="437" t="s">
        <v>1515</v>
      </c>
      <c r="D12" s="441">
        <v>44034</v>
      </c>
    </row>
    <row r="13" spans="3:4">
      <c r="C13" s="437" t="s">
        <v>1516</v>
      </c>
      <c r="D13" s="441">
        <v>44034</v>
      </c>
    </row>
    <row r="14" spans="3:4">
      <c r="C14" s="396" t="s">
        <v>1542</v>
      </c>
      <c r="D14" s="441">
        <v>44038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4"/>
  <sheetViews>
    <sheetView workbookViewId="0">
      <selection activeCell="B7" sqref="B7"/>
    </sheetView>
  </sheetViews>
  <sheetFormatPr defaultColWidth="8.85546875" defaultRowHeight="15"/>
  <cols>
    <col min="1" max="1" width="5.28515625" customWidth="1"/>
    <col min="2" max="2" width="33.28515625" customWidth="1"/>
    <col min="4" max="4" width="21.28515625" customWidth="1"/>
    <col min="5" max="5" width="12.85546875" bestFit="1" customWidth="1"/>
  </cols>
  <sheetData>
    <row r="2" spans="1:5" ht="23.25">
      <c r="A2" s="878" t="s">
        <v>613</v>
      </c>
      <c r="B2" s="878"/>
      <c r="C2" s="878"/>
      <c r="D2" s="878"/>
      <c r="E2" s="878"/>
    </row>
    <row r="4" spans="1:5">
      <c r="A4" s="174" t="s">
        <v>604</v>
      </c>
      <c r="B4" s="174" t="s">
        <v>19</v>
      </c>
      <c r="C4" s="174" t="s">
        <v>605</v>
      </c>
      <c r="D4" s="174" t="s">
        <v>606</v>
      </c>
      <c r="E4" s="174" t="s">
        <v>607</v>
      </c>
    </row>
    <row r="5" spans="1:5">
      <c r="A5" s="175">
        <v>1</v>
      </c>
      <c r="B5" s="53" t="s">
        <v>116</v>
      </c>
      <c r="C5" s="175" t="s">
        <v>608</v>
      </c>
      <c r="D5" s="173"/>
      <c r="E5" s="176">
        <v>75000</v>
      </c>
    </row>
    <row r="6" spans="1:5">
      <c r="A6" s="175">
        <v>2</v>
      </c>
      <c r="B6" s="53" t="s">
        <v>33</v>
      </c>
      <c r="C6" s="175" t="s">
        <v>35</v>
      </c>
      <c r="D6" s="173"/>
      <c r="E6" s="176">
        <v>75000</v>
      </c>
    </row>
    <row r="7" spans="1:5">
      <c r="A7" s="175">
        <v>3</v>
      </c>
      <c r="B7" s="53" t="s">
        <v>74</v>
      </c>
      <c r="C7" s="175" t="s">
        <v>608</v>
      </c>
      <c r="D7" s="173"/>
      <c r="E7" s="176">
        <v>75000</v>
      </c>
    </row>
    <row r="8" spans="1:5">
      <c r="A8" s="175">
        <v>4</v>
      </c>
      <c r="B8" s="53" t="s">
        <v>39</v>
      </c>
      <c r="C8" s="175" t="s">
        <v>609</v>
      </c>
      <c r="D8" s="173"/>
      <c r="E8" s="176">
        <v>75000</v>
      </c>
    </row>
    <row r="9" spans="1:5">
      <c r="A9" s="175">
        <v>5</v>
      </c>
      <c r="B9" s="53" t="s">
        <v>438</v>
      </c>
      <c r="C9" s="175" t="s">
        <v>35</v>
      </c>
      <c r="D9" s="173"/>
      <c r="E9" s="176">
        <v>75000</v>
      </c>
    </row>
    <row r="10" spans="1:5">
      <c r="A10" s="177">
        <v>6</v>
      </c>
      <c r="B10" s="178" t="s">
        <v>445</v>
      </c>
      <c r="C10" s="177" t="s">
        <v>609</v>
      </c>
      <c r="D10" s="177" t="s">
        <v>606</v>
      </c>
      <c r="E10" s="179">
        <v>80000</v>
      </c>
    </row>
    <row r="11" spans="1:5">
      <c r="A11" s="177">
        <v>7</v>
      </c>
      <c r="B11" s="178" t="s">
        <v>505</v>
      </c>
      <c r="C11" s="177" t="s">
        <v>609</v>
      </c>
      <c r="D11" s="177" t="s">
        <v>606</v>
      </c>
      <c r="E11" s="179">
        <v>80000</v>
      </c>
    </row>
    <row r="12" spans="1:5">
      <c r="A12" s="175">
        <v>8</v>
      </c>
      <c r="B12" s="138" t="s">
        <v>514</v>
      </c>
      <c r="C12" s="175" t="s">
        <v>610</v>
      </c>
      <c r="D12" s="173"/>
      <c r="E12" s="176">
        <v>75000</v>
      </c>
    </row>
    <row r="13" spans="1:5">
      <c r="A13" s="175">
        <v>9</v>
      </c>
      <c r="B13" s="53" t="s">
        <v>97</v>
      </c>
      <c r="C13" s="175" t="s">
        <v>611</v>
      </c>
      <c r="D13" s="173"/>
      <c r="E13" s="176">
        <v>75000</v>
      </c>
    </row>
    <row r="14" spans="1:5">
      <c r="A14" s="177">
        <v>10</v>
      </c>
      <c r="B14" s="178" t="s">
        <v>398</v>
      </c>
      <c r="C14" s="177" t="s">
        <v>608</v>
      </c>
      <c r="D14" s="177" t="s">
        <v>606</v>
      </c>
      <c r="E14" s="179">
        <v>80000</v>
      </c>
    </row>
    <row r="15" spans="1:5">
      <c r="A15" s="177">
        <v>11</v>
      </c>
      <c r="B15" s="178" t="s">
        <v>396</v>
      </c>
      <c r="C15" s="177" t="s">
        <v>35</v>
      </c>
      <c r="D15" s="177" t="s">
        <v>606</v>
      </c>
      <c r="E15" s="179">
        <v>80000</v>
      </c>
    </row>
    <row r="16" spans="1:5">
      <c r="A16" s="175">
        <v>12</v>
      </c>
      <c r="B16" s="138" t="s">
        <v>437</v>
      </c>
      <c r="C16" s="175" t="s">
        <v>609</v>
      </c>
      <c r="D16" s="173"/>
      <c r="E16" s="176">
        <v>75000</v>
      </c>
    </row>
    <row r="17" spans="1:5">
      <c r="A17" s="175">
        <v>13</v>
      </c>
      <c r="B17" s="138" t="s">
        <v>538</v>
      </c>
      <c r="C17" s="175" t="s">
        <v>609</v>
      </c>
      <c r="D17" s="173"/>
      <c r="E17" s="176">
        <v>75000</v>
      </c>
    </row>
    <row r="18" spans="1:5">
      <c r="A18" s="175">
        <v>14</v>
      </c>
      <c r="B18" s="53" t="s">
        <v>436</v>
      </c>
      <c r="C18" s="175" t="s">
        <v>608</v>
      </c>
      <c r="D18" s="173"/>
      <c r="E18" s="176">
        <v>75000</v>
      </c>
    </row>
    <row r="19" spans="1:5">
      <c r="A19" s="175">
        <v>15</v>
      </c>
      <c r="B19" s="53" t="s">
        <v>88</v>
      </c>
      <c r="C19" s="175" t="s">
        <v>609</v>
      </c>
      <c r="D19" s="173"/>
      <c r="E19" s="176">
        <v>75000</v>
      </c>
    </row>
    <row r="20" spans="1:5">
      <c r="A20" s="175">
        <v>16</v>
      </c>
      <c r="B20" s="53" t="s">
        <v>98</v>
      </c>
      <c r="C20" s="175" t="s">
        <v>35</v>
      </c>
      <c r="D20" s="173"/>
      <c r="E20" s="176">
        <v>75000</v>
      </c>
    </row>
    <row r="21" spans="1:5">
      <c r="A21" s="177">
        <v>17</v>
      </c>
      <c r="B21" s="178" t="s">
        <v>362</v>
      </c>
      <c r="C21" s="177" t="s">
        <v>35</v>
      </c>
      <c r="D21" s="177" t="s">
        <v>606</v>
      </c>
      <c r="E21" s="179">
        <v>80000</v>
      </c>
    </row>
    <row r="22" spans="1:5">
      <c r="A22" s="177">
        <v>18</v>
      </c>
      <c r="B22" s="178" t="s">
        <v>412</v>
      </c>
      <c r="C22" s="177" t="s">
        <v>609</v>
      </c>
      <c r="D22" s="177" t="s">
        <v>606</v>
      </c>
      <c r="E22" s="179">
        <v>80000</v>
      </c>
    </row>
    <row r="23" spans="1:5">
      <c r="A23" s="177">
        <v>19</v>
      </c>
      <c r="B23" s="178" t="s">
        <v>345</v>
      </c>
      <c r="C23" s="177" t="s">
        <v>35</v>
      </c>
      <c r="D23" s="177" t="s">
        <v>606</v>
      </c>
      <c r="E23" s="179">
        <v>80000</v>
      </c>
    </row>
    <row r="24" spans="1:5">
      <c r="A24" s="175">
        <v>20</v>
      </c>
      <c r="B24" s="171" t="s">
        <v>570</v>
      </c>
      <c r="C24" s="175" t="s">
        <v>609</v>
      </c>
      <c r="D24" s="173"/>
      <c r="E24" s="176">
        <v>75000</v>
      </c>
    </row>
    <row r="25" spans="1:5">
      <c r="A25" s="175">
        <v>21</v>
      </c>
      <c r="B25" s="138" t="s">
        <v>503</v>
      </c>
      <c r="C25" s="175" t="s">
        <v>612</v>
      </c>
      <c r="D25" s="173"/>
      <c r="E25" s="176">
        <v>75000</v>
      </c>
    </row>
    <row r="26" spans="1:5">
      <c r="A26" s="177">
        <v>22</v>
      </c>
      <c r="B26" s="178" t="s">
        <v>382</v>
      </c>
      <c r="C26" s="177" t="s">
        <v>35</v>
      </c>
      <c r="D26" s="177" t="s">
        <v>606</v>
      </c>
      <c r="E26" s="179">
        <v>80000</v>
      </c>
    </row>
    <row r="27" spans="1:5">
      <c r="A27" s="175">
        <v>23</v>
      </c>
      <c r="B27" s="53" t="s">
        <v>151</v>
      </c>
      <c r="C27" s="175" t="s">
        <v>608</v>
      </c>
      <c r="D27" s="173"/>
      <c r="E27" s="176">
        <v>75000</v>
      </c>
    </row>
    <row r="28" spans="1:5">
      <c r="A28" s="177">
        <v>24</v>
      </c>
      <c r="B28" s="178" t="s">
        <v>578</v>
      </c>
      <c r="C28" s="177" t="s">
        <v>35</v>
      </c>
      <c r="D28" s="177" t="s">
        <v>606</v>
      </c>
      <c r="E28" s="179">
        <v>80000</v>
      </c>
    </row>
    <row r="29" spans="1:5">
      <c r="A29" s="175">
        <v>25</v>
      </c>
      <c r="B29" s="53" t="s">
        <v>134</v>
      </c>
      <c r="C29" s="175" t="s">
        <v>35</v>
      </c>
      <c r="D29" s="173"/>
      <c r="E29" s="176">
        <v>75000</v>
      </c>
    </row>
    <row r="30" spans="1:5">
      <c r="A30" s="177">
        <v>26</v>
      </c>
      <c r="B30" s="178" t="s">
        <v>590</v>
      </c>
      <c r="C30" s="177" t="s">
        <v>35</v>
      </c>
      <c r="D30" s="177" t="s">
        <v>606</v>
      </c>
      <c r="E30" s="179">
        <v>80000</v>
      </c>
    </row>
    <row r="31" spans="1:5">
      <c r="A31" s="175">
        <v>27</v>
      </c>
      <c r="B31" s="53" t="s">
        <v>143</v>
      </c>
      <c r="C31" s="175" t="s">
        <v>35</v>
      </c>
      <c r="D31" s="173"/>
      <c r="E31" s="176">
        <v>75000</v>
      </c>
    </row>
    <row r="32" spans="1:5">
      <c r="A32" s="175">
        <v>28</v>
      </c>
      <c r="B32" s="53" t="s">
        <v>596</v>
      </c>
      <c r="C32" s="175" t="s">
        <v>609</v>
      </c>
      <c r="D32" s="173"/>
      <c r="E32" s="176">
        <v>75000</v>
      </c>
    </row>
    <row r="33" spans="1:5">
      <c r="A33" s="177">
        <v>29</v>
      </c>
      <c r="B33" s="178" t="s">
        <v>159</v>
      </c>
      <c r="C33" s="177" t="s">
        <v>608</v>
      </c>
      <c r="D33" s="177" t="s">
        <v>606</v>
      </c>
      <c r="E33" s="179">
        <v>80000</v>
      </c>
    </row>
    <row r="34" spans="1:5">
      <c r="A34" s="175">
        <v>30</v>
      </c>
      <c r="B34" s="53" t="s">
        <v>165</v>
      </c>
      <c r="C34" s="175" t="s">
        <v>608</v>
      </c>
      <c r="D34" s="173"/>
      <c r="E34" s="176">
        <v>75000</v>
      </c>
    </row>
    <row r="35" spans="1:5">
      <c r="A35" s="175">
        <v>31</v>
      </c>
      <c r="B35" s="53" t="s">
        <v>171</v>
      </c>
      <c r="C35" s="175" t="s">
        <v>609</v>
      </c>
      <c r="D35" s="173"/>
      <c r="E35" s="176">
        <v>75000</v>
      </c>
    </row>
    <row r="36" spans="1:5">
      <c r="A36" s="175">
        <v>32</v>
      </c>
      <c r="B36" s="53" t="s">
        <v>176</v>
      </c>
      <c r="C36" s="175" t="s">
        <v>608</v>
      </c>
      <c r="D36" s="173"/>
      <c r="E36" s="176">
        <v>75000</v>
      </c>
    </row>
    <row r="37" spans="1:5">
      <c r="A37" s="175">
        <v>33</v>
      </c>
      <c r="B37" s="53" t="s">
        <v>183</v>
      </c>
      <c r="C37" s="175" t="s">
        <v>609</v>
      </c>
      <c r="D37" s="173"/>
      <c r="E37" s="176">
        <v>75000</v>
      </c>
    </row>
    <row r="38" spans="1:5">
      <c r="A38" s="175">
        <v>34</v>
      </c>
      <c r="B38" s="53" t="s">
        <v>191</v>
      </c>
      <c r="C38" s="175" t="s">
        <v>609</v>
      </c>
      <c r="D38" s="173"/>
      <c r="E38" s="176">
        <v>75000</v>
      </c>
    </row>
    <row r="39" spans="1:5">
      <c r="A39" s="175">
        <v>35</v>
      </c>
      <c r="B39" s="53" t="s">
        <v>211</v>
      </c>
      <c r="C39" s="175" t="s">
        <v>609</v>
      </c>
      <c r="D39" s="173"/>
      <c r="E39" s="176">
        <v>75000</v>
      </c>
    </row>
    <row r="40" spans="1:5">
      <c r="A40" s="175">
        <v>36</v>
      </c>
      <c r="B40" s="53" t="s">
        <v>217</v>
      </c>
      <c r="C40" s="175" t="s">
        <v>610</v>
      </c>
      <c r="D40" s="173"/>
      <c r="E40" s="176">
        <v>75000</v>
      </c>
    </row>
    <row r="41" spans="1:5">
      <c r="A41" s="175">
        <v>37</v>
      </c>
      <c r="B41" s="53" t="s">
        <v>218</v>
      </c>
      <c r="C41" s="175" t="s">
        <v>609</v>
      </c>
      <c r="D41" s="173"/>
      <c r="E41" s="176">
        <v>75000</v>
      </c>
    </row>
    <row r="42" spans="1:5">
      <c r="A42" s="175">
        <v>38</v>
      </c>
      <c r="B42" s="53" t="s">
        <v>355</v>
      </c>
      <c r="C42" s="175" t="s">
        <v>609</v>
      </c>
      <c r="D42" s="173"/>
      <c r="E42" s="176">
        <v>75000</v>
      </c>
    </row>
    <row r="43" spans="1:5">
      <c r="A43" s="175">
        <v>39</v>
      </c>
      <c r="B43" s="53" t="s">
        <v>401</v>
      </c>
      <c r="C43" s="175" t="s">
        <v>609</v>
      </c>
      <c r="D43" s="173"/>
      <c r="E43" s="176">
        <v>75000</v>
      </c>
    </row>
    <row r="44" spans="1:5">
      <c r="A44" s="175">
        <v>40</v>
      </c>
      <c r="B44" s="53" t="s">
        <v>400</v>
      </c>
      <c r="C44" s="175" t="s">
        <v>35</v>
      </c>
      <c r="D44" s="173"/>
      <c r="E44" s="176">
        <v>75000</v>
      </c>
    </row>
    <row r="45" spans="1:5">
      <c r="A45" s="175">
        <v>41</v>
      </c>
      <c r="B45" s="53" t="s">
        <v>427</v>
      </c>
      <c r="C45" s="175" t="s">
        <v>35</v>
      </c>
      <c r="D45" s="173"/>
      <c r="E45" s="176">
        <v>75000</v>
      </c>
    </row>
    <row r="46" spans="1:5">
      <c r="A46" s="175">
        <v>42</v>
      </c>
      <c r="B46" s="138" t="s">
        <v>473</v>
      </c>
      <c r="C46" s="175" t="s">
        <v>35</v>
      </c>
      <c r="D46" s="173"/>
      <c r="E46" s="176">
        <v>75000</v>
      </c>
    </row>
    <row r="47" spans="1:5">
      <c r="A47" s="175">
        <v>43</v>
      </c>
      <c r="B47" s="134" t="s">
        <v>500</v>
      </c>
      <c r="C47" s="175" t="s">
        <v>35</v>
      </c>
      <c r="D47" s="173"/>
      <c r="E47" s="176">
        <v>75000</v>
      </c>
    </row>
    <row r="48" spans="1:5">
      <c r="A48" s="175">
        <v>44</v>
      </c>
      <c r="B48" s="172" t="s">
        <v>492</v>
      </c>
      <c r="C48" s="175" t="s">
        <v>608</v>
      </c>
      <c r="D48" s="173"/>
      <c r="E48" s="176">
        <v>75000</v>
      </c>
    </row>
    <row r="49" spans="1:5">
      <c r="A49" s="175">
        <v>45</v>
      </c>
      <c r="B49" s="53" t="s">
        <v>112</v>
      </c>
      <c r="C49" s="175" t="s">
        <v>610</v>
      </c>
      <c r="D49" s="173"/>
      <c r="E49" s="176">
        <v>75000</v>
      </c>
    </row>
    <row r="50" spans="1:5">
      <c r="A50" s="175">
        <v>46</v>
      </c>
      <c r="B50" s="53" t="s">
        <v>216</v>
      </c>
      <c r="C50" s="175" t="s">
        <v>35</v>
      </c>
      <c r="D50" s="173"/>
      <c r="E50" s="176">
        <v>75000</v>
      </c>
    </row>
    <row r="51" spans="1:5">
      <c r="A51" s="175">
        <v>47</v>
      </c>
      <c r="B51" s="53" t="s">
        <v>196</v>
      </c>
      <c r="C51" s="175" t="s">
        <v>610</v>
      </c>
      <c r="D51" s="173"/>
      <c r="E51" s="176">
        <v>75000</v>
      </c>
    </row>
    <row r="52" spans="1:5">
      <c r="A52" s="175">
        <v>48</v>
      </c>
      <c r="B52" s="53" t="s">
        <v>360</v>
      </c>
      <c r="C52" s="175" t="s">
        <v>35</v>
      </c>
      <c r="D52" s="173"/>
      <c r="E52" s="176">
        <v>75000</v>
      </c>
    </row>
    <row r="53" spans="1:5">
      <c r="A53" s="175">
        <v>49</v>
      </c>
      <c r="B53" s="53" t="s">
        <v>255</v>
      </c>
      <c r="C53" s="175" t="s">
        <v>610</v>
      </c>
      <c r="D53" s="173"/>
      <c r="E53" s="176">
        <v>75000</v>
      </c>
    </row>
    <row r="54" spans="1:5">
      <c r="A54" s="879" t="s">
        <v>614</v>
      </c>
      <c r="B54" s="879"/>
      <c r="C54" s="879"/>
      <c r="D54" s="879"/>
      <c r="E54" s="176">
        <f>SUM(E5:E53)</f>
        <v>3730000</v>
      </c>
    </row>
  </sheetData>
  <mergeCells count="2">
    <mergeCell ref="A2:E2"/>
    <mergeCell ref="A54:D5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47"/>
  <sheetViews>
    <sheetView workbookViewId="0">
      <selection activeCell="J11" sqref="J11"/>
    </sheetView>
  </sheetViews>
  <sheetFormatPr defaultColWidth="8.85546875" defaultRowHeight="15"/>
  <cols>
    <col min="1" max="1" width="4.42578125" customWidth="1"/>
    <col min="2" max="2" width="31.140625" customWidth="1"/>
    <col min="3" max="4" width="15" customWidth="1"/>
    <col min="5" max="5" width="15.140625" customWidth="1"/>
    <col min="6" max="6" width="23.42578125" customWidth="1"/>
  </cols>
  <sheetData>
    <row r="3" spans="1:6">
      <c r="A3" s="833" t="s">
        <v>1424</v>
      </c>
      <c r="B3" s="833"/>
      <c r="C3" s="880" t="s">
        <v>1439</v>
      </c>
      <c r="D3" s="881"/>
      <c r="E3" s="881"/>
      <c r="F3" s="833" t="s">
        <v>614</v>
      </c>
    </row>
    <row r="4" spans="1:6">
      <c r="A4" s="833"/>
      <c r="B4" s="833"/>
      <c r="C4" s="548">
        <v>5000</v>
      </c>
      <c r="D4" s="548">
        <v>10000</v>
      </c>
      <c r="E4" s="548">
        <v>20000</v>
      </c>
      <c r="F4" s="833"/>
    </row>
    <row r="5" spans="1:6">
      <c r="A5" s="443">
        <v>1</v>
      </c>
      <c r="B5" s="437" t="s">
        <v>398</v>
      </c>
      <c r="C5" s="549">
        <v>600000</v>
      </c>
      <c r="D5" s="549">
        <v>200000</v>
      </c>
      <c r="E5" s="549">
        <v>200000</v>
      </c>
      <c r="F5" s="551">
        <f>SUM(C5:E5)</f>
        <v>1000000</v>
      </c>
    </row>
    <row r="6" spans="1:6">
      <c r="A6" s="443">
        <v>2</v>
      </c>
      <c r="B6" s="437" t="s">
        <v>505</v>
      </c>
      <c r="C6" s="549">
        <v>500000</v>
      </c>
      <c r="D6" s="549">
        <v>1000000</v>
      </c>
      <c r="E6" s="549"/>
      <c r="F6" s="549">
        <v>1500000</v>
      </c>
    </row>
    <row r="7" spans="1:6">
      <c r="A7" s="443">
        <v>3</v>
      </c>
      <c r="B7" s="437" t="s">
        <v>1428</v>
      </c>
      <c r="C7" s="549">
        <v>500000</v>
      </c>
      <c r="D7" s="549">
        <v>1000000</v>
      </c>
      <c r="E7" s="549">
        <v>2000000</v>
      </c>
      <c r="F7" s="549"/>
    </row>
    <row r="8" spans="1:6">
      <c r="A8" s="443">
        <v>4</v>
      </c>
      <c r="B8" s="437" t="s">
        <v>976</v>
      </c>
      <c r="C8" s="549">
        <v>500000</v>
      </c>
      <c r="D8" s="549">
        <v>1000000</v>
      </c>
      <c r="E8" s="549"/>
      <c r="F8" s="549"/>
    </row>
    <row r="9" spans="1:6">
      <c r="A9" s="443">
        <v>5</v>
      </c>
      <c r="B9" s="437" t="s">
        <v>362</v>
      </c>
      <c r="C9" s="549">
        <v>500000</v>
      </c>
      <c r="D9" s="549">
        <v>500000</v>
      </c>
      <c r="E9" s="549"/>
      <c r="F9" s="549"/>
    </row>
    <row r="10" spans="1:6">
      <c r="A10" s="443">
        <v>6</v>
      </c>
      <c r="B10" s="437" t="s">
        <v>1431</v>
      </c>
      <c r="C10" s="549"/>
      <c r="D10" s="549">
        <v>100000</v>
      </c>
      <c r="E10" s="549"/>
      <c r="F10" s="549"/>
    </row>
    <row r="11" spans="1:6">
      <c r="A11" s="443">
        <v>7</v>
      </c>
      <c r="B11" s="437" t="s">
        <v>412</v>
      </c>
      <c r="C11" s="549">
        <v>800000</v>
      </c>
      <c r="D11" s="549">
        <v>2000000</v>
      </c>
      <c r="E11" s="549">
        <v>200000</v>
      </c>
      <c r="F11" s="549"/>
    </row>
    <row r="12" spans="1:6">
      <c r="A12" s="443">
        <v>8</v>
      </c>
      <c r="B12" s="437" t="s">
        <v>1349</v>
      </c>
      <c r="C12" s="549">
        <v>100000</v>
      </c>
      <c r="D12" s="549">
        <v>200000</v>
      </c>
      <c r="E12" s="549"/>
      <c r="F12" s="549"/>
    </row>
    <row r="13" spans="1:6">
      <c r="A13" s="443">
        <v>9</v>
      </c>
      <c r="B13" s="437" t="s">
        <v>1045</v>
      </c>
      <c r="C13" s="549">
        <v>500000</v>
      </c>
      <c r="D13" s="549">
        <v>500000</v>
      </c>
      <c r="E13" s="549"/>
      <c r="F13" s="549"/>
    </row>
    <row r="14" spans="1:6">
      <c r="A14" s="443">
        <v>10</v>
      </c>
      <c r="B14" s="437" t="s">
        <v>1013</v>
      </c>
      <c r="C14" s="549">
        <v>500000</v>
      </c>
      <c r="D14" s="549">
        <v>500000</v>
      </c>
      <c r="E14" s="549">
        <v>200000</v>
      </c>
      <c r="F14" s="549"/>
    </row>
    <row r="15" spans="1:6">
      <c r="A15" s="443">
        <v>11</v>
      </c>
      <c r="B15" s="437" t="s">
        <v>436</v>
      </c>
      <c r="C15" s="549">
        <v>300000</v>
      </c>
      <c r="D15" s="549"/>
      <c r="E15" s="549"/>
      <c r="F15" s="549"/>
    </row>
    <row r="16" spans="1:6">
      <c r="A16" s="443">
        <v>12</v>
      </c>
      <c r="B16" s="437" t="s">
        <v>1113</v>
      </c>
      <c r="C16" s="549">
        <v>1000000</v>
      </c>
      <c r="D16" s="549">
        <v>1000000</v>
      </c>
      <c r="E16" s="549"/>
      <c r="F16" s="549"/>
    </row>
    <row r="17" spans="1:6">
      <c r="A17" s="443">
        <v>13</v>
      </c>
      <c r="B17" s="437" t="s">
        <v>74</v>
      </c>
      <c r="C17" s="549">
        <v>500000</v>
      </c>
      <c r="D17" s="549">
        <v>300000</v>
      </c>
      <c r="E17" s="549">
        <v>200000</v>
      </c>
      <c r="F17" s="549"/>
    </row>
    <row r="18" spans="1:6">
      <c r="A18" s="443">
        <v>14</v>
      </c>
      <c r="B18" s="437" t="s">
        <v>66</v>
      </c>
      <c r="C18" s="549"/>
      <c r="D18" s="549">
        <v>500000</v>
      </c>
      <c r="E18" s="549"/>
      <c r="F18" s="549"/>
    </row>
    <row r="19" spans="1:6">
      <c r="A19" s="443">
        <v>15</v>
      </c>
      <c r="B19" s="437" t="s">
        <v>217</v>
      </c>
      <c r="C19" s="549"/>
      <c r="D19" s="549">
        <v>200000</v>
      </c>
      <c r="E19" s="549">
        <v>300000</v>
      </c>
      <c r="F19" s="549"/>
    </row>
    <row r="20" spans="1:6">
      <c r="A20" s="443">
        <v>16</v>
      </c>
      <c r="B20" s="437" t="s">
        <v>688</v>
      </c>
      <c r="C20" s="549">
        <v>1000000</v>
      </c>
      <c r="D20" s="549"/>
      <c r="E20" s="549"/>
      <c r="F20" s="549"/>
    </row>
    <row r="21" spans="1:6">
      <c r="A21" s="443">
        <v>17</v>
      </c>
      <c r="B21" s="498" t="s">
        <v>846</v>
      </c>
      <c r="C21" s="549">
        <v>900000</v>
      </c>
      <c r="D21" s="549">
        <v>200000</v>
      </c>
      <c r="E21" s="549">
        <v>200000</v>
      </c>
      <c r="F21" s="549"/>
    </row>
    <row r="22" spans="1:6">
      <c r="A22" s="443">
        <v>18</v>
      </c>
      <c r="B22" s="437" t="s">
        <v>183</v>
      </c>
      <c r="C22" s="549">
        <v>300000</v>
      </c>
      <c r="D22" s="549">
        <v>200000</v>
      </c>
      <c r="E22" s="549"/>
      <c r="F22" s="549"/>
    </row>
    <row r="23" spans="1:6">
      <c r="A23" s="443">
        <v>19</v>
      </c>
      <c r="B23" s="437" t="s">
        <v>191</v>
      </c>
      <c r="C23" s="549">
        <v>300000</v>
      </c>
      <c r="D23" s="549"/>
      <c r="E23" s="549">
        <v>200000</v>
      </c>
      <c r="F23" s="549"/>
    </row>
    <row r="24" spans="1:6">
      <c r="A24" s="443">
        <v>20</v>
      </c>
      <c r="B24" s="437" t="s">
        <v>165</v>
      </c>
      <c r="C24" s="549">
        <v>200000</v>
      </c>
      <c r="D24" s="549">
        <v>200000</v>
      </c>
      <c r="E24" s="549">
        <v>100000</v>
      </c>
      <c r="F24" s="549"/>
    </row>
    <row r="25" spans="1:6">
      <c r="A25" s="443">
        <v>21</v>
      </c>
      <c r="B25" s="396" t="s">
        <v>678</v>
      </c>
      <c r="C25" s="549">
        <v>600000</v>
      </c>
      <c r="D25" s="549">
        <v>400000</v>
      </c>
      <c r="E25" s="549">
        <v>300000</v>
      </c>
      <c r="F25" s="549"/>
    </row>
    <row r="26" spans="1:6">
      <c r="A26" s="443">
        <v>22</v>
      </c>
      <c r="B26" s="437" t="s">
        <v>355</v>
      </c>
      <c r="C26" s="549">
        <v>300000</v>
      </c>
      <c r="D26" s="549">
        <v>200000</v>
      </c>
      <c r="E26" s="549"/>
      <c r="F26" s="549"/>
    </row>
    <row r="27" spans="1:6">
      <c r="A27" s="443">
        <v>23</v>
      </c>
      <c r="B27" s="437" t="s">
        <v>159</v>
      </c>
      <c r="C27" s="549"/>
      <c r="D27" s="549">
        <v>500000</v>
      </c>
      <c r="E27" s="549"/>
      <c r="F27" s="549"/>
    </row>
    <row r="28" spans="1:6">
      <c r="A28" s="443">
        <v>24</v>
      </c>
      <c r="B28" s="437" t="s">
        <v>218</v>
      </c>
      <c r="C28" s="549">
        <v>500000</v>
      </c>
      <c r="D28" s="549">
        <v>500000</v>
      </c>
      <c r="E28" s="549"/>
      <c r="F28" s="549"/>
    </row>
    <row r="29" spans="1:6">
      <c r="A29" s="443">
        <v>25</v>
      </c>
      <c r="B29" s="396" t="s">
        <v>500</v>
      </c>
      <c r="C29" s="549"/>
      <c r="D29" s="549">
        <v>200000</v>
      </c>
      <c r="E29" s="549">
        <v>200000</v>
      </c>
      <c r="F29" s="549"/>
    </row>
    <row r="30" spans="1:6">
      <c r="A30" s="443">
        <v>26</v>
      </c>
      <c r="B30" s="396" t="s">
        <v>492</v>
      </c>
      <c r="C30" s="549">
        <v>150000</v>
      </c>
      <c r="D30" s="549">
        <v>150000</v>
      </c>
      <c r="E30" s="549"/>
      <c r="F30" s="549"/>
    </row>
    <row r="31" spans="1:6">
      <c r="A31" s="443">
        <v>27</v>
      </c>
      <c r="B31" s="437" t="s">
        <v>590</v>
      </c>
      <c r="C31" s="549">
        <v>200000</v>
      </c>
      <c r="D31" s="549"/>
      <c r="E31" s="549"/>
      <c r="F31" s="549"/>
    </row>
    <row r="32" spans="1:6">
      <c r="A32" s="443">
        <v>28</v>
      </c>
      <c r="B32" s="437" t="s">
        <v>427</v>
      </c>
      <c r="C32" s="549">
        <v>100000</v>
      </c>
      <c r="D32" s="549">
        <v>100000</v>
      </c>
      <c r="E32" s="549">
        <v>200000</v>
      </c>
      <c r="F32" s="549"/>
    </row>
    <row r="33" spans="1:6">
      <c r="A33" s="443">
        <v>29</v>
      </c>
      <c r="B33" s="437" t="s">
        <v>400</v>
      </c>
      <c r="C33" s="549"/>
      <c r="D33" s="549">
        <v>300000</v>
      </c>
      <c r="E33" s="549"/>
      <c r="F33" s="549"/>
    </row>
    <row r="34" spans="1:6">
      <c r="A34" s="443">
        <v>30</v>
      </c>
      <c r="B34" s="396" t="s">
        <v>672</v>
      </c>
      <c r="C34" s="549">
        <v>500000</v>
      </c>
      <c r="D34" s="549">
        <v>300000</v>
      </c>
      <c r="E34" s="549"/>
      <c r="F34" s="549"/>
    </row>
    <row r="35" spans="1:6">
      <c r="A35" s="443">
        <v>31</v>
      </c>
      <c r="B35" s="437" t="s">
        <v>715</v>
      </c>
      <c r="C35" s="549">
        <v>1000000</v>
      </c>
      <c r="D35" s="549"/>
      <c r="E35" s="549"/>
      <c r="F35" s="549"/>
    </row>
    <row r="36" spans="1:6">
      <c r="A36" s="443">
        <v>32</v>
      </c>
      <c r="B36" s="437" t="s">
        <v>720</v>
      </c>
      <c r="C36" s="549">
        <v>200000</v>
      </c>
      <c r="D36" s="549">
        <v>200000</v>
      </c>
      <c r="E36" s="549">
        <v>100000</v>
      </c>
      <c r="F36" s="549"/>
    </row>
    <row r="37" spans="1:6">
      <c r="A37" s="443">
        <v>33</v>
      </c>
      <c r="B37" s="437" t="s">
        <v>724</v>
      </c>
      <c r="C37" s="549">
        <v>300000</v>
      </c>
      <c r="D37" s="549"/>
      <c r="E37" s="549"/>
      <c r="F37" s="549"/>
    </row>
    <row r="38" spans="1:6">
      <c r="A38" s="443">
        <v>34</v>
      </c>
      <c r="B38" s="437" t="s">
        <v>756</v>
      </c>
      <c r="C38" s="549">
        <v>200000</v>
      </c>
      <c r="D38" s="549">
        <v>200000</v>
      </c>
      <c r="E38" s="549">
        <v>100000</v>
      </c>
      <c r="F38" s="549"/>
    </row>
    <row r="39" spans="1:6">
      <c r="A39" s="443">
        <v>35</v>
      </c>
      <c r="B39" s="437" t="s">
        <v>814</v>
      </c>
      <c r="C39" s="549"/>
      <c r="D39" s="549">
        <v>300000</v>
      </c>
      <c r="E39" s="549">
        <v>100000</v>
      </c>
      <c r="F39" s="549"/>
    </row>
    <row r="40" spans="1:6">
      <c r="A40" s="443">
        <v>36</v>
      </c>
      <c r="B40" s="437" t="s">
        <v>1034</v>
      </c>
      <c r="C40" s="549">
        <v>500000</v>
      </c>
      <c r="D40" s="549">
        <v>500000</v>
      </c>
      <c r="E40" s="549">
        <v>500000</v>
      </c>
      <c r="F40" s="549"/>
    </row>
    <row r="41" spans="1:6">
      <c r="A41" s="443">
        <v>37</v>
      </c>
      <c r="B41" s="437" t="s">
        <v>216</v>
      </c>
      <c r="C41" s="549">
        <v>100000</v>
      </c>
      <c r="D41" s="549">
        <v>200000</v>
      </c>
      <c r="E41" s="549">
        <v>200000</v>
      </c>
      <c r="F41" s="549"/>
    </row>
    <row r="42" spans="1:6">
      <c r="A42" s="443">
        <v>38</v>
      </c>
      <c r="B42" s="377" t="s">
        <v>617</v>
      </c>
      <c r="C42" s="549">
        <v>500000</v>
      </c>
      <c r="D42" s="549">
        <v>500000</v>
      </c>
      <c r="E42" s="549"/>
      <c r="F42" s="549"/>
    </row>
    <row r="43" spans="1:6">
      <c r="A43" s="443">
        <v>39</v>
      </c>
      <c r="B43" s="437" t="s">
        <v>382</v>
      </c>
      <c r="C43" s="549">
        <v>1500000</v>
      </c>
      <c r="D43" s="549">
        <v>1000000</v>
      </c>
      <c r="E43" s="549">
        <v>500000</v>
      </c>
      <c r="F43" s="549"/>
    </row>
    <row r="44" spans="1:6">
      <c r="A44" s="443">
        <v>40</v>
      </c>
      <c r="B44" s="437" t="s">
        <v>445</v>
      </c>
      <c r="C44" s="549">
        <v>700000</v>
      </c>
      <c r="D44" s="549">
        <v>1000000</v>
      </c>
      <c r="E44" s="549">
        <v>2000000</v>
      </c>
      <c r="F44" s="549"/>
    </row>
    <row r="45" spans="1:6">
      <c r="A45" s="443">
        <v>41</v>
      </c>
      <c r="B45" s="437" t="s">
        <v>1404</v>
      </c>
      <c r="C45" s="549">
        <v>500000</v>
      </c>
      <c r="D45" s="549">
        <v>1000000</v>
      </c>
      <c r="E45" s="549">
        <v>2000000</v>
      </c>
      <c r="F45" s="549"/>
    </row>
    <row r="46" spans="1:6">
      <c r="A46" s="443">
        <v>42</v>
      </c>
      <c r="B46" s="437" t="s">
        <v>1382</v>
      </c>
      <c r="C46" s="549"/>
      <c r="D46" s="549">
        <v>300000</v>
      </c>
      <c r="E46" s="549"/>
      <c r="F46" s="549"/>
    </row>
    <row r="47" spans="1:6">
      <c r="A47" s="443">
        <v>43</v>
      </c>
      <c r="B47" s="437" t="s">
        <v>920</v>
      </c>
      <c r="C47" s="549">
        <v>500000</v>
      </c>
      <c r="D47" s="549"/>
      <c r="E47" s="549"/>
      <c r="F47" s="549"/>
    </row>
  </sheetData>
  <mergeCells count="3">
    <mergeCell ref="A3:B4"/>
    <mergeCell ref="C3:E3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2018</vt:lpstr>
      <vt:lpstr>2019</vt:lpstr>
      <vt:lpstr>2020</vt:lpstr>
      <vt:lpstr>2021</vt:lpstr>
      <vt:lpstr>NIK</vt:lpstr>
      <vt:lpstr>ABSENSI</vt:lpstr>
      <vt:lpstr>absen PHL oret oret</vt:lpstr>
      <vt:lpstr>Sheet2</vt:lpstr>
      <vt:lpstr>sharing</vt:lpstr>
      <vt:lpstr>Sheet1</vt:lpstr>
      <vt:lpstr>Sheet4</vt:lpstr>
      <vt:lpstr>'2018'!Print_Area</vt:lpstr>
      <vt:lpstr>'2019'!Print_Area</vt:lpstr>
      <vt:lpstr>'2020'!Print_Area</vt:lpstr>
      <vt:lpstr>ABSENSI!Print_Area</vt:lpstr>
      <vt:lpstr>NIK!Print_Area</vt:lpstr>
      <vt:lpstr>Sheet2!Print_Area</vt:lpstr>
    </vt:vector>
  </TitlesOfParts>
  <Company>PT RICOBANA ABADI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hrsh.lati</dc:creator>
  <cp:lastModifiedBy>MS RANGGA</cp:lastModifiedBy>
  <cp:lastPrinted>2020-12-30T08:03:49Z</cp:lastPrinted>
  <dcterms:created xsi:type="dcterms:W3CDTF">2018-04-07T07:42:04Z</dcterms:created>
  <dcterms:modified xsi:type="dcterms:W3CDTF">2021-01-06T04:58:21Z</dcterms:modified>
</cp:coreProperties>
</file>